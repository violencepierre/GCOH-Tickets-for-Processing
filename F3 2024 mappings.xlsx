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5CAAE182-5DAD-4A71-A639-7F61BBFF8691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7" sheetId="34" r:id="rId6"/>
    <sheet name="Sheet6" sheetId="33" r:id="rId7"/>
    <sheet name="Sheet5" sheetId="32" r:id="rId8"/>
    <sheet name="Sheet4" sheetId="31" r:id="rId9"/>
    <sheet name="Sheet3" sheetId="30" r:id="rId10"/>
    <sheet name="Sheet2" sheetId="29" r:id="rId11"/>
    <sheet name="Sheet1" sheetId="28" r:id="rId12"/>
    <sheet name="For Commentary" sheetId="20" r:id="rId13"/>
    <sheet name="Authors" sheetId="18" r:id="rId14"/>
    <sheet name="STAT" sheetId="10" r:id="rId15"/>
    <sheet name="Sector" sheetId="3" r:id="rId16"/>
    <sheet name="YelTable" sheetId="24" r:id="rId17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6" hidden="1">YelTable!$A$1:$E$5</definedName>
    <definedName name="ID" localSheetId="13" hidden="1">"f29e49f0-c842-4a01-8df8-c72694a7b15c"</definedName>
    <definedName name="ID" localSheetId="3" hidden="1">"3fb6490e-8bae-4ce5-b09c-5121e79bff69"</definedName>
    <definedName name="ID" localSheetId="12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5" hidden="1">"fa560984-7bbe-4a11-88aa-39d6eb27c9e2"</definedName>
    <definedName name="ID" localSheetId="14" hidden="1">"e95ef0c9-3382-426f-86db-9e8ceaf6f6b4"</definedName>
    <definedName name="ID" localSheetId="16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8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241" i="1" l="1"/>
  <c r="B5242" i="1"/>
  <c r="B5243" i="1"/>
  <c r="B5244" i="1"/>
  <c r="H5241" i="1"/>
  <c r="H5242" i="1"/>
  <c r="H5243" i="1"/>
  <c r="H5244" i="1"/>
  <c r="J5241" i="1"/>
  <c r="J5242" i="1"/>
  <c r="J5243" i="1"/>
  <c r="J5244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J5240" i="1"/>
  <c r="K5240" i="1"/>
  <c r="Q5240" i="1"/>
  <c r="P5240" i="1" s="1"/>
  <c r="J5236" i="1"/>
  <c r="J5233" i="1"/>
  <c r="J5232" i="1"/>
  <c r="J5231" i="1"/>
  <c r="J5230" i="1"/>
  <c r="J5229" i="1"/>
  <c r="J5228" i="1"/>
  <c r="J5226" i="1"/>
  <c r="J5225" i="1"/>
  <c r="J5224" i="1"/>
  <c r="J5200" i="1"/>
  <c r="J5199" i="1"/>
  <c r="J5198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J5227" i="1"/>
  <c r="J5234" i="1"/>
  <c r="J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/>
  <c r="B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<sst xmlns="http://schemas.openxmlformats.org/spreadsheetml/2006/main" count="46749" uniqueCount="7588">
  <si>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</si>
  <si>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</si>
  <si>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</si>
  <si>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</si>
  <si>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</si>
  <si>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</si>
  <si>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</si>
  <si>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</si>
  <si>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</si>
  <si>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</si>
  <si>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</si>
  <si>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</si>
  <si>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</si>
  <si>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</si>
  <si>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</si>
  <si>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</si>
  <si>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</si>
  <si>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</si>
  <si>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</si>
  <si>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</si>
  <si>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</si>
  <si>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</si>
  <si>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</si>
  <si>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</si>
  <si>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</si>
  <si>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</si>
  <si>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</si>
  <si>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</si>
  <si>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</si>
  <si>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</si>
  <si>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</si>
  <si>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</si>
  <si>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</si>
  <si>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</si>
  <si>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</si>
  <si>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</si>
  <si>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</si>
  <si>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</si>
  <si>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</si>
  <si>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</si>
  <si>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</si>
  <si>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</si>
  <si>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</si>
  <si>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</si>
  <si>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</si>
  <si>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</si>
  <si>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</si>
  <si>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</si>
  <si>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</si>
  <si>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</si>
  <si>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</si>
  <si>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</si>
  <si>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</si>
  <si>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</si>
  <si>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</si>
  <si>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</si>
  <si>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</si>
  <si>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</si>
  <si>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</si>
  <si>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</si>
  <si>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</si>
  <si>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</si>
  <si>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</si>
  <si>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</si>
  <si>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</si>
  <si>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</si>
  <si>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</si>
  <si>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</si>
  <si>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</si>
  <si>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</si>
  <si>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</si>
  <si>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</si>
  <si>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</si>
  <si>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</si>
  <si>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</si>
  <si>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</si>
  <si>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</si>
  <si>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</si>
  <si>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</si>
  <si>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</si>
  <si>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</si>
  <si>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</si>
  <si>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</si>
  <si>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</si>
  <si>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</si>
  <si>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</si>
  <si>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</si>
  <si>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</si>
  <si>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</si>
  <si>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</si>
  <si>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</si>
  <si>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</si>
  <si>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</si>
  <si>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</si>
  <si>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</si>
  <si>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</si>
  <si>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</si>
  <si>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</si>
  <si>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</si>
  <si>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</si>
  <si>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</si>
  <si>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</si>
  <si>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</si>
  <si>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</si>
  <si>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</si>
  <si>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</si>
  <si>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</si>
  <si>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</si>
  <si>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</si>
  <si>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</si>
  <si>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</si>
  <si>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</si>
  <si>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</si>
  <si>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</si>
  <si>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</si>
  <si>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</si>
  <si>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</si>
  <si>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</si>
  <si>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</si>
  <si>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</si>
  <si>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</si>
  <si>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</si>
  <si>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</si>
  <si>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</si>
  <si>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</si>
  <si>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</si>
  <si>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</si>
  <si>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</si>
  <si>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</si>
  <si>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</si>
  <si>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</si>
  <si>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</si>
  <si>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</si>
  <si>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</si>
  <si>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</si>
  <si>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</si>
  <si>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</si>
  <si>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</si>
  <si>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</si>
  <si>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</si>
  <si>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</si>
  <si>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</si>
  <si>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</si>
  <si>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</si>
  <si>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</si>
  <si>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</si>
  <si>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</si>
  <si>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</si>
  <si>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</si>
  <si>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</si>
  <si>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</si>
  <si>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</si>
  <si>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</si>
  <si>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</si>
  <si>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</si>
  <si>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</si>
  <si>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</si>
  <si>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</si>
  <si>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</si>
  <si>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</si>
  <si>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</si>
  <si>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</si>
  <si>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</si>
  <si>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</si>
  <si>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</si>
  <si>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</si>
  <si>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</si>
  <si>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</si>
  <si>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</si>
  <si>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</si>
  <si>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</si>
  <si>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</si>
  <si>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</si>
  <si>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</si>
  <si>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</si>
  <si>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</si>
  <si>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</si>
  <si>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</si>
  <si>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</si>
  <si>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</si>
  <si>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</si>
  <si>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</si>
  <si>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</si>
  <si>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</si>
  <si>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</si>
  <si>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</si>
  <si>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</si>
  <si>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</si>
  <si>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</si>
  <si>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</si>
  <si>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</si>
  <si>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</si>
  <si>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</si>
  <si>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</si>
  <si>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</si>
  <si>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</si>
  <si>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</si>
  <si>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</si>
  <si>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</si>
  <si>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</si>
  <si>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</si>
  <si>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</si>
  <si>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</si>
  <si>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</si>
  <si>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</si>
  <si>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</si>
  <si>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</si>
  <si>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</si>
  <si>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</si>
  <si>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</si>
  <si>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</si>
  <si>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</si>
  <si>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</si>
  <si>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</si>
  <si>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</si>
  <si>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</si>
  <si>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</si>
  <si>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</si>
  <si>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</si>
  <si>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</si>
  <si>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</si>
  <si>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</si>
  <si>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</si>
  <si>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</si>
  <si>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</si>
  <si>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</si>
  <si>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</si>
  <si>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</si>
  <si>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</si>
  <si>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</si>
  <si>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</si>
  <si>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</si>
  <si>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</si>
  <si>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</si>
  <si>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</si>
  <si>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</si>
  <si>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</si>
  <si>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</si>
  <si>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</si>
  <si>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</si>
  <si>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</si>
  <si>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</si>
  <si>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</si>
  <si>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</si>
  <si>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</si>
  <si>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</si>
  <si>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</si>
  <si>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</si>
  <si>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</si>
  <si>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</si>
  <si>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</si>
  <si>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</si>
  <si>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</si>
  <si>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</si>
  <si>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</si>
  <si>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</si>
  <si>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</si>
  <si>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</si>
  <si>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</si>
  <si>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</si>
  <si>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</si>
  <si>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</si>
  <si>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</si>
  <si>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</si>
  <si>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</si>
  <si>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</si>
  <si>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</si>
  <si>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</si>
  <si>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</si>
  <si>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</si>
  <si>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</si>
  <si>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</si>
  <si>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</si>
  <si>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</si>
  <si>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</si>
  <si>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</si>
  <si>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</si>
  <si>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</si>
  <si>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</si>
  <si>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</si>
  <si>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</si>
  <si>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</si>
  <si>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</si>
  <si>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</si>
  <si>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</si>
  <si>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</si>
  <si>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</si>
  <si>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</si>
  <si>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</si>
  <si>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</si>
  <si>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</si>
  <si>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</si>
  <si>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</si>
  <si>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</si>
  <si>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</si>
  <si>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</si>
  <si>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</si>
  <si>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</si>
  <si>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</si>
  <si>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</si>
  <si>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</si>
  <si>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</si>
  <si>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</si>
  <si>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</si>
  <si>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</si>
  <si>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</si>
  <si>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</si>
  <si>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</si>
  <si>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</si>
  <si>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</si>
  <si>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</si>
  <si>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</si>
  <si>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</si>
  <si>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</si>
  <si>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</si>
  <si>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</si>
  <si>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</si>
  <si>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</si>
  <si>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</si>
  <si>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</si>
  <si>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</si>
  <si>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</si>
  <si>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</si>
  <si>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</si>
  <si>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</si>
  <si>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</si>
  <si>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</si>
  <si>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</si>
  <si>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</si>
  <si>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</si>
  <si>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</si>
  <si>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</si>
  <si>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</si>
  <si>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</si>
  <si>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</si>
  <si>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</si>
  <si>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</si>
  <si>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</si>
  <si>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</si>
  <si>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</si>
  <si>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</si>
  <si>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</si>
  <si>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</si>
  <si>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</si>
  <si>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</si>
  <si>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</si>
  <si>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</si>
  <si>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</si>
  <si>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</si>
  <si>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</si>
  <si>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</si>
  <si>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</si>
  <si>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</si>
  <si>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</si>
  <si>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</si>
  <si>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</si>
  <si>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</si>
  <si>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</si>
  <si>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</si>
  <si>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</si>
  <si>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</si>
  <si>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</si>
  <si>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</si>
  <si>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</si>
  <si>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</si>
  <si>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</si>
  <si>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</si>
  <si>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</si>
  <si>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</si>
  <si>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</si>
  <si>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</si>
  <si>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</si>
  <si>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</si>
  <si>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</si>
  <si>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</si>
  <si>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</si>
  <si>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</si>
  <si>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</si>
  <si>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</si>
  <si>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</si>
  <si>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</si>
  <si>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</si>
  <si>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</si>
  <si>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</si>
  <si>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</si>
  <si>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</si>
  <si>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</si>
  <si>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</si>
  <si>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</si>
  <si>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</si>
  <si>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</si>
  <si>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</si>
  <si>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</si>
  <si>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</si>
  <si>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</si>
  <si>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</si>
  <si>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</si>
  <si>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</si>
  <si>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</si>
  <si>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</si>
  <si>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</si>
  <si>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</si>
  <si>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</si>
  <si>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</si>
  <si>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</si>
  <si>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</si>
  <si>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</si>
  <si>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</si>
  <si>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</si>
  <si>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</si>
  <si>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</si>
  <si>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</si>
  <si>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</si>
  <si>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</si>
  <si>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</si>
  <si>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</si>
  <si>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</si>
  <si>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</si>
  <si>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</si>
  <si>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</si>
  <si>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</si>
  <si>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</si>
  <si>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</si>
  <si>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</si>
  <si>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</si>
  <si>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</si>
  <si>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</si>
  <si>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</si>
  <si>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</si>
  <si>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</si>
  <si>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</si>
  <si>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</si>
  <si>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</si>
  <si>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</si>
  <si>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</si>
  <si>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</si>
  <si>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</si>
  <si>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</si>
  <si>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</si>
  <si>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</si>
  <si>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</si>
  <si>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</si>
  <si>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</si>
  <si>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</si>
  <si>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</si>
  <si>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</si>
  <si>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</si>
  <si>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</si>
  <si>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</si>
  <si>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</si>
  <si>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</si>
  <si>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</si>
  <si>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</si>
  <si>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</si>
  <si>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</si>
  <si>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</si>
  <si>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</si>
  <si>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</si>
  <si>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</si>
  <si>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</si>
  <si>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</si>
  <si>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</si>
  <si>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</si>
  <si>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</si>
  <si>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</si>
  <si>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</si>
  <si>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</si>
  <si>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</si>
  <si>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</si>
  <si>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</si>
  <si>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</si>
  <si>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</si>
  <si>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</si>
  <si>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</si>
  <si>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</si>
  <si>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</si>
  <si>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</si>
  <si>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</si>
  <si>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</si>
  <si>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</si>
  <si>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</si>
  <si>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</si>
  <si>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</si>
  <si>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</si>
  <si>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</si>
  <si>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</si>
  <si>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</si>
  <si>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</si>
  <si>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</si>
  <si>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</si>
  <si>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</si>
  <si>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</si>
  <si>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</si>
  <si>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</si>
  <si>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</si>
  <si>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</si>
  <si>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</si>
  <si>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</si>
  <si>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</si>
  <si>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</si>
  <si>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</si>
  <si>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</si>
  <si>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</si>
  <si>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</si>
  <si>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</si>
  <si>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</si>
  <si>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</si>
  <si>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</si>
  <si>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</si>
  <si>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</si>
  <si>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</si>
  <si>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</si>
  <si>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</si>
  <si>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</si>
  <si>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</si>
  <si>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</si>
  <si>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</si>
  <si>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</si>
  <si>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</si>
  <si>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</si>
  <si>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</si>
  <si>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</si>
  <si>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</si>
  <si>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</si>
  <si>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</si>
  <si>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</si>
  <si>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</si>
  <si>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</si>
  <si>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</si>
  <si>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</si>
  <si>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</si>
  <si>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</si>
  <si>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</si>
  <si>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</si>
  <si>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</si>
  <si>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</si>
  <si>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</si>
  <si>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</si>
  <si>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</si>
  <si>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</si>
  <si>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</si>
  <si>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</si>
  <si>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</si>
  <si>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</si>
  <si>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</si>
  <si>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</si>
  <si>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</si>
  <si>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</si>
  <si>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</si>
  <si>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</si>
  <si>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</si>
  <si>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</si>
  <si>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</si>
  <si>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</si>
  <si>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</si>
  <si>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</si>
  <si>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</si>
  <si>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</si>
  <si>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</si>
  <si>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</si>
  <si>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</si>
  <si>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</si>
  <si>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</si>
  <si>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</si>
  <si>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</si>
  <si>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</si>
  <si>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</si>
  <si>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</si>
  <si>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</si>
  <si>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</si>
  <si>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</si>
  <si>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</si>
  <si>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</si>
  <si>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</si>
  <si>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</si>
  <si>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</si>
  <si>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</si>
  <si>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</si>
  <si>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</si>
  <si>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</si>
  <si>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</si>
  <si>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</si>
  <si>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</si>
  <si>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</si>
  <si>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</si>
  <si>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</si>
  <si>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</si>
  <si>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</si>
  <si>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</si>
  <si>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</si>
  <si>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</si>
  <si>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</si>
  <si>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</si>
  <si>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</si>
  <si>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</si>
  <si>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</si>
  <si>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</si>
  <si>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</si>
  <si>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</si>
  <si>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</si>
  <si>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</si>
  <si>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</si>
  <si>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</si>
  <si>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</si>
  <si>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</si>
  <si>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</si>
  <si>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</si>
  <si>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</si>
  <si>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</si>
  <si>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</si>
  <si>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</si>
  <si>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</si>
  <si>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</si>
  <si>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</si>
  <si>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</si>
  <si>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</si>
  <si>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</si>
  <si>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</si>
  <si>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</si>
  <si>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</si>
  <si>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</si>
  <si>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</si>
  <si>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</si>
  <si>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</si>
  <si>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</si>
  <si>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</si>
  <si>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</si>
  <si>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</si>
  <si>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</si>
  <si>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</si>
  <si>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</si>
  <si>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</si>
  <si>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</si>
  <si>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</si>
  <si>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</si>
  <si>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</si>
  <si>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</si>
  <si>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</si>
  <si>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</si>
  <si>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</si>
  <si>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</si>
  <si>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</si>
  <si>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</si>
  <si>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</si>
  <si>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</si>
  <si>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</si>
  <si>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</si>
  <si>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</si>
  <si>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</si>
  <si>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</si>
  <si>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</si>
  <si>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</si>
  <si>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</si>
  <si>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</si>
  <si>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</si>
  <si>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</si>
  <si>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</si>
  <si>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</si>
  <si>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</si>
  <si>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</si>
  <si>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</si>
  <si>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</si>
  <si>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</si>
  <si>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</si>
  <si>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</si>
  <si>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</si>
  <si>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</si>
  <si>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</si>
  <si>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</si>
  <si>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</si>
  <si>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</si>
  <si>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</si>
  <si>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</si>
  <si>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</si>
  <si>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</si>
  <si>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</si>
  <si>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</si>
  <si>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</si>
  <si>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</si>
  <si>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</si>
  <si>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</si>
  <si>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</si>
  <si>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</si>
  <si>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</si>
  <si>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</si>
  <si>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</si>
  <si>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</si>
  <si>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</si>
  <si>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</si>
  <si>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</si>
  <si>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</si>
  <si>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</si>
  <si>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</si>
  <si>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</si>
  <si>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</si>
  <si>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</si>
  <si>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</si>
  <si>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</si>
  <si>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</si>
  <si>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</si>
  <si>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</si>
  <si>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</si>
  <si>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</si>
  <si>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</si>
  <si>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</si>
  <si>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</si>
  <si>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</si>
  <si>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</si>
  <si>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</si>
  <si>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</si>
  <si>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</si>
  <si>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</si>
  <si>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</si>
  <si>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</si>
  <si>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</si>
  <si>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</si>
  <si>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</si>
  <si>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</si>
  <si>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</si>
  <si>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</si>
  <si>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</si>
  <si>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</si>
  <si>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</si>
  <si>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</si>
  <si>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</si>
  <si>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</si>
  <si>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</si>
  <si>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</si>
  <si>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</si>
  <si>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</si>
  <si>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</si>
  <si>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</si>
  <si>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</si>
  <si>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</si>
  <si>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</si>
  <si>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</si>
  <si>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</si>
  <si>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</si>
  <si>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</si>
  <si>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</si>
  <si>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</si>
  <si>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</si>
  <si>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</si>
  <si>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</si>
  <si>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</si>
  <si>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</si>
  <si>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</si>
  <si>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</si>
  <si>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</si>
  <si>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</si>
  <si>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</si>
  <si>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</si>
  <si>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</si>
  <si>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</si>
  <si>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</si>
  <si>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</si>
  <si>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</si>
  <si>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</si>
  <si>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</si>
  <si>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</si>
  <si>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</si>
  <si>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</si>
  <si>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</si>
  <si>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</si>
  <si>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</si>
  <si>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</si>
  <si>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</si>
  <si>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</si>
  <si>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</si>
  <si>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</si>
  <si>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</si>
  <si>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</si>
  <si>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</si>
  <si>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</si>
  <si>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</si>
  <si>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</si>
  <si>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</si>
  <si>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</si>
  <si>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</si>
  <si>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</si>
  <si>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</si>
  <si>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</si>
  <si>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</si>
  <si>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</si>
  <si>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</si>
  <si>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</si>
  <si>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</si>
  <si>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</si>
  <si>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</si>
  <si>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</si>
  <si>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</si>
  <si>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</si>
  <si>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</si>
  <si>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</si>
  <si>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</si>
  <si>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</si>
  <si>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</si>
  <si>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</si>
  <si>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</si>
  <si>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</si>
  <si>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</si>
  <si>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</si>
  <si>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</si>
  <si>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</si>
  <si>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</si>
  <si>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</si>
  <si>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</si>
  <si>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</si>
  <si>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</si>
  <si>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</si>
  <si>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</si>
  <si>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</si>
  <si>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</si>
  <si>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</si>
  <si>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</si>
  <si>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</si>
  <si>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</si>
  <si>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</si>
  <si>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</si>
  <si>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</si>
  <si>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</si>
  <si>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</si>
  <si>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</si>
  <si>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</si>
  <si>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</si>
  <si>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</si>
  <si>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</si>
  <si>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</si>
  <si>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</si>
  <si>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</si>
  <si>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</si>
  <si>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</si>
  <si>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</si>
  <si>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</si>
  <si>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</si>
  <si>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</si>
  <si>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</si>
  <si>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</si>
  <si>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</si>
  <si>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</si>
  <si>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</si>
  <si>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</si>
  <si>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</si>
  <si>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</si>
  <si>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</si>
  <si>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</si>
  <si>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</si>
  <si>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</si>
  <si>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</si>
  <si>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</si>
  <si>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</si>
  <si>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</si>
  <si>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</si>
  <si>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</si>
  <si>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</si>
  <si>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</si>
  <si>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</si>
  <si>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</si>
  <si>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</si>
  <si>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</si>
  <si>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</si>
  <si>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</si>
  <si>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</si>
  <si>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</si>
  <si>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</si>
  <si>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</si>
  <si>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</si>
  <si>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</si>
  <si>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</si>
  <si>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</si>
  <si>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</si>
  <si>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</si>
  <si>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</si>
  <si>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</si>
  <si>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</si>
  <si>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</si>
  <si>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</si>
  <si>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</si>
  <si>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</si>
  <si>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</si>
  <si>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</si>
  <si>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</si>
  <si>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</si>
  <si>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</si>
  <si>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</si>
  <si>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</si>
  <si>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</si>
  <si>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</si>
  <si>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</si>
  <si>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</si>
  <si>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</si>
  <si>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</si>
  <si>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</si>
  <si>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</si>
  <si>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</si>
  <si>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</si>
  <si>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</si>
  <si>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</si>
  <si>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</si>
  <si>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</si>
  <si>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</si>
  <si>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</si>
  <si>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</si>
  <si>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</si>
  <si>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</si>
  <si>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</si>
  <si>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</si>
  <si>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</si>
  <si>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</si>
  <si>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</si>
  <si>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</si>
  <si>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</si>
  <si>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</si>
  <si>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</si>
  <si>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</si>
  <si>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</si>
  <si>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</si>
  <si>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</si>
  <si>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</si>
  <si>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</si>
  <si>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</si>
  <si>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</si>
  <si>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</si>
  <si>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</si>
  <si>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</si>
  <si>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</si>
  <si>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</si>
  <si>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</si>
  <si>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</si>
  <si>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</si>
  <si>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</si>
  <si>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</si>
  <si>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</si>
  <si>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</si>
  <si>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</si>
  <si>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</si>
  <si>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</si>
  <si>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</si>
  <si>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</si>
  <si>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</si>
  <si>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</si>
  <si>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</si>
  <si>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</si>
  <si>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</si>
  <si>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</si>
  <si>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</si>
  <si>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</si>
  <si>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</si>
  <si>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</si>
  <si>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</si>
  <si>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</si>
  <si>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</si>
  <si>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</si>
  <si>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</si>
  <si>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</si>
  <si>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</si>
  <si>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</si>
  <si>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</si>
  <si>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</si>
  <si>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</si>
  <si>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</si>
  <si>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</si>
  <si>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</si>
  <si>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</si>
  <si>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</si>
  <si>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</si>
  <si>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</si>
  <si>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</si>
  <si>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</si>
  <si>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</si>
  <si>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</si>
  <si>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</si>
  <si>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</si>
  <si>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</si>
  <si>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</si>
  <si>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</si>
  <si>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</si>
  <si>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</si>
  <si>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</si>
  <si>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</si>
  <si>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</si>
  <si>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</si>
  <si>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</si>
  <si>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</si>
  <si>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</si>
  <si>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</si>
  <si>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</si>
  <si>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</si>
  <si>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</si>
  <si>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</si>
  <si>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</si>
  <si>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</si>
  <si>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</si>
  <si>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</si>
  <si>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</si>
  <si>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</si>
  <si>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</si>
  <si>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</si>
  <si>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</si>
  <si>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</si>
  <si>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</si>
  <si>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</si>
  <si>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</si>
  <si>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</si>
  <si>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</si>
  <si>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</si>
  <si>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</si>
  <si>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</si>
  <si>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</si>
  <si>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</si>
  <si>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</si>
  <si>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</si>
  <si>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</si>
  <si>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</si>
  <si>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</si>
  <si>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</si>
  <si>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</si>
  <si>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</si>
  <si>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</si>
  <si>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</si>
  <si>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</si>
  <si>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</si>
  <si>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</si>
  <si>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</si>
  <si>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</si>
  <si>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</si>
  <si>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</si>
  <si>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</si>
  <si>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</si>
  <si>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</si>
  <si>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</si>
  <si>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</si>
  <si>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</si>
  <si>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</si>
  <si>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</si>
  <si>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</si>
  <si>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</si>
  <si>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</si>
  <si>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</si>
  <si>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</si>
  <si>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</si>
  <si>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</si>
  <si>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</si>
  <si>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</si>
  <si>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</si>
  <si>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</si>
  <si>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</si>
  <si>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</si>
  <si>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</si>
  <si>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</si>
  <si>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</si>
  <si>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</si>
  <si>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</si>
  <si>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</si>
  <si>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</si>
  <si>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</si>
  <si>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</si>
  <si>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</si>
  <si>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</si>
  <si>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</si>
  <si>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</si>
  <si>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</si>
  <si>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</si>
  <si>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</si>
  <si>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</si>
  <si>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</si>
  <si>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</si>
  <si>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</si>
  <si>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</si>
  <si>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</si>
  <si>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</si>
  <si>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</si>
  <si>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</si>
  <si>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</si>
  <si>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</si>
  <si>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</si>
  <si>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</si>
  <si>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</si>
  <si>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</si>
  <si>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</si>
  <si>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</si>
  <si>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</si>
  <si>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</si>
  <si>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</si>
  <si>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</si>
  <si>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</si>
  <si>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</si>
  <si>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</si>
  <si>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</si>
  <si>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</si>
  <si>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</si>
  <si>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</si>
  <si>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</si>
  <si>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</si>
  <si>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</si>
  <si>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</si>
  <si>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</si>
  <si>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</si>
  <si>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</si>
  <si>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</si>
  <si>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</si>
  <si>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</si>
  <si>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</si>
  <si>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</si>
  <si>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</si>
  <si>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</si>
  <si>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</si>
  <si>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</si>
  <si>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</si>
  <si>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</si>
  <si>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</si>
  <si>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</si>
  <si>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</si>
  <si>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</si>
  <si>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</si>
  <si>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</si>
  <si>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</si>
  <si>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</si>
  <si>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</si>
  <si>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</si>
  <si>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</si>
  <si>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</si>
  <si>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</si>
  <si>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</si>
  <si>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</si>
  <si>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</si>
  <si>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</si>
  <si>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</si>
  <si>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</si>
  <si>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</si>
  <si>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</si>
  <si>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</si>
  <si>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</si>
  <si>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</si>
  <si>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</si>
  <si>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</si>
  <si>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</si>
  <si>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</si>
  <si>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</si>
  <si>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</si>
  <si>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</si>
  <si>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</si>
  <si>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</si>
  <si>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</si>
  <si>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</si>
  <si>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</si>
  <si>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</si>
  <si>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</si>
  <si>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</si>
  <si>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</si>
  <si>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</si>
  <si>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</si>
  <si>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</si>
  <si>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</si>
  <si>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</si>
  <si>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</si>
  <si>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</si>
  <si>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</si>
  <si>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</si>
  <si>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</si>
  <si>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</si>
  <si>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</si>
  <si>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</si>
  <si>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</si>
  <si>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</si>
  <si>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</si>
  <si>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</si>
  <si>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</si>
  <si>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</si>
  <si>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</si>
  <si>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</si>
  <si>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</si>
  <si>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</si>
  <si>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</si>
  <si>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</si>
  <si>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</si>
  <si>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</si>
  <si>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</si>
  <si>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</si>
  <si>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</si>
  <si>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</si>
  <si>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</si>
  <si>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</si>
  <si>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</si>
  <si>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</si>
  <si>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</si>
  <si>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</si>
  <si>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</si>
  <si>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</si>
  <si>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</si>
  <si>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</si>
  <si>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</si>
  <si>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</si>
  <si>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</si>
  <si>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</si>
  <si>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</si>
  <si>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</si>
  <si>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</si>
  <si>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</si>
  <si>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</si>
  <si>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</si>
  <si>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</si>
  <si>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</si>
  <si>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</si>
  <si>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</si>
  <si>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</si>
  <si>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</si>
  <si>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</si>
  <si>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</si>
  <si>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</si>
  <si>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</si>
  <si>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</si>
  <si>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</si>
  <si>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</si>
  <si>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</si>
  <si>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</si>
  <si>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</si>
  <si>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</si>
  <si>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</si>
  <si>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</si>
  <si>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</si>
  <si>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</si>
  <si>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</si>
  <si>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</si>
  <si>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</si>
  <si>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</si>
  <si>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</si>
  <si>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</si>
  <si>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</si>
  <si>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</si>
  <si>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</si>
  <si>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</si>
  <si>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</si>
  <si>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</si>
  <si>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</si>
  <si>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</si>
  <si>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</si>
  <si>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</si>
  <si>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</si>
  <si>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</si>
  <si>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</si>
  <si>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</si>
  <si>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</si>
  <si>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</si>
  <si>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</si>
  <si>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</si>
  <si>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</si>
  <si>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</si>
  <si>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</si>
  <si>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</si>
  <si>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</si>
  <si>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</si>
  <si>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</si>
  <si>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</si>
  <si>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</si>
  <si>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</si>
  <si>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</si>
  <si>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</si>
  <si>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</si>
  <si>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</si>
  <si>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</si>
  <si>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</si>
  <si>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</si>
  <si>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</si>
  <si>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</si>
  <si>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</si>
  <si>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</si>
  <si>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</si>
  <si>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</si>
  <si>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</si>
  <si>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</si>
  <si>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</si>
  <si>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</si>
  <si>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</si>
  <si>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</si>
  <si>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</si>
  <si>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</si>
  <si>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</si>
  <si>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</si>
  <si>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</si>
  <si>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</si>
  <si>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</si>
  <si>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</si>
  <si>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</si>
  <si>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</si>
  <si>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</si>
  <si>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</si>
  <si>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</si>
  <si>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</si>
  <si>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</si>
  <si>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</si>
  <si>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</si>
  <si>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</si>
  <si>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</si>
  <si>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</si>
  <si>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</si>
  <si>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</si>
  <si>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</si>
  <si>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</si>
  <si>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</si>
  <si>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</si>
  <si>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</si>
  <si>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</si>
  <si>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</si>
  <si>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</si>
  <si>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</si>
  <si>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</si>
  <si>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</si>
  <si>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</si>
  <si>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</si>
  <si>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</si>
  <si>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</si>
  <si>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</si>
  <si>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</si>
  <si>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</si>
  <si>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</si>
  <si>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</si>
  <si>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</si>
  <si>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</si>
  <si>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</si>
  <si>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</si>
  <si>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</si>
  <si>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</si>
  <si>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</si>
  <si>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</si>
  <si>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</si>
  <si>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</si>
  <si>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</si>
  <si>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</si>
  <si>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</si>
  <si>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</si>
  <si>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</si>
  <si>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</si>
  <si>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</si>
  <si>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</si>
  <si>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</si>
  <si>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</si>
  <si>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</si>
  <si>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</si>
  <si>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</si>
  <si>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</si>
  <si>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</si>
  <si>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</si>
  <si>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</si>
  <si>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</si>
  <si>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</si>
  <si>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</si>
  <si>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</si>
  <si>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</si>
  <si>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</si>
  <si>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</si>
  <si>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</si>
  <si>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</si>
  <si>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</si>
  <si>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</si>
  <si>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</si>
  <si>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</si>
  <si>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</si>
  <si>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</si>
  <si>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</si>
  <si>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</si>
  <si>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</si>
  <si>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</si>
  <si>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</si>
  <si>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</si>
  <si>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</si>
  <si>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</si>
  <si>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</si>
  <si>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</si>
  <si>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</si>
  <si>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</si>
  <si>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</si>
  <si>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</si>
  <si>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</si>
  <si>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</si>
  <si>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</si>
  <si>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</si>
  <si>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</si>
  <si>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</si>
  <si>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</si>
  <si>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</si>
  <si>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</si>
  <si>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</si>
  <si>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</si>
  <si>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</si>
  <si>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</si>
  <si>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</si>
  <si>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</si>
  <si>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</si>
  <si>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</si>
  <si>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</si>
  <si>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</si>
  <si>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</si>
  <si>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</si>
  <si>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</si>
  <si>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</si>
  <si>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</si>
  <si>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</si>
  <si>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</si>
  <si>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</si>
  <si>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</si>
  <si>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</si>
  <si>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</si>
  <si>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</si>
  <si>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</si>
  <si>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</si>
  <si>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</si>
  <si>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</si>
  <si>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</si>
  <si>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</si>
  <si>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</si>
  <si>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</si>
  <si>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</si>
  <si>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</si>
  <si>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</si>
  <si>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</si>
  <si>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</si>
  <si>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</si>
  <si>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</si>
  <si>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</si>
  <si>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</si>
  <si>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</si>
  <si>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</si>
  <si>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</si>
  <si>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</si>
  <si>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</si>
  <si>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</si>
  <si>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</si>
  <si>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</si>
  <si>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</si>
  <si>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</si>
  <si>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</si>
  <si>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</si>
  <si>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</si>
  <si>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</si>
  <si>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</si>
  <si>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</si>
  <si>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</si>
  <si>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</si>
  <si>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</si>
  <si>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</si>
  <si>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</si>
  <si>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</si>
  <si>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</si>
  <si>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</si>
  <si>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</si>
  <si>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</si>
  <si>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</si>
  <si>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</si>
  <si>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</si>
  <si>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</si>
  <si>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</si>
  <si>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</si>
  <si>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</si>
  <si>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</si>
  <si>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</si>
  <si>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</si>
  <si>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</si>
  <si>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</si>
  <si>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</si>
  <si>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</si>
  <si>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</si>
  <si>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</si>
  <si>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</si>
  <si>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</si>
  <si>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</si>
  <si>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</si>
  <si>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</si>
  <si>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</si>
  <si>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</si>
  <si>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</si>
  <si>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</si>
  <si>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</si>
  <si>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</si>
  <si>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</si>
  <si>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</si>
  <si>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</si>
  <si>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</si>
  <si>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</si>
  <si>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</si>
  <si>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</si>
  <si>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</si>
  <si>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</si>
  <si>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</si>
  <si>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</si>
  <si>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</si>
  <si>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</si>
  <si>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</si>
  <si>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</si>
  <si>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</si>
  <si>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</si>
  <si>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</si>
  <si>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</si>
  <si>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</si>
  <si>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</si>
  <si>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</si>
  <si>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</si>
  <si>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</si>
  <si>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</si>
  <si>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</si>
  <si>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</si>
  <si>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</si>
  <si>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</si>
  <si>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</si>
  <si>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</si>
  <si>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</si>
  <si>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</si>
  <si>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</si>
  <si>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</si>
  <si>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</si>
  <si>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</si>
  <si>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</si>
  <si>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</si>
  <si>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</si>
  <si>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</si>
  <si>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</si>
  <si>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</si>
  <si>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</si>
  <si>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</si>
  <si>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</si>
  <si>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</si>
  <si>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</si>
  <si>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</si>
  <si>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</si>
  <si>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</si>
  <si>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</si>
  <si>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</si>
  <si>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</si>
  <si>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</si>
  <si>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</si>
  <si>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</si>
  <si>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</si>
  <si>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</si>
  <si>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</si>
  <si>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</si>
  <si>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</si>
  <si>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</si>
  <si>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</si>
  <si>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</si>
  <si>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</si>
  <si>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</si>
  <si>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</si>
  <si>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</si>
  <si>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</si>
  <si>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</si>
  <si>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</si>
  <si>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</si>
  <si>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</si>
  <si>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</si>
  <si>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</si>
  <si>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</si>
  <si>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</si>
  <si>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</si>
  <si>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</si>
  <si>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</si>
  <si>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</si>
  <si>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</si>
  <si>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</si>
  <si>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</si>
  <si>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</si>
  <si>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</si>
  <si>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</si>
  <si>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</si>
  <si>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</si>
  <si>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</si>
  <si>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</si>
  <si>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</si>
  <si>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</si>
  <si>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</si>
  <si>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</si>
  <si>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</si>
  <si>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</si>
  <si>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</si>
  <si>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</si>
  <si>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</si>
  <si>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</si>
  <si>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</si>
  <si>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</si>
  <si>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</si>
  <si>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</si>
  <si>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</si>
  <si>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</si>
  <si>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</si>
  <si>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</si>
  <si>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</si>
  <si>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</si>
  <si>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</si>
  <si>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</si>
  <si>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</si>
  <si>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</si>
  <si>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</si>
  <si>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</si>
  <si>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</si>
  <si>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</si>
  <si>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</si>
  <si>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</si>
  <si>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</si>
  <si>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</si>
  <si>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</si>
  <si>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</si>
  <si>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</si>
  <si>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</si>
  <si>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</si>
  <si>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</si>
  <si>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</si>
  <si>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</si>
  <si>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</si>
  <si>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</si>
  <si>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</si>
  <si>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</si>
  <si>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</si>
  <si>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</si>
  <si>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</si>
  <si>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</si>
  <si>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</si>
  <si>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</si>
  <si>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</si>
  <si>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</si>
  <si>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</si>
  <si>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</si>
  <si>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</si>
  <si>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</si>
  <si>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</si>
  <si>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</si>
  <si>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</si>
  <si>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</si>
  <si>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</si>
  <si>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</si>
  <si>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</si>
  <si>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</si>
  <si>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</si>
  <si>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</si>
  <si>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</si>
  <si>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</si>
  <si>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</si>
  <si>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</si>
  <si>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</si>
  <si>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</si>
  <si>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</si>
  <si>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</si>
  <si>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</si>
  <si>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</si>
  <si>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</si>
  <si>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</si>
  <si>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</si>
  <si>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</si>
  <si>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</si>
  <si>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</si>
  <si>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</si>
  <si>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</si>
  <si>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</si>
  <si>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</si>
  <si>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</si>
  <si>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</si>
  <si>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</si>
  <si>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</si>
  <si>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</si>
  <si>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</si>
  <si>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</si>
  <si>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</si>
  <si>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</si>
  <si>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</si>
  <si>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</si>
  <si>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</si>
  <si>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</si>
  <si>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</si>
  <si>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</si>
  <si>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</si>
  <si>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</si>
  <si>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</si>
  <si>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</si>
  <si>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</si>
  <si>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</si>
  <si>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</si>
  <si>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</si>
  <si>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</si>
  <si>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</si>
  <si>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</si>
  <si>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</si>
  <si>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</si>
  <si>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</si>
  <si>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</si>
  <si>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</si>
  <si>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</si>
  <si>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</si>
  <si>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</si>
  <si>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</si>
  <si>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</si>
  <si>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</si>
  <si>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</si>
  <si>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</si>
  <si>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</si>
  <si>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</si>
  <si>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</si>
  <si>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</si>
  <si>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</si>
  <si>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</si>
  <si>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</si>
  <si>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</si>
  <si>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</si>
  <si>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</si>
  <si>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</si>
  <si>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</si>
  <si>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</si>
  <si>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</si>
  <si>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</si>
  <si>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</si>
  <si>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</si>
  <si>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</si>
  <si>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</si>
  <si>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</si>
  <si>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</si>
  <si>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</si>
  <si>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</si>
  <si>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</si>
  <si>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</si>
  <si>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</si>
  <si>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</si>
  <si>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</si>
  <si>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</si>
  <si>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</si>
  <si>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</si>
  <si>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</si>
  <si>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</si>
  <si>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</si>
  <si>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</si>
  <si>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</si>
  <si>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</si>
  <si>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</si>
  <si>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</si>
  <si>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</si>
  <si>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</si>
  <si>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</si>
  <si>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</si>
  <si>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</si>
  <si>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</si>
  <si>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</si>
  <si>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</si>
  <si>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</si>
  <si>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</si>
  <si>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</si>
  <si>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</si>
  <si>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</si>
  <si>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</si>
  <si>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</si>
  <si>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</si>
  <si>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</si>
  <si>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</si>
  <si>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</si>
  <si>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</si>
  <si>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</si>
  <si>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</si>
  <si>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</si>
  <si>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</si>
  <si>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</si>
  <si>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</si>
  <si>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</si>
  <si>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</si>
  <si>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</si>
  <si>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</si>
  <si>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</si>
  <si>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</si>
  <si>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</si>
  <si>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</si>
  <si>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</si>
  <si>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</si>
  <si>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</si>
  <si>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</si>
  <si>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</si>
  <si>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</si>
  <si>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</si>
  <si>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</si>
  <si>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</si>
  <si>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</si>
  <si>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</si>
  <si>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</si>
  <si>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</si>
  <si>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</si>
  <si>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</si>
  <si>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</si>
  <si>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</si>
  <si>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</si>
  <si>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</si>
  <si>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</si>
  <si>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</si>
  <si>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</si>
  <si>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</si>
  <si>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</si>
  <si>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</si>
  <si>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</si>
  <si>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</si>
  <si>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</si>
  <si>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</si>
  <si>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</si>
  <si>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</si>
  <si>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</si>
  <si>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</si>
  <si>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</si>
  <si>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</si>
  <si>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</si>
  <si>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</si>
  <si>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</si>
  <si>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</si>
  <si>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</si>
  <si>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</si>
  <si>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</si>
  <si>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</si>
  <si>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</si>
  <si>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</si>
  <si>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</si>
  <si>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</si>
  <si>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</si>
  <si>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</si>
  <si>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</si>
  <si>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</si>
  <si>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</si>
  <si>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</si>
  <si>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</si>
  <si>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</si>
  <si>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</si>
  <si>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</si>
  <si>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</si>
  <si>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</si>
  <si>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</si>
  <si>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</si>
  <si>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</si>
  <si>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</si>
  <si>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</si>
  <si>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</si>
  <si>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</si>
  <si>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</si>
  <si>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</si>
  <si>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</si>
  <si>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</si>
  <si>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</si>
  <si>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</si>
  <si>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</si>
  <si>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</si>
  <si>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</si>
  <si>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</si>
  <si>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</si>
  <si>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</si>
  <si>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</si>
  <si>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</si>
  <si>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</si>
  <si>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</si>
  <si>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</si>
  <si>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</si>
  <si>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</si>
  <si>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</si>
  <si>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</si>
  <si>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</si>
  <si>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</si>
  <si>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</si>
  <si>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</si>
  <si>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</si>
  <si>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</si>
  <si>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</si>
  <si>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</si>
  <si>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</si>
  <si>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</si>
  <si>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</si>
  <si>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</si>
  <si>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</si>
  <si>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</si>
  <si>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</si>
  <si>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</si>
  <si>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</si>
  <si>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</si>
  <si>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</si>
  <si>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</si>
  <si>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</si>
  <si>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</si>
  <si>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</si>
  <si>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</si>
  <si>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</si>
  <si>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</si>
  <si>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</si>
  <si>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</si>
  <si>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</si>
  <si>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</si>
  <si>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</si>
  <si>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</si>
  <si>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</si>
  <si>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</si>
  <si>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</si>
  <si>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</si>
  <si>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</si>
  <si>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</si>
  <si>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</si>
  <si>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</si>
  <si>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</si>
  <si>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</si>
  <si>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</si>
  <si>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</si>
  <si>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</si>
  <si>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</si>
  <si>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</si>
  <si>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</si>
  <si>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</si>
  <si>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</si>
  <si>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</si>
  <si>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</si>
  <si>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</si>
  <si>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</si>
  <si>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</si>
  <si>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</si>
  <si>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</si>
  <si>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</si>
  <si>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</si>
  <si>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</si>
  <si>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</si>
  <si>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</si>
  <si>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</si>
  <si>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</si>
  <si>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</si>
  <si>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</si>
  <si>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</si>
  <si>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</si>
  <si>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</si>
  <si>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</si>
  <si>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</si>
  <si>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</si>
  <si>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</si>
  <si>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</si>
  <si>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</si>
  <si>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</si>
  <si>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</si>
  <si>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</si>
  <si>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</si>
  <si>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</si>
  <si>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</si>
  <si>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</si>
  <si>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</si>
  <si>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</si>
  <si>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</si>
  <si>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</si>
  <si>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</si>
  <si>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</si>
  <si>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</si>
  <si>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</si>
  <si>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</si>
  <si>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</si>
  <si>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</si>
  <si>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</si>
  <si>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</si>
  <si>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</si>
  <si>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</si>
  <si>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</si>
  <si>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</si>
  <si>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</si>
  <si>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</si>
  <si>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</si>
  <si>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</si>
  <si>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</si>
  <si>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</si>
  <si>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</si>
  <si>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</si>
  <si>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</si>
  <si>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</si>
  <si>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</si>
  <si>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</si>
  <si>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</si>
  <si>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</si>
  <si>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</si>
  <si>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</si>
  <si>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</si>
  <si>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</si>
  <si>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</si>
  <si>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</si>
  <si>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</si>
  <si>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</si>
  <si>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</si>
  <si>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</si>
  <si>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</si>
  <si>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</si>
  <si>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</si>
  <si>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</si>
  <si>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</si>
  <si>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</si>
  <si>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</si>
  <si>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</si>
  <si>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</si>
  <si>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</si>
  <si>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</si>
  <si>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</si>
  <si>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</si>
  <si>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</si>
  <si>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</si>
  <si>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</si>
  <si>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</si>
  <si>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</si>
  <si>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</si>
  <si>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</si>
  <si>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</si>
  <si>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</si>
  <si>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</si>
  <si>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</si>
  <si>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</si>
  <si>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</si>
  <si>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</si>
  <si>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</si>
  <si>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</si>
  <si>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</si>
  <si>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</si>
  <si>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</si>
  <si>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</si>
  <si>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</si>
  <si>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</si>
  <si>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</si>
  <si>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</si>
  <si>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</si>
  <si>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</si>
  <si>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</si>
  <si>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</si>
  <si>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</si>
  <si>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</si>
  <si>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</si>
  <si>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</si>
  <si>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</si>
  <si>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</si>
  <si>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</si>
  <si>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</si>
  <si>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</si>
  <si>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</si>
  <si>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</si>
  <si>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</si>
  <si>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</si>
  <si>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</si>
  <si>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</si>
  <si>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</si>
  <si>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</si>
  <si>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</si>
  <si>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</si>
  <si>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</si>
  <si>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</si>
  <si>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</si>
  <si>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</si>
  <si>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</si>
  <si>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</si>
  <si>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</si>
  <si>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</si>
  <si>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</si>
  <si>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</si>
  <si>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</si>
  <si>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</si>
  <si>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</si>
  <si>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</si>
  <si>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</si>
  <si>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</si>
  <si>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</si>
  <si>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</si>
  <si>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</si>
  <si>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</si>
  <si>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</si>
  <si>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</si>
  <si>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</si>
  <si>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</si>
  <si>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</si>
  <si>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</si>
  <si>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</si>
  <si>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</si>
  <si>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</si>
  <si>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</si>
  <si>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</si>
  <si>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</si>
  <si>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</si>
  <si>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</si>
  <si>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</si>
  <si>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</si>
  <si>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</si>
  <si>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</si>
  <si>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</si>
  <si>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</si>
  <si>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</si>
  <si>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</si>
  <si>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</si>
  <si>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</si>
  <si>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</si>
  <si>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</si>
  <si>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</si>
  <si>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</si>
  <si>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</si>
  <si>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</si>
  <si>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</si>
  <si>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</si>
  <si>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</si>
  <si>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</si>
  <si>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</si>
  <si>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</si>
  <si>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</si>
  <si>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</si>
  <si>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</si>
  <si>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</si>
  <si>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</si>
  <si>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</si>
  <si>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</si>
  <si>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</si>
  <si>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</si>
  <si>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</si>
  <si>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</si>
  <si>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</si>
  <si>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</si>
  <si>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</si>
  <si>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</si>
  <si>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</si>
  <si>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</si>
  <si>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</si>
  <si>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</si>
  <si>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</si>
  <si>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</si>
  <si>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</si>
  <si>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</si>
  <si>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</si>
  <si>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</si>
  <si>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</si>
  <si>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</si>
  <si>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</si>
  <si>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</si>
  <si>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</si>
  <si>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</si>
  <si>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</si>
  <si>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</si>
  <si>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</si>
  <si>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</si>
  <si>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</si>
  <si>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</si>
  <si>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</si>
  <si>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</si>
  <si>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</si>
  <si>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</si>
  <si>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</si>
  <si>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</si>
  <si>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</si>
  <si>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</si>
  <si>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</si>
  <si>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</si>
  <si>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</si>
  <si>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</si>
  <si>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</si>
  <si>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</si>
  <si>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</si>
  <si>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</si>
  <si>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</si>
  <si>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</si>
  <si>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</si>
  <si>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</si>
  <si>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</si>
  <si>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</si>
  <si>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</si>
  <si>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</si>
  <si>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</si>
  <si>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</si>
  <si>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</si>
  <si>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</si>
  <si>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</si>
  <si>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</si>
  <si>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</si>
  <si>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</si>
  <si>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</si>
  <si>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</si>
  <si>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</si>
  <si>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</si>
  <si>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</si>
  <si>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</si>
  <si>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</si>
  <si>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</si>
  <si>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</si>
  <si>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</si>
  <si>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</si>
  <si>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</si>
  <si>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</si>
  <si>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</si>
  <si>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</si>
  <si>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</si>
  <si>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</si>
  <si>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</si>
  <si>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</si>
  <si>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</si>
  <si>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</si>
  <si>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</si>
  <si>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</si>
  <si>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</si>
  <si>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</si>
  <si>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</si>
  <si>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</si>
  <si>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</si>
  <si>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</si>
  <si>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</si>
  <si>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</si>
  <si>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</si>
  <si>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</si>
  <si>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</si>
  <si>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</si>
  <si>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</si>
  <si>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</si>
  <si>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</si>
  <si>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</si>
  <si>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</si>
  <si>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</si>
  <si>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</si>
  <si>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</si>
  <si>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</si>
  <si>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</si>
  <si>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</si>
  <si>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</si>
  <si>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</si>
  <si>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</si>
  <si>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</si>
  <si>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</si>
  <si>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</si>
  <si>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</si>
  <si>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</si>
  <si>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</si>
  <si>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</si>
  <si>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</si>
  <si>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</si>
  <si>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</si>
  <si>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</si>
  <si>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</si>
  <si>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</si>
  <si>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</si>
  <si>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</si>
  <si>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</si>
  <si>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</si>
  <si>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</si>
  <si>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</si>
  <si>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</si>
  <si>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</si>
  <si>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</si>
  <si>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</si>
  <si>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</si>
  <si>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</si>
  <si>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</si>
  <si>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</si>
  <si>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</si>
  <si>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</si>
  <si>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</si>
  <si>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</si>
  <si>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</si>
  <si>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</si>
  <si>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</si>
  <si>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</si>
  <si>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</si>
  <si>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</si>
  <si>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</si>
  <si>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</si>
  <si>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</si>
  <si>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</si>
  <si>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</si>
  <si>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</si>
  <si>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</si>
  <si>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</si>
  <si>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</si>
  <si>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</si>
  <si>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</si>
  <si>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</si>
  <si>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</si>
  <si>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</si>
  <si>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</si>
  <si>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</si>
  <si>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</si>
  <si>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</si>
  <si>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</si>
  <si>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</si>
  <si>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</si>
  <si>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</si>
  <si>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</si>
  <si>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</si>
  <si>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</si>
  <si>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</si>
  <si>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</si>
  <si>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</si>
  <si>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</si>
  <si>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</si>
  <si>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</si>
  <si>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</si>
  <si>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</si>
  <si>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</si>
  <si>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</si>
  <si>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</si>
  <si>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</si>
  <si>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</si>
  <si>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</si>
  <si>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</si>
  <si>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</si>
  <si>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</si>
  <si>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</si>
  <si>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</si>
  <si>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</si>
  <si>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</si>
  <si>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</si>
  <si>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</si>
  <si>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</si>
  <si>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</si>
  <si>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</si>
  <si>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</si>
  <si>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</si>
  <si>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</si>
  <si>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</si>
  <si>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</si>
  <si>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</si>
  <si>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</si>
  <si>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</si>
  <si>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</si>
  <si>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</si>
  <si>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</si>
  <si>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</si>
  <si>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</si>
  <si>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</si>
  <si>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</si>
  <si>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</si>
  <si>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</si>
  <si>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</si>
  <si>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</si>
  <si>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</si>
  <si>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</si>
  <si>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</si>
  <si>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</si>
  <si>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</si>
  <si>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</si>
  <si>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</si>
  <si>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</si>
  <si>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</si>
  <si>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</si>
  <si>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</si>
  <si>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</si>
  <si>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</si>
  <si>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</si>
  <si>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</si>
  <si>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</si>
  <si>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</si>
  <si>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</si>
  <si>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</si>
  <si>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</si>
  <si>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</si>
  <si>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</si>
  <si>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</si>
  <si>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</si>
  <si>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</si>
  <si>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</si>
  <si>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</si>
  <si>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</si>
  <si>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</si>
  <si>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</si>
  <si>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</si>
  <si>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</si>
  <si>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</si>
  <si>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</si>
  <si>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</si>
  <si>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</si>
  <si>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</si>
  <si>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</si>
  <si>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</si>
  <si>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</si>
  <si>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</si>
  <si>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</si>
  <si>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</si>
  <si>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</si>
  <si>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</si>
  <si>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</si>
  <si>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</si>
  <si>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</si>
  <si>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</si>
  <si>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</si>
  <si>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</si>
  <si>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</si>
  <si>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</si>
  <si>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</si>
  <si>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</si>
  <si>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</si>
  <si>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</si>
  <si>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</si>
  <si>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</si>
  <si>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</si>
  <si>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</si>
  <si>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</si>
  <si>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</si>
  <si>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</si>
  <si>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</si>
  <si>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</si>
  <si>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</si>
  <si>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</si>
  <si>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</si>
  <si>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</si>
  <si>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</si>
  <si>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</si>
  <si>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</si>
  <si>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</si>
  <si>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</si>
  <si>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</si>
  <si>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</si>
  <si>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</si>
  <si>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</si>
  <si>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</si>
  <si>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</si>
  <si>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</si>
  <si>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</si>
  <si>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</si>
  <si>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</si>
  <si>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</si>
  <si>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</si>
  <si>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</si>
  <si>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</si>
  <si>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</si>
  <si>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</si>
  <si>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</si>
  <si>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</si>
  <si>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</si>
  <si>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</si>
  <si>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</si>
  <si>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</si>
  <si>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</si>
  <si>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</si>
  <si>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</si>
  <si>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</si>
  <si>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</si>
  <si>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</si>
  <si>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</si>
  <si>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</si>
  <si>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</si>
  <si>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</si>
  <si>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</si>
  <si>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</si>
  <si>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</si>
  <si>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</si>
  <si>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</si>
  <si>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</si>
  <si>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</si>
  <si>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</si>
  <si>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</si>
  <si>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</si>
  <si>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</si>
  <si>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</si>
  <si>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</si>
  <si>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</si>
  <si>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</si>
  <si>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</si>
  <si>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</si>
  <si>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</si>
  <si>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</si>
  <si>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</si>
  <si>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</si>
  <si>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</si>
  <si>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</si>
  <si>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</si>
  <si>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</si>
  <si>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</si>
  <si>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</si>
  <si>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</si>
  <si>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</si>
  <si>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</si>
  <si>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</si>
  <si>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</si>
  <si>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</si>
  <si>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</si>
  <si>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</si>
  <si>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</si>
  <si>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</si>
  <si>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</si>
  <si>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</si>
  <si>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</si>
  <si>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</si>
  <si>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</si>
  <si>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</si>
  <si>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</si>
  <si>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</si>
  <si>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</si>
  <si>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</si>
  <si>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</si>
  <si>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</si>
  <si>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</si>
  <si>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</si>
  <si>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</si>
  <si>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</si>
  <si>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</si>
  <si>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</si>
  <si>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</si>
  <si>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</si>
  <si>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</si>
  <si>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</si>
  <si>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</si>
  <si>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</si>
  <si>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</si>
  <si>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</si>
  <si>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</si>
  <si>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</si>
  <si>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</si>
  <si>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</si>
  <si>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</si>
  <si>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</si>
  <si>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</si>
  <si>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</si>
  <si>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</si>
  <si>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</si>
  <si>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</si>
  <si>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</si>
  <si>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</si>
  <si>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</si>
  <si>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</si>
  <si>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</si>
  <si>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</si>
  <si>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</si>
  <si>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</si>
  <si>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</si>
  <si>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</si>
  <si>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</si>
  <si>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</si>
  <si>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</si>
  <si>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</si>
  <si>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</si>
  <si>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</si>
  <si>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</si>
  <si>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</si>
  <si>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</si>
  <si>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</si>
  <si>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</si>
  <si>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</si>
  <si>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</si>
  <si>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</si>
  <si>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</si>
  <si>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</si>
  <si>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</si>
  <si>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</si>
  <si>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</si>
  <si>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</si>
  <si>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</si>
  <si>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</si>
  <si>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</si>
  <si>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</si>
  <si>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</si>
  <si>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</si>
  <si>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</si>
  <si>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</si>
  <si>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</si>
  <si>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</si>
  <si>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</si>
  <si>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</si>
  <si>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</si>
  <si>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</si>
  <si>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</si>
  <si>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</si>
  <si>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</si>
  <si>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</si>
  <si>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</si>
  <si>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</si>
  <si>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</si>
  <si>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</si>
  <si>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</si>
  <si>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</si>
  <si>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</si>
  <si>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</si>
  <si>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</si>
  <si>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</si>
  <si>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</si>
  <si>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</si>
  <si>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</si>
  <si>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</si>
  <si>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</si>
  <si>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</si>
  <si>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</si>
  <si>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</si>
  <si>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</si>
  <si>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</si>
  <si>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</si>
  <si>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</si>
  <si>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</si>
  <si>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</si>
  <si>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</si>
  <si>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</si>
  <si>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</si>
  <si>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</si>
  <si>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</si>
  <si>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</si>
  <si>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</si>
  <si>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</si>
  <si>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</si>
  <si>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</si>
  <si>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</si>
  <si>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</si>
  <si>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</si>
  <si>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</si>
  <si>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</si>
  <si>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</si>
  <si>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</si>
  <si>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</si>
  <si>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</si>
  <si>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</si>
  <si>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</si>
  <si>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</si>
  <si>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</si>
  <si>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</si>
  <si>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</si>
  <si>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</si>
  <si>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</si>
  <si>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</si>
  <si>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</si>
  <si>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</si>
  <si>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</si>
  <si>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</si>
  <si>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</si>
  <si>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</si>
  <si>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</si>
  <si>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</si>
  <si>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</si>
  <si>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</si>
  <si>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</si>
  <si>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</si>
  <si>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</si>
  <si>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</si>
  <si>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</si>
  <si>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</si>
  <si>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</si>
  <si>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</si>
  <si>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</si>
  <si>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</si>
  <si>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</si>
  <si>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</si>
  <si>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</si>
  <si>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</si>
  <si>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</si>
  <si>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</si>
  <si>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</si>
  <si>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</si>
  <si>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</si>
  <si>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</si>
  <si>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</si>
  <si>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</si>
  <si>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</si>
  <si>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</si>
  <si>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</si>
  <si>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</si>
  <si>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</si>
  <si>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</si>
  <si>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</si>
  <si>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</si>
  <si>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</si>
  <si>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</si>
  <si>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</si>
  <si>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</si>
  <si>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</si>
  <si>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</si>
  <si>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</si>
  <si>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</si>
  <si>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</si>
  <si>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</si>
  <si>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</si>
  <si>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</si>
  <si>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</si>
  <si>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</si>
  <si>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</si>
  <si>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</si>
  <si>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</si>
  <si>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</si>
  <si>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</si>
  <si>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</si>
  <si>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</si>
  <si>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</si>
  <si>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</si>
  <si>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</si>
  <si>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</si>
  <si>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</si>
  <si>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</si>
  <si>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</si>
  <si>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</si>
  <si>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</si>
  <si>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</si>
  <si>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</si>
  <si>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</si>
  <si>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</si>
  <si>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</si>
  <si>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</si>
  <si>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</si>
  <si>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</si>
  <si>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</si>
  <si>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</si>
  <si>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</si>
  <si>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</si>
  <si>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</si>
  <si>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</si>
  <si>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</si>
  <si>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</si>
  <si>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</si>
  <si>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</si>
  <si>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</si>
  <si>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</si>
  <si>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</si>
  <si>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</si>
  <si>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</si>
  <si>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</si>
  <si>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</si>
  <si>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</si>
  <si>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</si>
  <si>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</si>
  <si>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</si>
  <si>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</si>
  <si>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</si>
  <si>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</si>
  <si>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</si>
  <si>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</si>
  <si>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</si>
  <si>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</si>
  <si>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</si>
  <si>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</si>
  <si>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</si>
  <si>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</si>
  <si>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</si>
  <si>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</si>
  <si>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</si>
  <si>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</si>
  <si>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</si>
  <si>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</si>
  <si>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</si>
  <si>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</si>
  <si>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</si>
  <si>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</si>
  <si>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</si>
  <si>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</si>
  <si>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</si>
  <si>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</si>
  <si>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</si>
  <si>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</si>
  <si>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</si>
  <si>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</si>
  <si>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</si>
  <si>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</si>
  <si>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</si>
  <si>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</si>
  <si>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</si>
  <si>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</si>
  <si>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</si>
  <si>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</si>
  <si>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</si>
  <si>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</si>
  <si>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</si>
  <si>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</si>
  <si>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</si>
  <si>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</si>
  <si>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</si>
  <si>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</si>
  <si>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</si>
  <si>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</si>
  <si>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</si>
  <si>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</si>
  <si>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</si>
  <si>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</si>
  <si>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</si>
  <si>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</si>
  <si>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</si>
  <si>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</si>
  <si>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</si>
  <si>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</si>
  <si>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</si>
  <si>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</si>
  <si>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</si>
  <si>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</si>
  <si>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</si>
  <si>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</si>
  <si>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</si>
  <si>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</si>
  <si>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</si>
  <si>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</si>
  <si>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</si>
  <si>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</si>
  <si>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</si>
  <si>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</si>
  <si>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</si>
  <si>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</si>
  <si>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</si>
  <si>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</si>
  <si>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</si>
  <si>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</si>
  <si>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</si>
  <si>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</si>
  <si>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</si>
  <si>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</si>
  <si>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</si>
  <si>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</si>
  <si>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</si>
  <si>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</si>
  <si>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</si>
  <si>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</si>
  <si>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</si>
  <si>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</si>
  <si>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</si>
  <si>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</si>
  <si>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</si>
  <si>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</si>
  <si>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</si>
  <si>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</si>
  <si>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</si>
  <si>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</si>
  <si>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</si>
  <si>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</si>
  <si>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</si>
  <si>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</si>
  <si>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</si>
  <si>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</si>
  <si>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</si>
  <si>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</si>
  <si>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</si>
  <si>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</si>
  <si>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</si>
  <si>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</si>
  <si>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</si>
  <si>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</si>
  <si>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</si>
  <si>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</si>
  <si>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</si>
  <si>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</si>
  <si>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</si>
  <si>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</si>
  <si>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</si>
  <si>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</si>
  <si>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</si>
  <si>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</si>
  <si>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</si>
  <si>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</si>
  <si>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</si>
  <si>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</si>
  <si>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</si>
  <si>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</si>
  <si>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</si>
  <si>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</si>
  <si>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</si>
  <si>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</si>
  <si>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</si>
  <si>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</si>
  <si>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</si>
  <si>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</si>
  <si>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</si>
  <si>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</si>
  <si>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</si>
  <si>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</si>
  <si>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</si>
  <si>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</si>
  <si>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</si>
  <si>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</si>
  <si>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</si>
  <si>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</si>
  <si>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</si>
  <si>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</si>
  <si>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</si>
  <si>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</si>
  <si>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</si>
  <si>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</si>
  <si>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</si>
  <si>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</si>
  <si>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</si>
  <si>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</si>
  <si>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</si>
  <si>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</si>
  <si>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</si>
  <si>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</si>
  <si>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</si>
  <si>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</si>
  <si>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</si>
  <si>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</si>
  <si>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</si>
  <si>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</si>
  <si>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</si>
  <si>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</si>
  <si>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</si>
  <si>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</si>
  <si>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</si>
  <si>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</si>
  <si>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</si>
  <si>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</si>
  <si>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</si>
  <si>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</si>
  <si>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</si>
  <si>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</si>
  <si>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</si>
  <si>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</si>
  <si>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</si>
  <si>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</si>
  <si>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</si>
  <si>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</si>
  <si>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</si>
  <si>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</si>
  <si>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</si>
  <si>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</si>
  <si>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</si>
  <si>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</si>
  <si>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</si>
  <si>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</si>
  <si>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</si>
  <si>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</si>
  <si>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</si>
  <si>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</si>
  <si>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</si>
  <si>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</si>
  <si>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</si>
  <si>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</si>
  <si>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</si>
  <si>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</si>
  <si>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</si>
  <si>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</si>
  <si>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</si>
  <si>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</si>
  <si>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</si>
  <si>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</si>
  <si>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</si>
  <si>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</si>
  <si>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</si>
  <si>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</si>
  <si>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</si>
  <si>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</si>
  <si>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</si>
  <si>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</si>
  <si>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</si>
  <si>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</si>
  <si>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</si>
  <si>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</si>
  <si>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</si>
  <si>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</si>
  <si>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</si>
  <si>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</si>
  <si>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</si>
  <si>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</si>
  <si>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</si>
  <si>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</si>
  <si>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</si>
  <si>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</si>
  <si>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</si>
  <si>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</si>
  <si>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</si>
  <si>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</si>
  <si>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</si>
  <si>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</si>
  <si>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</si>
  <si>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</si>
  <si>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</si>
  <si>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</si>
  <si>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</si>
  <si>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</si>
  <si>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</si>
  <si>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</si>
  <si>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</si>
  <si>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</si>
  <si>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</si>
  <si>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</si>
  <si>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</si>
  <si>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</si>
  <si>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</si>
  <si>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</si>
  <si>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</si>
  <si>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</si>
  <si>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</si>
  <si>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</si>
  <si>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</si>
  <si>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</si>
  <si>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</si>
  <si>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</si>
  <si>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</si>
  <si>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</si>
  <si>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</si>
  <si>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</si>
  <si>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</si>
  <si>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</si>
  <si>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</si>
  <si>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</si>
  <si>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</si>
  <si>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</si>
  <si>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</si>
  <si>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</si>
  <si>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</si>
  <si>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</si>
  <si>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</si>
  <si>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</si>
  <si>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</si>
  <si>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</si>
  <si>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</si>
  <si>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</si>
  <si>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</si>
  <si>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</si>
  <si>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</si>
  <si>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</si>
  <si>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</si>
  <si>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</si>
  <si>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</si>
  <si>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</si>
  <si>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</si>
  <si>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</si>
  <si>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</si>
  <si>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</si>
  <si>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</si>
  <si>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</si>
  <si>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</si>
  <si>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</si>
  <si>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</si>
  <si>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</si>
  <si>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</si>
  <si>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</si>
  <si>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</si>
  <si>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</si>
  <si>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</si>
  <si>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</si>
  <si>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</si>
  <si>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</si>
  <si>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</si>
  <si>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</si>
  <si>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</si>
  <si>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</si>
  <si>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</si>
  <si>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</si>
  <si>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</si>
  <si>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</si>
  <si>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</si>
  <si>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</si>
  <si>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</si>
  <si>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</si>
  <si>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</si>
  <si>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</si>
  <si>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</si>
  <si>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</si>
  <si>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</si>
  <si>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</si>
  <si>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</si>
  <si>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</si>
  <si>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</si>
  <si>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</si>
  <si>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</si>
  <si>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</si>
  <si>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</si>
  <si>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</si>
  <si>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</si>
  <si>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</si>
  <si>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</si>
  <si>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</si>
  <si>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</si>
  <si>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</si>
  <si>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</si>
  <si>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</si>
  <si>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</si>
  <si>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</si>
  <si>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</si>
  <si>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</si>
  <si>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</si>
  <si>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</si>
  <si>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</si>
  <si>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</si>
  <si>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</si>
  <si>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</si>
  <si>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</si>
  <si>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</si>
  <si>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</si>
  <si>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</si>
  <si>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</si>
  <si>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</si>
  <si>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</si>
  <si>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</si>
  <si>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</si>
  <si>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</si>
  <si>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</si>
  <si>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</si>
  <si>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</si>
  <si>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</si>
  <si>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</si>
  <si>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</si>
  <si>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</si>
  <si>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</si>
  <si>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</si>
  <si>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</si>
  <si>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</si>
  <si>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</si>
  <si>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</si>
  <si>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</si>
  <si>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</si>
  <si>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</si>
  <si>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</si>
  <si>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</si>
  <si>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</si>
  <si>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</si>
  <si>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</si>
  <si>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</si>
  <si>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</si>
  <si>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</si>
  <si>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</si>
  <si>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</si>
  <si>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</si>
  <si>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</si>
  <si>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</si>
  <si>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</si>
  <si>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</si>
  <si>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</si>
  <si>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</si>
  <si>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</si>
  <si>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</si>
  <si>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</si>
  <si>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</si>
  <si>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</si>
  <si>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</si>
  <si>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</si>
  <si>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</si>
  <si>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</si>
  <si>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</si>
  <si>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</si>
  <si>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</si>
  <si>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</si>
  <si>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</si>
  <si>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</si>
  <si>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</si>
  <si>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</si>
  <si>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</si>
  <si>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</si>
  <si>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</si>
  <si>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</si>
  <si>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</si>
  <si>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</si>
  <si>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</si>
  <si>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</si>
  <si>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</si>
  <si>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</si>
  <si>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</si>
  <si>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</si>
  <si>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</si>
  <si>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</si>
  <si>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</si>
  <si>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</si>
  <si>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</si>
  <si>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</si>
  <si>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</si>
  <si>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</si>
  <si>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</si>
  <si>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</si>
  <si>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</si>
  <si>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</si>
  <si>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</si>
  <si>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</si>
  <si>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</si>
  <si>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</si>
  <si>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</si>
  <si>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</si>
  <si>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</si>
  <si>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</si>
  <si>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</si>
  <si>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</si>
  <si>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</si>
  <si>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</si>
  <si>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</si>
  <si>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</si>
  <si>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</si>
  <si>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</si>
  <si>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</si>
  <si>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</si>
  <si>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</si>
  <si>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</si>
  <si>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</si>
  <si>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</si>
  <si>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</si>
  <si>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</si>
  <si>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</si>
  <si>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</si>
  <si>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</si>
  <si>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</si>
  <si>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</si>
  <si>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</si>
  <si>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</si>
  <si>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</si>
  <si>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</si>
  <si>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</si>
  <si>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</si>
  <si>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</si>
  <si>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</si>
  <si>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</si>
  <si>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</si>
  <si>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</si>
  <si>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</si>
  <si>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</si>
  <si>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</si>
  <si>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</si>
  <si>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</si>
  <si>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</si>
  <si>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</si>
  <si>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</si>
  <si>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</si>
  <si>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</si>
  <si>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</si>
  <si>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</si>
  <si>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</si>
  <si>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</si>
  <si>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</si>
  <si>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</si>
  <si>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</si>
  <si>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</si>
  <si>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</si>
  <si>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</si>
  <si>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</si>
  <si>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</si>
  <si>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</si>
  <si>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</si>
  <si>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</si>
  <si>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</si>
  <si>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</si>
  <si>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</si>
  <si>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</si>
  <si>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</si>
  <si>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</si>
  <si>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</si>
  <si>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</si>
  <si>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</si>
  <si>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</si>
  <si>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</si>
  <si>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</si>
  <si>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</si>
  <si>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</si>
  <si>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</si>
  <si>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</si>
  <si>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</si>
  <si>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</si>
  <si>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</si>
  <si>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</si>
  <si>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</si>
  <si>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</si>
  <si>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</si>
  <si>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</si>
  <si>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</si>
  <si>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</si>
  <si>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</si>
  <si>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</si>
  <si>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</si>
  <si>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</si>
  <si>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</si>
  <si>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</si>
  <si>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</si>
  <si>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</si>
  <si>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</si>
  <si>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</si>
  <si>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</si>
  <si>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</si>
  <si>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</si>
  <si>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</si>
  <si>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</si>
  <si>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</si>
  <si>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</si>
  <si>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</si>
  <si>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</si>
  <si>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</si>
  <si>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</si>
  <si>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</si>
  <si>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</si>
  <si>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</si>
  <si>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</si>
  <si>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</si>
  <si>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</si>
  <si>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</si>
  <si>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</si>
  <si>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</si>
  <si>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</si>
  <si>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</si>
  <si>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</si>
  <si>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</si>
  <si>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</si>
  <si>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</si>
  <si>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</si>
  <si>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</si>
  <si>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</si>
  <si>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</si>
  <si>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</si>
  <si>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</si>
  <si>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</si>
  <si>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</si>
  <si>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</si>
  <si>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</si>
  <si>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</si>
  <si>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</si>
  <si>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</si>
  <si>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</si>
  <si>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</si>
  <si>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</si>
  <si>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</si>
  <si>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</si>
  <si>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</si>
  <si>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</si>
  <si>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</si>
  <si>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</si>
  <si>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</si>
  <si>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</si>
  <si>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</si>
  <si>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</si>
  <si>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</si>
  <si>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</si>
  <si>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</si>
  <si>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</si>
  <si>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</si>
  <si>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</si>
  <si>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</si>
  <si>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</si>
  <si>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</si>
  <si>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</si>
  <si>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</si>
  <si>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</si>
  <si>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</si>
  <si>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</si>
  <si>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</si>
  <si>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</si>
  <si>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</si>
  <si>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</si>
  <si>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</si>
  <si>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</si>
  <si>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</si>
  <si>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</si>
  <si>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</si>
  <si>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</si>
  <si>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</si>
  <si>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</si>
  <si>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</si>
  <si>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</si>
  <si>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</si>
  <si>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</si>
  <si>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</si>
  <si>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</si>
  <si>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</si>
  <si>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</si>
  <si>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</si>
  <si>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</si>
  <si>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</si>
  <si>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</si>
  <si>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</si>
  <si>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</si>
  <si>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</si>
  <si>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</si>
  <si>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</si>
  <si>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</si>
  <si>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</si>
  <si>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</si>
  <si>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</si>
  <si>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</si>
  <si>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</si>
  <si>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</si>
  <si>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</si>
  <si>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</si>
  <si>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</si>
  <si>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</si>
  <si>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</si>
  <si>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</si>
  <si>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</si>
  <si>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</si>
  <si>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</si>
  <si>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</si>
  <si>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</si>
  <si>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</si>
  <si>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</si>
  <si>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</si>
  <si>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</si>
  <si>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</si>
  <si>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</si>
  <si>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</si>
  <si>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</si>
  <si>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</si>
  <si>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</si>
  <si>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</si>
  <si>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</si>
  <si>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</si>
  <si>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</si>
  <si>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</si>
  <si>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</si>
  <si>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</si>
  <si>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</si>
  <si>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</si>
  <si>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</si>
  <si>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</si>
  <si>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</si>
  <si>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</si>
  <si>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</si>
  <si>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</si>
  <si>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</si>
  <si>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</si>
  <si>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</si>
  <si>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</si>
  <si>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</si>
  <si>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</si>
  <si>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</si>
  <si>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</si>
  <si>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</si>
  <si>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</si>
  <si>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</si>
  <si>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</si>
  <si>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</si>
  <si>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</si>
  <si>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</si>
  <si>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</si>
  <si>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</si>
  <si>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</si>
  <si>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</si>
  <si>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</si>
  <si>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</si>
  <si>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</si>
  <si>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</si>
  <si>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</si>
  <si>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</si>
  <si>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</si>
  <si>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</si>
  <si>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</si>
  <si>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</si>
  <si>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</si>
  <si>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</si>
  <si>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</si>
  <si>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</si>
  <si>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</si>
  <si>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</si>
  <si>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</si>
  <si>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</si>
  <si>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</si>
  <si>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</si>
  <si>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</si>
  <si>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</si>
  <si>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</si>
  <si>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</si>
  <si>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</si>
  <si>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</si>
  <si>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</si>
  <si>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</si>
  <si>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</si>
  <si>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</si>
  <si>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</si>
  <si>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</si>
  <si>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</si>
  <si>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</si>
  <si>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</si>
  <si>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</si>
  <si>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</si>
  <si>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</si>
  <si>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</si>
  <si>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</si>
  <si>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</si>
  <si>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</si>
  <si>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</si>
  <si>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</si>
  <si>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</si>
  <si>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</si>
  <si>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</si>
  <si>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</si>
  <si>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</si>
  <si>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</si>
  <si>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</si>
  <si>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</si>
  <si>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</si>
  <si>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</si>
  <si>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</si>
  <si>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</si>
  <si>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</si>
  <si>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</si>
  <si>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</si>
  <si>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</si>
  <si>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</si>
  <si>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</si>
  <si>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</si>
  <si>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</si>
  <si>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</si>
  <si>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</si>
  <si>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</si>
  <si>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</si>
  <si>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</si>
  <si>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</si>
  <si>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</si>
  <si>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</si>
  <si>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</si>
  <si>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</si>
  <si>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</si>
  <si>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</si>
  <si>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</si>
  <si>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</si>
  <si>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</si>
  <si>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</si>
  <si>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</si>
  <si>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</si>
  <si>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</si>
  <si>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</si>
  <si>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</si>
  <si>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</si>
  <si>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</si>
  <si>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</si>
  <si>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</si>
  <si>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</si>
  <si>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</si>
  <si>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</si>
  <si>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</si>
  <si>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</si>
  <si>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</si>
  <si>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</si>
  <si>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</si>
  <si>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</si>
  <si>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</si>
  <si>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</si>
  <si>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</si>
  <si>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</si>
  <si>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</si>
  <si>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</si>
  <si>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</si>
  <si>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</si>
  <si>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</si>
  <si>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</si>
  <si>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</si>
  <si>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</si>
  <si>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</si>
  <si>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</si>
  <si>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</si>
  <si>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</si>
  <si>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</si>
  <si>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</si>
  <si>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</si>
  <si>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</si>
  <si>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</si>
  <si>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</si>
  <si>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</si>
  <si>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</si>
  <si>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</si>
  <si>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</si>
  <si>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</si>
  <si>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</si>
  <si>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</si>
  <si>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</si>
  <si>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</si>
  <si>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</si>
  <si>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</si>
  <si>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</si>
  <si>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</si>
  <si>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</si>
  <si>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</si>
  <si>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</si>
  <si>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</si>
  <si>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</si>
  <si>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</si>
  <si>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</si>
  <si>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</si>
  <si>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</si>
  <si>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</si>
  <si>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</si>
  <si>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</si>
  <si>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</si>
  <si>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</si>
  <si>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</si>
  <si>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</si>
  <si>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</si>
  <si>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</si>
  <si>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</si>
  <si>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</si>
  <si>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</si>
  <si>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</si>
  <si>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</si>
  <si>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</si>
  <si>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</si>
  <si>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</si>
  <si>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</si>
  <si>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</si>
  <si>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</si>
  <si>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</si>
  <si>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</si>
  <si>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</si>
  <si>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</si>
  <si>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</si>
  <si>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</si>
  <si>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</si>
  <si>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</si>
  <si>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</si>
  <si>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</si>
  <si>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</si>
  <si>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</si>
  <si>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</si>
  <si>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</si>
  <si>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</si>
  <si>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</si>
  <si>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</si>
  <si>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</si>
  <si>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</si>
  <si>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</si>
  <si>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</si>
  <si>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</si>
  <si>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</si>
  <si>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</si>
  <si>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</si>
  <si>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</si>
  <si>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</si>
  <si>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</si>
  <si>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</si>
  <si>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</si>
  <si>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</si>
  <si>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</si>
  <si>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</si>
  <si>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</si>
  <si>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</si>
  <si>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</si>
  <si>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</si>
  <si>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</si>
  <si>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</si>
  <si>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</si>
  <si>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</si>
  <si>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</si>
  <si>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</si>
  <si>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</si>
  <si>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</si>
  <si>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</si>
  <si>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</si>
  <si>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</si>
  <si>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</si>
  <si>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</si>
  <si>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</si>
  <si>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</si>
  <si>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</si>
  <si>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</si>
  <si>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</si>
  <si>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</si>
  <si>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</si>
  <si>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</si>
  <si>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</si>
  <si>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</si>
  <si>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</si>
  <si>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</si>
  <si>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</si>
  <si>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</si>
  <si>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</si>
  <si>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</si>
  <si>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</si>
  <si>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</si>
  <si>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</si>
  <si>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</si>
  <si>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</si>
  <si>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</si>
  <si>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</si>
  <si>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</si>
  <si>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</si>
  <si>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</si>
  <si>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</si>
  <si>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</si>
  <si>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</si>
  <si>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</si>
  <si>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</si>
  <si>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</si>
  <si>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</si>
  <si>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</si>
  <si>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</si>
  <si>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</si>
  <si>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</si>
  <si>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</si>
  <si>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</si>
  <si>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</si>
  <si>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</si>
  <si>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</si>
  <si>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</si>
  <si>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</si>
  <si>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</si>
  <si>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</si>
  <si>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</si>
  <si>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</si>
  <si>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</si>
  <si>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</si>
  <si>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</si>
  <si>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</si>
  <si>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</si>
  <si>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</si>
  <si>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</si>
  <si>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</si>
  <si>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</si>
  <si>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</si>
  <si>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</si>
  <si>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</si>
  <si>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</si>
  <si>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</si>
  <si>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</si>
  <si>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</si>
  <si>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</si>
  <si>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</si>
  <si>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</si>
  <si>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</si>
  <si>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</si>
  <si>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</si>
  <si>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</si>
  <si>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</si>
  <si>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</si>
  <si>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</si>
  <si>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</si>
  <si>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</si>
  <si>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</si>
  <si>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</si>
  <si>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</si>
  <si>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</si>
  <si>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</si>
  <si>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</si>
  <si>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</si>
  <si>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</si>
  <si>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</si>
  <si>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</si>
  <si>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</si>
  <si>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</si>
  <si>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</si>
  <si>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</si>
  <si>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</si>
  <si>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</si>
  <si>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</si>
  <si>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</si>
  <si>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</si>
  <si>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</si>
  <si>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</si>
  <si>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</si>
  <si>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</si>
  <si>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</si>
  <si>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</si>
  <si>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</si>
  <si>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</si>
  <si>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</si>
  <si>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</si>
  <si>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</si>
  <si>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</si>
  <si>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</si>
  <si>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</si>
  <si>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</si>
  <si>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</si>
  <si>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</si>
  <si>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</si>
  <si>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</si>
  <si>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</si>
  <si>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</si>
  <si>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</si>
  <si>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</si>
  <si>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</si>
  <si>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</si>
  <si>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</si>
  <si>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</si>
  <si>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</si>
  <si>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</si>
  <si>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</si>
  <si>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</si>
  <si>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</si>
  <si>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</si>
  <si>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</si>
  <si>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</si>
  <si>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</si>
  <si>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</si>
  <si>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</si>
  <si>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</si>
  <si>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</si>
  <si>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</si>
  <si>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</si>
  <si>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</si>
  <si>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</si>
  <si>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</si>
  <si>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</si>
  <si>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</si>
  <si>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</si>
  <si>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</si>
  <si>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</si>
  <si>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</si>
  <si>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</si>
  <si>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</si>
  <si>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</si>
  <si>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</si>
  <si>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</si>
  <si>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</si>
  <si>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</si>
  <si>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</si>
  <si>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</si>
  <si>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</si>
  <si>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</si>
  <si>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</si>
  <si>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</si>
  <si>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</si>
  <si>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</si>
  <si>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</si>
  <si>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</si>
  <si>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</si>
  <si>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</si>
  <si>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</si>
  <si>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</si>
  <si>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</si>
  <si>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</si>
  <si>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</si>
  <si>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</si>
  <si>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</si>
  <si>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</si>
  <si>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</si>
  <si>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</si>
  <si>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</si>
  <si>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</si>
  <si>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</si>
  <si>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</si>
  <si>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</si>
  <si>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</si>
  <si>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</si>
  <si>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</si>
  <si>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</si>
  <si>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</si>
  <si>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</si>
  <si>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</si>
  <si>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</si>
  <si>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</si>
  <si>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</si>
  <si>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</si>
  <si>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</si>
  <si>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</si>
  <si>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</si>
  <si>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</si>
  <si>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</si>
  <si>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</si>
  <si>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</si>
  <si>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</si>
  <si>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</si>
  <si>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</si>
  <si>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</si>
  <si>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</si>
  <si>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</si>
  <si>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</si>
  <si>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</si>
  <si>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</si>
  <si>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</si>
  <si>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</si>
  <si>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</si>
  <si>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</si>
  <si>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</si>
  <si>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</si>
  <si>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</si>
  <si>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</si>
  <si>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</si>
  <si>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</si>
  <si>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</si>
  <si>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</si>
  <si>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</si>
  <si>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</si>
  <si>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</si>
  <si>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</si>
  <si>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</si>
  <si>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</si>
  <si>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</si>
  <si>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</si>
  <si>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</si>
  <si>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</si>
  <si>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</si>
  <si>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</si>
  <si>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</si>
  <si>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</si>
  <si>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</si>
  <si>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</si>
  <si>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</si>
  <si>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</si>
  <si>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</si>
  <si>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</si>
  <si>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</si>
  <si>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</si>
  <si>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</si>
  <si>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</si>
  <si>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</si>
  <si>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</si>
  <si>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</si>
  <si>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</si>
  <si>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</si>
  <si>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</si>
  <si>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</si>
  <si>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</si>
  <si>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</si>
  <si>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</si>
  <si>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</si>
  <si>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</si>
  <si>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</si>
  <si>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</si>
  <si>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</si>
  <si>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</si>
  <si>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</si>
  <si>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</si>
  <si>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</si>
  <si>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</si>
  <si>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</si>
  <si>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</si>
  <si>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</si>
  <si>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</si>
  <si>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</si>
  <si>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</si>
  <si>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</si>
  <si>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</si>
  <si>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</si>
  <si>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</si>
  <si>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</si>
  <si>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</si>
  <si>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</si>
  <si>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</si>
  <si>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</si>
  <si>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</si>
  <si>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</si>
  <si>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</si>
  <si>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</si>
  <si>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</si>
  <si>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</si>
  <si>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</si>
  <si>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</si>
  <si>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</si>
  <si>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</si>
  <si>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</si>
  <si>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</si>
  <si>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</si>
  <si>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</si>
  <si>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</si>
  <si>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</si>
  <si>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</si>
  <si>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</si>
  <si>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</si>
  <si>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</si>
  <si>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</si>
  <si>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</si>
  <si>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</si>
  <si>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</si>
  <si>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</si>
  <si>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</si>
  <si>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</si>
  <si>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</si>
  <si>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</si>
  <si>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</si>
  <si>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</si>
  <si>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</si>
  <si>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</si>
  <si>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</si>
  <si>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</si>
  <si>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</si>
  <si>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</si>
  <si>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</si>
  <si>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</si>
  <si>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</si>
  <si>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</si>
  <si>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</si>
  <si>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</si>
  <si>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</si>
  <si>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</si>
  <si>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</si>
  <si>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</si>
  <si>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</si>
  <si>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</si>
  <si>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</si>
  <si>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</si>
  <si>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</si>
  <si>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</si>
  <si>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</si>
  <si>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</si>
  <si>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</si>
  <si>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</si>
  <si>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</si>
  <si>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</si>
  <si>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</si>
  <si>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</si>
  <si>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</si>
  <si>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</si>
  <si>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</si>
  <si>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</si>
  <si>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</si>
  <si>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</si>
  <si>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</si>
  <si>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</si>
  <si>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</si>
  <si>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</si>
  <si>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</si>
  <si>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</si>
  <si>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</si>
  <si>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</si>
  <si>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</si>
  <si>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</si>
  <si>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</si>
  <si>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</si>
  <si>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</si>
  <si>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</si>
  <si>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</si>
  <si>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</si>
  <si>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</si>
  <si>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</si>
  <si>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</si>
  <si>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</si>
  <si>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</si>
  <si>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</si>
  <si>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</si>
  <si>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</si>
  <si>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</si>
  <si>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</si>
  <si>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</si>
  <si>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</si>
  <si>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</si>
  <si>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</si>
  <si>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</si>
  <si>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</si>
  <si>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</si>
  <si>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</si>
  <si>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</si>
  <si>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</si>
  <si>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</si>
  <si>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</si>
  <si>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</si>
  <si>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</si>
  <si>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</si>
  <si>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</si>
  <si>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</si>
  <si>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</si>
  <si>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</si>
  <si>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</si>
  <si>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</si>
  <si>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</si>
  <si>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</si>
  <si>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</si>
  <si>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</si>
  <si>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</si>
  <si>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</si>
  <si>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</si>
  <si>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</si>
  <si>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</si>
  <si>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</si>
  <si>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</si>
  <si>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</si>
  <si>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</si>
  <si>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</si>
  <si>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</si>
  <si>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</si>
  <si>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</si>
  <si>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</si>
  <si>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</si>
  <si>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</si>
  <si>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</si>
  <si>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</si>
  <si>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</si>
  <si>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</si>
  <si>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</si>
  <si>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</si>
  <si>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</si>
  <si>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</si>
  <si>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</si>
  <si>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</si>
  <si>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</si>
  <si>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</si>
  <si>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</si>
  <si>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</si>
  <si>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</si>
  <si>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</si>
  <si>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</si>
  <si>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</si>
  <si>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</si>
  <si>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</si>
  <si>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</si>
  <si>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</si>
  <si>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</si>
  <si>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</si>
  <si>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</si>
  <si>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</si>
  <si>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</si>
  <si>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</si>
  <si>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</si>
  <si>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</si>
  <si>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</si>
  <si>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</si>
  <si>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</si>
  <si>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</si>
  <si>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</si>
  <si>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</si>
  <si>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</si>
  <si>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</si>
  <si>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</si>
  <si>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</si>
  <si>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</si>
  <si>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</si>
  <si>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</si>
  <si>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</si>
  <si>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</si>
  <si>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</si>
  <si>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</si>
  <si>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</si>
  <si>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</si>
  <si>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</si>
  <si>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</si>
  <si>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</si>
  <si>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</si>
  <si>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</si>
  <si>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</si>
  <si>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</si>
  <si>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</si>
  <si>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</si>
  <si>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</si>
  <si>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</si>
  <si>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</si>
  <si>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</si>
  <si>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</si>
  <si>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</si>
  <si>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</si>
  <si>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</si>
  <si>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</si>
  <si>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</si>
  <si>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</si>
  <si>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</si>
  <si>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</si>
  <si>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</si>
  <si>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</si>
  <si>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</si>
  <si>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</si>
  <si>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</si>
  <si>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</si>
  <si>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</si>
  <si>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</si>
  <si>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</si>
  <si>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</si>
  <si>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</si>
  <si>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</si>
  <si>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</si>
  <si>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</si>
  <si>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</si>
  <si>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</si>
  <si>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</si>
  <si>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</si>
  <si>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</si>
  <si>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</si>
  <si>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</si>
  <si>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</si>
  <si>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</si>
  <si>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</si>
  <si>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</si>
  <si>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</si>
  <si>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</si>
  <si>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</si>
  <si>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</si>
  <si>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</si>
  <si>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</si>
  <si>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</si>
  <si>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</si>
  <si>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</si>
  <si>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</si>
  <si>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</si>
  <si>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</si>
  <si>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</si>
  <si>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</si>
  <si>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</si>
  <si>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</si>
  <si>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</si>
  <si>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</si>
  <si>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</si>
  <si>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</si>
  <si>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</si>
  <si>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</si>
  <si>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</si>
  <si>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</si>
  <si>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</si>
  <si>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</si>
  <si>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</si>
  <si>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</si>
  <si>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</si>
  <si>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</si>
  <si>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</si>
  <si>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</si>
  <si>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</si>
  <si>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</si>
  <si>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</si>
  <si>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</si>
  <si>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</si>
  <si>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</si>
  <si>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</si>
  <si>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</si>
  <si>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</si>
  <si>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</si>
  <si>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</si>
  <si>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</si>
  <si>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</si>
  <si>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</si>
  <si>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</si>
  <si>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</si>
  <si>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</si>
  <si>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</si>
  <si>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</si>
  <si>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</si>
  <si>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</si>
  <si>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</si>
  <si>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</si>
  <si>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</si>
  <si>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</si>
  <si>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</si>
  <si>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</si>
  <si>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</si>
  <si>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</si>
  <si>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</si>
  <si>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</si>
  <si>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</si>
  <si>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</si>
  <si>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</si>
  <si>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</si>
  <si>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</si>
  <si>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</si>
  <si>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</si>
  <si>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</si>
  <si>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</si>
  <si>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</si>
  <si>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</si>
  <si>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</si>
  <si>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</si>
  <si>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</si>
  <si>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</si>
  <si>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</si>
  <si>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</si>
  <si>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</si>
  <si>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</si>
  <si>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</si>
  <si>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</si>
  <si>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</si>
  <si>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</si>
  <si>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</si>
  <si>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</si>
  <si>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</si>
  <si>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</si>
  <si>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</si>
  <si>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</si>
  <si>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</si>
  <si>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</si>
  <si>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</si>
  <si>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</si>
  <si>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</si>
  <si>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</si>
  <si>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</si>
  <si>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</si>
  <si>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</si>
  <si>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</si>
  <si>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</si>
  <si>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</si>
  <si>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</si>
  <si>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</si>
  <si>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</si>
  <si>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</si>
  <si>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</si>
  <si>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</si>
  <si>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</si>
  <si>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</si>
  <si>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</si>
  <si>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</si>
  <si>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</si>
  <si>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</si>
  <si>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</si>
  <si>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</si>
  <si>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</si>
  <si>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</si>
  <si>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</si>
  <si>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</si>
  <si>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</si>
  <si>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</si>
  <si>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</si>
  <si>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</si>
  <si>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</si>
  <si>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</si>
  <si>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</si>
  <si>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</si>
  <si>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</si>
  <si>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</si>
  <si>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</si>
  <si>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</si>
  <si>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</si>
  <si>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</si>
  <si>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</si>
  <si>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</si>
  <si>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</si>
  <si>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</si>
  <si>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</si>
  <si>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</si>
  <si>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</si>
  <si>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</si>
  <si>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</si>
  <si>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</si>
  <si>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</si>
  <si>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</si>
  <si>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</si>
  <si>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</si>
  <si>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</si>
  <si>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</si>
  <si>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</si>
  <si>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</si>
  <si>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</si>
  <si>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</si>
  <si>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</si>
  <si>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</si>
  <si>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</si>
  <si>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</si>
  <si>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</si>
  <si>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</si>
  <si>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</si>
  <si>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</si>
  <si>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</si>
  <si>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</si>
  <si>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</si>
  <si>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</si>
  <si>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</si>
  <si>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</si>
  <si>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</si>
  <si>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</si>
  <si>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</si>
  <si>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</si>
  <si>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</si>
  <si>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</si>
  <si>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</si>
  <si>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</si>
  <si>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</si>
  <si>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</si>
  <si>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</si>
  <si>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</si>
  <si>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</si>
  <si>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</si>
  <si>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</si>
  <si>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</si>
  <si>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</si>
  <si>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</si>
  <si>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</si>
  <si>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</si>
  <si>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</si>
  <si>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</si>
  <si>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</si>
  <si>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</si>
  <si>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</si>
  <si>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</si>
  <si>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</si>
  <si>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</si>
  <si>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</si>
  <si>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</si>
  <si>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</si>
  <si>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</si>
  <si>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</si>
  <si>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</si>
  <si>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</si>
  <si>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</si>
  <si>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</si>
  <si>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</si>
  <si>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</si>
  <si>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</si>
  <si>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</si>
  <si>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</si>
  <si>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</si>
  <si>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</si>
  <si>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</si>
  <si>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</si>
  <si>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</si>
  <si>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</si>
  <si>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</si>
  <si>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</si>
  <si>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</si>
  <si>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</si>
  <si>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</si>
  <si>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</si>
  <si>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</si>
  <si>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</si>
  <si>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</si>
  <si>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</si>
  <si>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</si>
  <si>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</si>
  <si>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</si>
  <si>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</si>
  <si>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</si>
  <si>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</si>
  <si>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</si>
  <si>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</si>
  <si>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</si>
  <si>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</si>
  <si>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</si>
  <si>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</si>
  <si>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</si>
  <si>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</si>
  <si>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</si>
  <si>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</si>
  <si>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</si>
  <si>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</si>
  <si>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</si>
  <si>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</si>
  <si>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</si>
  <si>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</si>
  <si>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</si>
  <si>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</si>
  <si>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</si>
  <si>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</si>
  <si>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</si>
  <si>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</si>
  <si>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</si>
  <si>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</si>
  <si>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</si>
  <si>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</si>
  <si>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</si>
  <si>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</si>
  <si>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</si>
  <si>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</si>
  <si>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</si>
  <si>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</si>
  <si>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</si>
  <si>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</si>
  <si>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</si>
  <si>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</si>
  <si>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</si>
  <si>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</si>
  <si>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</si>
  <si>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</si>
  <si>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</si>
  <si>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</si>
  <si>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</si>
  <si>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</si>
  <si>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</si>
  <si>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</si>
  <si>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</si>
  <si>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</si>
  <si>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</si>
  <si>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</si>
  <si>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</si>
  <si>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</si>
  <si>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</si>
  <si>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</si>
  <si>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</si>
  <si>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</si>
  <si>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</si>
  <si>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</si>
  <si>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</si>
  <si>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</si>
  <si>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</si>
  <si>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</si>
  <si>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</si>
  <si>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</si>
  <si>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</si>
  <si>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</si>
  <si>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</si>
  <si>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</si>
  <si>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</si>
  <si>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</si>
  <si>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</si>
  <si>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</si>
  <si>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</si>
  <si>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</si>
  <si>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</si>
  <si>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</si>
  <si>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</si>
  <si>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</si>
  <si>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</si>
  <si>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</si>
  <si>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</si>
  <si>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</si>
  <si>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</si>
  <si>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</si>
  <si>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</si>
  <si>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</si>
  <si>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</si>
  <si>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</si>
  <si>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</si>
  <si>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</si>
  <si>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</si>
  <si>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</si>
  <si>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</si>
  <si>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</si>
  <si>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</si>
  <si>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</si>
  <si>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</si>
  <si>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</si>
  <si>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</si>
  <si>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</si>
  <si>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</si>
  <si>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</si>
  <si>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</si>
  <si>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</si>
  <si>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</si>
  <si>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</si>
  <si>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</si>
  <si>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</si>
  <si>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</si>
  <si>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</si>
  <si>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</si>
  <si>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</si>
  <si>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</si>
  <si>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</si>
  <si>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</si>
  <si>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</si>
  <si>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</si>
  <si>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</si>
  <si>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</si>
  <si>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</si>
  <si>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</si>
  <si>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</si>
  <si>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</si>
  <si>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</si>
  <si>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</si>
  <si>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</si>
  <si>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</si>
  <si>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</si>
  <si>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</si>
  <si>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</si>
  <si>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</si>
  <si>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</si>
  <si>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</si>
  <si>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</si>
  <si>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</si>
  <si>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</si>
  <si>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</si>
  <si>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</si>
  <si>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</si>
  <si>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</si>
  <si>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</si>
  <si>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</si>
  <si>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</si>
  <si>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</si>
  <si>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</si>
  <si>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</si>
  <si>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</si>
  <si>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</si>
  <si>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</si>
  <si>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</si>
  <si>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</si>
  <si>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</si>
  <si>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</si>
  <si>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</si>
  <si>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</si>
  <si>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</si>
  <si>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</si>
  <si>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</si>
  <si>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</si>
  <si>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</si>
  <si>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</si>
  <si>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</si>
  <si>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</si>
  <si>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</si>
  <si>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</si>
  <si>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</si>
  <si>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</si>
  <si>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</si>
  <si>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</si>
  <si>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</si>
  <si>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</si>
  <si>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</si>
  <si>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</si>
  <si>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</si>
  <si>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</si>
  <si>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</si>
  <si>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</si>
  <si>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</si>
  <si>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</si>
  <si>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</si>
  <si>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</si>
  <si>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</si>
  <si>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</si>
  <si>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</si>
  <si>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</si>
  <si>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</si>
  <si>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</si>
  <si>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</si>
  <si>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</si>
  <si>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</si>
  <si>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</si>
  <si>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</si>
  <si>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</si>
  <si>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</si>
  <si>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</si>
  <si>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</si>
  <si>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</si>
  <si>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</si>
  <si>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</si>
  <si>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</si>
  <si>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</si>
  <si>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</si>
  <si>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</si>
  <si>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</si>
  <si>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</si>
  <si>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</si>
  <si>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</si>
  <si>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</si>
  <si>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</si>
  <si>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</si>
  <si>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</si>
  <si>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</si>
  <si>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</si>
  <si>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</si>
  <si>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</si>
  <si>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</si>
  <si>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</si>
  <si>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</si>
  <si>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</si>
  <si>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</si>
  <si>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</si>
  <si>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</si>
  <si>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</si>
  <si>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</si>
  <si>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</si>
  <si>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</si>
  <si>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</si>
  <si>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</si>
  <si>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</si>
  <si>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</si>
  <si>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</si>
  <si>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</si>
  <si>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</si>
  <si>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</si>
  <si>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</si>
  <si>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</si>
  <si>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</si>
  <si>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</si>
  <si>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</si>
  <si>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</si>
  <si>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</si>
  <si>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</si>
  <si>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</si>
  <si>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</si>
  <si>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</si>
  <si>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</si>
  <si>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</si>
  <si>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</si>
  <si>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</si>
  <si>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</si>
  <si>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</si>
  <si>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</si>
  <si>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</si>
  <si>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</si>
  <si>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</si>
  <si>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</si>
  <si>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</si>
  <si>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</si>
  <si>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</si>
  <si>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</si>
  <si>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</si>
  <si>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</si>
  <si>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</si>
  <si>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</si>
  <si>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</si>
  <si>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</si>
  <si>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</si>
  <si>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</si>
  <si>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</si>
  <si>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</si>
  <si>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</si>
  <si>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</si>
  <si>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</si>
  <si>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</si>
  <si>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</si>
  <si>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</si>
  <si>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</si>
  <si>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</si>
  <si>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</si>
  <si>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</si>
  <si>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</si>
  <si>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</si>
  <si>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</si>
  <si>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</si>
  <si>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</si>
  <si>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</si>
  <si>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</si>
  <si>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</si>
  <si>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</si>
  <si>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</si>
  <si>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</si>
  <si>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</si>
  <si>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</si>
  <si>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</si>
  <si>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</si>
  <si>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</si>
  <si>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</si>
  <si>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</si>
  <si>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</si>
  <si>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</si>
  <si>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</si>
  <si>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</si>
  <si>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</si>
  <si>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</si>
  <si>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</si>
  <si>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</si>
  <si>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</si>
  <si>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</si>
  <si>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</si>
  <si>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</si>
  <si>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</si>
  <si>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</si>
  <si>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</si>
  <si>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</si>
  <si>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</si>
  <si>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</si>
  <si>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</si>
  <si>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</si>
  <si>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</si>
  <si>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</si>
  <si>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</si>
  <si>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</si>
  <si>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</si>
  <si>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</si>
  <si>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</si>
  <si>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</si>
  <si>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</si>
  <si>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</si>
  <si>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</si>
  <si>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</si>
  <si>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</si>
  <si>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</si>
  <si>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</si>
  <si>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</si>
  <si>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</si>
  <si>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</si>
  <si>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</si>
  <si>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</si>
  <si>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</si>
  <si>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</si>
  <si>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</si>
  <si>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</si>
  <si>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</si>
  <si>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</si>
  <si>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</si>
  <si>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</si>
  <si>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</si>
  <si>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</si>
  <si>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</si>
  <si>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</si>
  <si>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</si>
  <si>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</si>
  <si>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</si>
  <si>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</si>
  <si>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</si>
  <si>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</si>
  <si>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</si>
  <si>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</si>
  <si>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</si>
  <si>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</si>
  <si>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</si>
  <si>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</si>
  <si>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</si>
  <si>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</si>
  <si>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</si>
  <si>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</si>
  <si>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</si>
  <si>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</si>
  <si>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</si>
  <si>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</si>
  <si>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</si>
  <si>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</si>
  <si>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</si>
  <si>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</si>
  <si>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</si>
  <si>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</si>
  <si>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</si>
  <si>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</si>
  <si>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</si>
  <si>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</si>
  <si>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</si>
  <si>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</si>
  <si>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</si>
  <si>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</si>
  <si>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</si>
  <si>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</si>
  <si>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</si>
  <si>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</si>
  <si>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</si>
  <si>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</si>
  <si>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</si>
  <si>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</si>
  <si>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</si>
  <si>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</si>
  <si>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</si>
  <si>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</si>
  <si>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</si>
  <si>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</si>
  <si>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</si>
  <si>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</si>
  <si>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</si>
  <si>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</si>
  <si>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</si>
  <si>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</si>
  <si>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</si>
  <si>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</si>
  <si>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</si>
  <si>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</si>
  <si>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</si>
  <si>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</si>
  <si>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</si>
  <si>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</si>
  <si>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</si>
  <si>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</si>
  <si>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</si>
  <si>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</si>
  <si>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</si>
  <si>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</si>
  <si>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</si>
  <si>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</si>
  <si>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</si>
  <si>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</si>
  <si>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</si>
  <si>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</si>
  <si>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</si>
  <si>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</si>
  <si>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</si>
  <si>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</si>
  <si>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</si>
  <si>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</si>
  <si>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</si>
  <si>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</si>
  <si>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</si>
  <si>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</si>
  <si>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</si>
  <si>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</si>
  <si>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</si>
  <si>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</si>
  <si>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</si>
  <si>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</si>
  <si>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</si>
  <si>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</si>
  <si>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</si>
  <si>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</si>
  <si>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</si>
  <si>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</si>
  <si>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</si>
  <si>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</si>
  <si>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</si>
  <si>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</si>
  <si>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</si>
  <si>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</si>
  <si>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</si>
  <si>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</si>
  <si>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</si>
  <si>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</si>
  <si>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</si>
  <si>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</si>
  <si>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</si>
  <si>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</si>
  <si>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</si>
  <si>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</si>
  <si>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</si>
  <si>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</si>
  <si>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</si>
  <si>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</si>
  <si>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</si>
  <si>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</si>
  <si>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</si>
  <si>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</si>
  <si>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</si>
  <si>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</si>
  <si>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</si>
  <si>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</si>
  <si>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</si>
  <si>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</si>
  <si>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</si>
  <si>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</si>
  <si>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</si>
  <si>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</si>
  <si>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</si>
  <si>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</si>
  <si>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</si>
  <si>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</si>
  <si>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</si>
  <si>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</si>
  <si>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</si>
  <si>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</si>
  <si>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</si>
  <si>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</si>
  <si>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</si>
  <si>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</si>
  <si>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</si>
  <si>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</si>
  <si>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</si>
  <si>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</si>
  <si>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</si>
  <si>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</si>
  <si>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</si>
  <si>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</si>
  <si>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</si>
  <si>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</si>
  <si>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</si>
  <si>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</si>
  <si>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</si>
  <si>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</si>
  <si>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</si>
  <si>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</si>
  <si>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</si>
  <si>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</si>
  <si>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</si>
  <si>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</si>
  <si>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</si>
  <si>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</si>
  <si>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</si>
  <si>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</si>
  <si>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</si>
  <si>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</si>
  <si>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</si>
  <si>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</si>
  <si>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</si>
  <si>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</si>
  <si>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</si>
  <si>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</si>
  <si>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</si>
  <si>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</si>
  <si>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</si>
  <si>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</si>
  <si>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</si>
  <si>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</si>
  <si>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</si>
  <si>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</si>
  <si>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</si>
  <si>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</si>
  <si>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</si>
  <si>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</si>
  <si>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</si>
  <si>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</si>
  <si>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</si>
  <si>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</si>
  <si>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</si>
  <si>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</si>
  <si>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</si>
  <si>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</si>
  <si>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</si>
  <si>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</si>
  <si>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</si>
  <si>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</si>
  <si>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</si>
  <si>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</si>
  <si>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</si>
  <si>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</si>
  <si>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</si>
  <si>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</si>
  <si>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</si>
  <si>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</si>
  <si>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</si>
  <si>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</si>
  <si>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</si>
  <si>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</si>
  <si>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</si>
  <si>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</si>
  <si>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</si>
  <si>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</si>
  <si>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</si>
  <si>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</si>
  <si>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</si>
  <si>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</si>
  <si>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</si>
  <si>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</si>
  <si>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</si>
  <si>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</si>
  <si>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</si>
  <si>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</si>
  <si>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</si>
  <si>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</si>
  <si>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</si>
  <si>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</si>
  <si>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</si>
  <si>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</si>
  <si>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</si>
  <si>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</si>
  <si>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</si>
  <si>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</si>
  <si>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</si>
  <si>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</si>
  <si>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</si>
  <si>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</si>
  <si>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</si>
  <si>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</si>
  <si>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</si>
  <si>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</si>
  <si>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</si>
  <si>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</si>
  <si>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</si>
  <si>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</si>
  <si>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</si>
  <si>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</si>
  <si>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</si>
  <si>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</si>
  <si>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</si>
  <si>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</si>
  <si>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</si>
  <si>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</si>
  <si>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</si>
  <si>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</si>
  <si>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</si>
  <si>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</si>
  <si>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</si>
  <si>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</si>
  <si>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</si>
  <si>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</si>
  <si>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</si>
  <si>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</si>
  <si>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</si>
  <si>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</si>
  <si>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</si>
  <si>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</si>
  <si>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</si>
  <si>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</si>
  <si>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</si>
  <si>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</si>
  <si>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</si>
  <si>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</si>
  <si>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</si>
  <si>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</si>
  <si>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</si>
  <si>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</si>
  <si>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</si>
  <si>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</si>
  <si>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</si>
  <si>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</si>
  <si>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</si>
  <si>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</si>
  <si>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</si>
  <si>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</si>
  <si>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</si>
  <si>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</si>
  <si>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</si>
  <si>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</si>
  <si>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</si>
  <si>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</si>
  <si>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</si>
  <si>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</si>
  <si>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</si>
  <si>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</si>
  <si>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</si>
  <si>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</si>
  <si>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</si>
  <si>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</si>
  <si>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</si>
  <si>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</si>
  <si>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</si>
  <si>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</si>
  <si>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</si>
  <si>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</si>
  <si>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</si>
  <si>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</si>
  <si>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</si>
  <si>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</si>
  <si>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</si>
  <si>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</si>
  <si>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</si>
  <si>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</si>
  <si>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</si>
  <si>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</si>
  <si>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</si>
  <si>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</si>
  <si>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</si>
  <si>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</si>
  <si>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</si>
  <si>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</si>
  <si>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</si>
  <si>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</si>
  <si>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</si>
  <si>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</si>
  <si>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</si>
  <si>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</si>
  <si>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</si>
  <si>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</si>
  <si>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</si>
  <si>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</si>
  <si>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</si>
  <si>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</si>
  <si>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</si>
  <si>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</si>
  <si>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</si>
  <si>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</si>
  <si>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</si>
  <si>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</si>
  <si>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</si>
  <si>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</si>
  <si>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</si>
  <si>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</si>
  <si>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</si>
  <si>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</si>
  <si>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</si>
  <si>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</si>
  <si>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</si>
  <si>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</si>
  <si>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</si>
  <si>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</si>
  <si>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</si>
  <si>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</si>
  <si>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</si>
  <si>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</si>
  <si>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</si>
  <si>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</si>
  <si>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</si>
  <si>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</si>
  <si>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</si>
  <si>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</si>
  <si>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</si>
  <si>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</si>
  <si>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</si>
  <si>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</si>
  <si>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</si>
  <si>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</si>
  <si>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</si>
  <si>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</si>
  <si>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</si>
  <si>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</si>
  <si>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</si>
  <si>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</si>
  <si>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</si>
  <si>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</si>
  <si>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</si>
  <si>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</si>
  <si>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</si>
  <si>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</si>
  <si>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</si>
  <si>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</si>
  <si>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</si>
  <si>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</si>
  <si>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</si>
  <si>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</si>
  <si>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</si>
  <si>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</si>
  <si>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</si>
  <si>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</si>
  <si>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</si>
  <si>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</si>
  <si>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</si>
  <si>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</si>
  <si>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</si>
  <si>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</si>
  <si>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</si>
  <si>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</si>
  <si>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</si>
  <si>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</si>
  <si>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</si>
  <si>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</si>
  <si>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</si>
  <si>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</si>
  <si>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</si>
  <si>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</si>
  <si>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</si>
  <si>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</si>
  <si>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</si>
  <si>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</si>
  <si>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</si>
  <si>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</si>
  <si>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</si>
  <si>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</si>
  <si>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</si>
  <si>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</si>
  <si>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</si>
  <si>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</si>
  <si>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</si>
  <si>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</si>
  <si>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</si>
  <si>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</si>
  <si>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</si>
  <si>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</si>
  <si>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</si>
  <si>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</si>
  <si>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</si>
  <si>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</si>
  <si>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</si>
  <si>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</si>
  <si>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</si>
  <si>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</si>
  <si>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</si>
  <si>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</si>
  <si>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</si>
  <si>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</si>
  <si>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</si>
  <si>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</si>
  <si>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</si>
  <si>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</si>
  <si>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</si>
  <si>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</si>
  <si>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</si>
  <si>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</si>
  <si>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</si>
  <si>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</si>
  <si>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</si>
  <si>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</si>
  <si>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</si>
  <si>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</si>
  <si>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</si>
  <si>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</si>
  <si>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</si>
  <si>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</si>
  <si>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</si>
  <si>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</si>
  <si>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</si>
  <si>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</si>
  <si>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</si>
  <si>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</si>
  <si>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</si>
  <si>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</si>
  <si>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</si>
  <si>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</si>
  <si>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</si>
  <si>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</si>
  <si>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</si>
  <si>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</si>
  <si>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</si>
  <si>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</si>
  <si>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</si>
  <si>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</si>
  <si>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</si>
  <si>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</si>
  <si>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</si>
  <si>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</si>
  <si>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</si>
  <si>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</si>
  <si>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</si>
  <si>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</si>
  <si>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</si>
  <si>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</si>
  <si>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</si>
  <si>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</si>
  <si>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</si>
  <si>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</si>
  <si>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</si>
  <si>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</si>
  <si>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</si>
  <si>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</si>
  <si>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</si>
  <si>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</si>
  <si>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</si>
  <si>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</si>
  <si>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</si>
  <si>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</si>
  <si>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</si>
  <si>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</si>
  <si>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</si>
  <si>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</si>
  <si>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</si>
  <si>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</si>
  <si>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</si>
  <si>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</si>
  <si>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</si>
  <si>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</si>
  <si>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</si>
  <si>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</si>
  <si>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</si>
  <si>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</si>
  <si>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</si>
  <si>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</si>
  <si>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</si>
  <si>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</si>
  <si>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</si>
  <si>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</si>
  <si>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</si>
  <si>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</si>
  <si>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</si>
  <si>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</si>
  <si>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</si>
  <si>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</si>
  <si>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</si>
  <si>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</si>
  <si>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</si>
  <si>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</si>
  <si>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</si>
  <si>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</si>
  <si>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</si>
  <si>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</si>
  <si>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</si>
  <si>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</si>
  <si>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</si>
  <si>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</si>
  <si>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</si>
  <si>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</si>
  <si>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</si>
  <si>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</si>
  <si>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</si>
  <si>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</si>
  <si>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</si>
  <si>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</si>
  <si>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</si>
  <si>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</si>
  <si>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</si>
  <si>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</si>
  <si>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</si>
  <si>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</si>
  <si>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</si>
  <si>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</si>
  <si>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</si>
  <si>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</si>
  <si>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</si>
  <si>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</si>
  <si>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</si>
  <si>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</si>
  <si>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</si>
  <si>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</si>
  <si>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</si>
  <si>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</si>
  <si>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</si>
  <si>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</si>
  <si>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</si>
  <si>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</si>
  <si>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</si>
  <si>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</si>
  <si>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</si>
  <si>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</si>
  <si>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</si>
  <si>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</si>
  <si>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</si>
  <si>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</si>
  <si>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</si>
  <si>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</si>
  <si>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</si>
  <si>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</si>
  <si>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</si>
  <si>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</si>
  <si>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</si>
  <si>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</si>
  <si>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</si>
  <si>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</si>
  <si>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</si>
  <si>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</si>
  <si>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</si>
  <si>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</si>
  <si>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</si>
  <si>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</si>
  <si>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</si>
  <si>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</si>
  <si>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</si>
  <si>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</si>
  <si>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</si>
  <si>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</si>
  <si>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</si>
  <si>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</si>
  <si>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</si>
  <si>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</si>
  <si>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</si>
  <si>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</si>
  <si>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</si>
  <si>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</si>
  <si>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</si>
  <si>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</si>
  <si>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</si>
  <si>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</si>
  <si>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</si>
  <si>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</si>
  <si>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</si>
  <si>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</si>
  <si>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</si>
  <si>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</si>
  <si>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</si>
  <si>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</si>
  <si>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</si>
  <si>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</si>
  <si>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</si>
  <si>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</si>
  <si>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</si>
  <si>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</si>
  <si>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</si>
  <si>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</si>
  <si>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</si>
  <si>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</si>
  <si>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</si>
  <si>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</si>
  <si>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</si>
  <si>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</si>
  <si>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</si>
  <si>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</si>
  <si>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</si>
  <si>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</si>
  <si>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</si>
  <si>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</si>
  <si>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</si>
  <si>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</si>
  <si>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</si>
  <si>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</si>
  <si>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</si>
  <si>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</si>
  <si>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</si>
  <si>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</si>
  <si>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</si>
  <si>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</si>
  <si>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</si>
  <si>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</si>
  <si>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</si>
  <si>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</si>
  <si>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</si>
  <si>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</si>
  <si>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</si>
  <si>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</si>
  <si>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</si>
  <si>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</si>
  <si>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</si>
  <si>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</si>
  <si>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</si>
  <si>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</si>
  <si>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</si>
  <si>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</si>
  <si>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</si>
  <si>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</si>
  <si>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</si>
  <si>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</si>
  <si>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</si>
  <si>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</si>
  <si>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</si>
  <si>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</si>
  <si>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</si>
  <si>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</si>
  <si>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</si>
  <si>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</si>
  <si>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</si>
  <si>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</si>
  <si>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</si>
  <si>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</si>
  <si>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</si>
  <si>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</si>
  <si>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</si>
  <si>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</si>
  <si>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</si>
  <si>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</si>
  <si>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</si>
  <si>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</si>
  <si>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</si>
  <si>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</si>
  <si>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</si>
  <si>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</si>
  <si>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</si>
  <si>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</si>
  <si>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</si>
  <si>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</si>
  <si>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</si>
  <si>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</si>
  <si>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</si>
  <si>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</si>
  <si>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</si>
  <si>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</si>
  <si>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</si>
  <si>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</si>
  <si>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</si>
  <si>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</si>
  <si>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</si>
  <si>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</si>
  <si>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</si>
  <si>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</si>
  <si>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</si>
  <si>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</si>
  <si>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</si>
  <si>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</si>
  <si>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</si>
  <si>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</si>
  <si>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</si>
  <si>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</si>
  <si>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</si>
  <si>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</si>
  <si>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</si>
  <si>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</si>
  <si>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</si>
  <si>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</si>
  <si>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</si>
  <si>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</si>
  <si>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</si>
  <si>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</si>
  <si>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</si>
  <si>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</si>
  <si>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</si>
  <si>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</si>
  <si>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</si>
  <si>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</si>
  <si>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</si>
  <si>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</si>
  <si>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</si>
  <si>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</si>
  <si>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</si>
  <si>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</si>
  <si>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</si>
  <si>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</si>
  <si>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</si>
  <si>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</si>
  <si>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</si>
  <si>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</si>
  <si>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</si>
  <si>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</si>
  <si>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</si>
  <si>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</si>
  <si>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</si>
  <si>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</si>
  <si>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</si>
  <si>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</si>
  <si>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</si>
  <si>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</si>
  <si>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</si>
  <si>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</si>
  <si>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</si>
  <si>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</si>
  <si>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</si>
  <si>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</si>
  <si>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</si>
  <si>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</si>
  <si>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</si>
  <si>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</si>
  <si>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</si>
  <si>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</si>
  <si>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</si>
  <si>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</si>
  <si>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</si>
  <si>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</si>
  <si>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</si>
  <si>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</si>
  <si>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</si>
  <si>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</si>
  <si>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</si>
  <si>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</si>
  <si>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</si>
  <si>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</si>
  <si>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</si>
  <si>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</si>
  <si>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</si>
  <si>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</si>
  <si>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</si>
  <si>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</si>
  <si>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</si>
  <si>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</si>
  <si>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</si>
  <si>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</si>
  <si>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</si>
  <si>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</si>
  <si>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</si>
  <si>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</si>
  <si>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</si>
  <si>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</si>
  <si>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</si>
  <si>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</si>
  <si>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</si>
  <si>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</si>
  <si>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</si>
  <si>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</si>
  <si>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</si>
  <si>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</si>
  <si>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</si>
  <si>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</si>
  <si>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</si>
  <si>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</si>
  <si>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</si>
  <si>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</si>
  <si>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</si>
  <si>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</si>
  <si>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</si>
  <si>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</si>
  <si>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</si>
  <si>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</si>
  <si>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</si>
  <si>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</si>
  <si>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</si>
  <si>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</si>
  <si>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</si>
  <si>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</si>
  <si>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</si>
  <si>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</si>
  <si>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</si>
  <si>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</si>
  <si>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</si>
  <si>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</si>
  <si>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</si>
  <si>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</si>
  <si>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</si>
  <si>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</si>
  <si>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</si>
  <si>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</si>
  <si>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</si>
  <si>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</si>
  <si>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</si>
  <si>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</si>
  <si>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</si>
  <si>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</si>
  <si>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</si>
  <si>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</si>
  <si>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</si>
  <si>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</si>
  <si>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</si>
  <si>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</si>
  <si>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</si>
  <si>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</si>
  <si>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</si>
  <si>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</si>
  <si>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</si>
  <si>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</si>
  <si>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</si>
  <si>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</si>
  <si>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</si>
  <si>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</si>
  <si>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</si>
  <si>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</si>
  <si>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</si>
  <si>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</si>
  <si>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</si>
  <si>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</si>
  <si>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</si>
  <si>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</si>
  <si>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</si>
  <si>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</si>
  <si>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</si>
  <si>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</si>
  <si>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</si>
  <si>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</si>
  <si>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</si>
  <si>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</si>
  <si>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</si>
  <si>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</si>
  <si>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</si>
  <si>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</si>
  <si>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</si>
  <si>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</si>
  <si>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</si>
  <si>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</si>
  <si>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</si>
  <si>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</si>
  <si>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</si>
  <si>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</si>
  <si>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</si>
  <si>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</si>
  <si>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</si>
  <si>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</si>
  <si>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</si>
  <si>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</si>
  <si>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</si>
  <si>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</si>
  <si>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</si>
  <si>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</si>
  <si>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</si>
  <si>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</si>
  <si>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</si>
  <si>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</si>
  <si>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</si>
  <si>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</si>
  <si>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</si>
  <si>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</si>
  <si>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</si>
  <si>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</si>
  <si>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</si>
  <si>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</si>
  <si>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</si>
  <si>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</si>
  <si>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</si>
  <si>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</si>
  <si>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</si>
  <si>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</si>
  <si>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</si>
  <si>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</si>
  <si>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</si>
  <si>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</si>
  <si>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</si>
  <si>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</si>
  <si>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</si>
  <si>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</si>
  <si>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</si>
  <si>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</si>
  <si>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</si>
  <si>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</si>
  <si>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</si>
  <si>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</si>
  <si>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</si>
  <si>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</si>
  <si>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</si>
  <si>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</si>
  <si>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</si>
  <si>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</si>
  <si>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</si>
  <si>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</si>
  <si>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</si>
  <si>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</si>
  <si>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</si>
  <si>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</si>
  <si>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</si>
  <si>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</si>
  <si>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</si>
  <si>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</si>
  <si>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</si>
  <si>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</si>
  <si>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</si>
  <si>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</si>
  <si>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</si>
  <si>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</si>
  <si>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</si>
  <si>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</si>
  <si>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</si>
  <si>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</si>
  <si>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</si>
  <si>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</si>
  <si>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</si>
  <si>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</si>
  <si>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</si>
  <si>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</si>
  <si>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</si>
  <si>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</si>
  <si>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</si>
  <si>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</si>
  <si>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</si>
  <si>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</si>
  <si>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</si>
  <si>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</si>
  <si>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</si>
  <si>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</si>
  <si>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</si>
  <si>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</si>
  <si>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</si>
  <si>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</si>
  <si>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</si>
  <si>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</si>
  <si>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</si>
  <si>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</si>
  <si>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</si>
  <si>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</si>
  <si>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</si>
  <si>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</si>
  <si>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</si>
  <si>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</si>
  <si>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</si>
  <si>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</si>
  <si>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</si>
  <si>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</si>
  <si>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</si>
  <si>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</si>
  <si>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</si>
  <si>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</si>
  <si>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</si>
  <si>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</si>
  <si>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</si>
  <si>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</si>
  <si>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</si>
  <si>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</si>
  <si>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</si>
  <si>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</si>
  <si>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</si>
  <si>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</si>
  <si>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</si>
  <si>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</si>
  <si>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</si>
  <si>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</si>
  <si>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</si>
  <si>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</si>
  <si>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</si>
  <si>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</si>
  <si>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</si>
  <si>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</si>
  <si>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</si>
  <si>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</si>
  <si>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</si>
  <si>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</si>
  <si>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</si>
  <si>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</si>
  <si>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</si>
  <si>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</si>
  <si>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</si>
  <si>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</si>
  <si>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</si>
  <si>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</si>
  <si>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</si>
  <si>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</si>
  <si>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</si>
  <si>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</si>
  <si>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</si>
  <si>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</si>
  <si>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</si>
  <si>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</si>
  <si>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</si>
  <si>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</si>
  <si>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</si>
  <si>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</si>
  <si>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</si>
  <si>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</si>
  <si>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</si>
  <si>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</si>
  <si>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</si>
  <si>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</si>
  <si>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</si>
  <si>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</si>
  <si>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</si>
  <si>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</si>
  <si>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</si>
  <si>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</si>
  <si>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</si>
  <si>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</si>
  <si>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</si>
  <si>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</si>
  <si>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</si>
  <si>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</si>
  <si>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</si>
  <si>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</si>
  <si>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</si>
  <si>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</si>
  <si>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</si>
  <si>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</si>
  <si>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</si>
  <si>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</si>
  <si>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</si>
  <si>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</si>
  <si>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</si>
  <si>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</si>
  <si>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</si>
  <si>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</si>
  <si>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</si>
  <si>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</si>
  <si>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</si>
  <si>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</si>
  <si>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</si>
  <si>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</si>
  <si>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</si>
  <si>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</si>
  <si>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</si>
  <si>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</si>
  <si>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</si>
  <si>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</si>
  <si>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</si>
  <si>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</si>
  <si>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</si>
  <si>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</si>
  <si>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</si>
  <si>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</si>
  <si>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</si>
  <si>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</si>
  <si>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</si>
  <si>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</si>
  <si>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</si>
  <si>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</si>
  <si>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</si>
  <si>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</si>
  <si>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</si>
  <si>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</si>
  <si>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</si>
  <si>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</si>
  <si>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</si>
  <si>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</si>
  <si>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</si>
  <si>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</si>
  <si>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</si>
  <si>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</si>
  <si>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</si>
  <si>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</si>
  <si>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</si>
  <si>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</si>
  <si>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</si>
  <si>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</si>
  <si>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</si>
  <si>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</si>
  <si>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</si>
  <si>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</si>
  <si>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</si>
  <si>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</si>
  <si>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</si>
  <si>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</si>
  <si>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</si>
  <si>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</si>
  <si>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</si>
  <si>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</si>
  <si>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</si>
  <si>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</si>
  <si>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</si>
  <si>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</si>
  <si>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</si>
  <si>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</si>
  <si>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</si>
  <si>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</si>
  <si>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</si>
  <si>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</si>
  <si>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</si>
  <si>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</si>
  <si>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</si>
  <si>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</si>
  <si>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</si>
  <si>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</si>
  <si>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</si>
  <si>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</si>
  <si>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</si>
  <si>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</si>
  <si>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</si>
  <si>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</si>
  <si>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</si>
  <si>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</si>
  <si>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</si>
  <si>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</si>
  <si>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</si>
  <si>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</si>
  <si>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</si>
  <si>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</si>
  <si>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</si>
  <si>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</si>
  <si>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</si>
  <si>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</si>
  <si>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</si>
  <si>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</si>
  <si>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</si>
  <si>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</si>
  <si>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</si>
  <si>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</si>
  <si>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</si>
  <si>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</si>
  <si>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</si>
  <si>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</si>
  <si>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</si>
  <si>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</si>
  <si>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</si>
  <si>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</si>
  <si>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</si>
  <si>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</si>
  <si>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</si>
  <si>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</si>
  <si>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</si>
  <si>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</si>
  <si>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</si>
  <si>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</si>
  <si>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</si>
  <si>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</si>
  <si>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</si>
  <si>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</si>
  <si>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</si>
  <si>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</si>
  <si>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</si>
  <si>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</si>
  <si>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</si>
  <si>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</si>
  <si>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</si>
  <si>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</si>
  <si>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</si>
  <si>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</si>
  <si>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</si>
  <si>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</si>
  <si>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</si>
  <si>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</si>
  <si>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</si>
  <si>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</si>
  <si>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</si>
  <si>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</si>
  <si>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</si>
  <si>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</si>
  <si>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</si>
  <si>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</si>
  <si>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</si>
  <si>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</si>
  <si>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</si>
  <si>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</si>
  <si>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</si>
  <si>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</si>
  <si>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</si>
  <si>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</si>
  <si>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</si>
  <si>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</si>
  <si>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</si>
  <si>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</si>
  <si>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</si>
  <si>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</si>
  <si>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</si>
  <si>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</si>
  <si>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</si>
  <si>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</si>
  <si>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</si>
  <si>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</si>
  <si>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</si>
  <si>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</si>
  <si>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</si>
  <si>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</si>
  <si>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</si>
  <si>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</si>
  <si>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</si>
  <si>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</si>
  <si>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</si>
  <si>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</si>
  <si>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</si>
  <si>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</si>
  <si>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</si>
  <si>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</si>
  <si>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</si>
  <si>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</si>
  <si>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</si>
  <si>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</si>
  <si>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</si>
  <si>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</si>
  <si>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</si>
  <si>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</si>
  <si>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</si>
  <si>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</si>
  <si>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</si>
  <si>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</si>
  <si>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</si>
  <si>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</si>
  <si>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</si>
  <si>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</si>
  <si>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</si>
  <si>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</si>
  <si>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</si>
  <si>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</si>
  <si>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</si>
  <si>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</si>
  <si>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</si>
  <si>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</si>
  <si>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</si>
  <si>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</si>
  <si>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</si>
  <si>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</si>
  <si>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</si>
  <si>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</si>
  <si>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</si>
  <si>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</si>
  <si>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</si>
  <si>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</si>
  <si>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</si>
  <si>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</si>
  <si>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</si>
  <si>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</si>
  <si>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</si>
  <si>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</si>
  <si>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</si>
  <si>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</si>
  <si>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</si>
  <si>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</si>
  <si>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</si>
  <si>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</si>
  <si>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</si>
  <si>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</si>
  <si>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</si>
  <si>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</si>
  <si>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</si>
  <si>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</si>
  <si>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</si>
  <si>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</si>
  <si>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</si>
  <si>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</si>
  <si>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</si>
  <si>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</si>
  <si>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</si>
  <si>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</si>
  <si>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</si>
  <si>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</si>
  <si>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</si>
  <si>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</si>
  <si>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</si>
  <si>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</si>
  <si>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</si>
  <si>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</si>
  <si>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</si>
  <si>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</si>
  <si>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</si>
  <si>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</si>
  <si>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</si>
  <si>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</si>
  <si>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</si>
  <si>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</si>
  <si>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</si>
  <si>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</si>
  <si>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</si>
  <si>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</si>
  <si>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</si>
  <si>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</si>
  <si>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</si>
  <si>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</si>
  <si>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</si>
  <si>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</si>
  <si>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</si>
  <si>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</si>
  <si>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</si>
  <si>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</si>
  <si>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</si>
  <si>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</si>
  <si>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</si>
  <si>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</si>
  <si>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</si>
  <si>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</si>
  <si>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</si>
  <si>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</si>
  <si>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</si>
  <si>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</si>
  <si>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</si>
  <si>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</si>
  <si>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</si>
  <si>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</si>
  <si>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</si>
  <si>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</si>
  <si>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</si>
  <si>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</si>
  <si>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</si>
  <si>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</si>
  <si>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</si>
  <si>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</si>
  <si>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</si>
  <si>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</si>
  <si>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</si>
  <si>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</si>
  <si>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</si>
  <si>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</si>
  <si>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</si>
  <si>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</si>
  <si>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</si>
  <si>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</si>
  <si>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</si>
  <si>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</si>
  <si>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</si>
  <si>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</si>
  <si>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</si>
  <si>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</si>
  <si>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</si>
  <si>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</si>
  <si>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</si>
  <si>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</si>
  <si>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</si>
  <si>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</si>
  <si>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</si>
  <si>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</si>
  <si>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</si>
  <si>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</si>
  <si>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</si>
  <si>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</si>
  <si>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</si>
  <si>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</si>
  <si>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</si>
  <si>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</si>
  <si>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</si>
  <si>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</si>
  <si>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</si>
  <si>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</si>
  <si>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</si>
  <si>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</si>
  <si>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</si>
  <si>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</si>
  <si>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</si>
  <si>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</si>
  <si>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</si>
  <si>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</si>
  <si>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</si>
  <si>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</si>
  <si>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</si>
  <si>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</si>
  <si>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</si>
  <si>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</si>
  <si>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</si>
  <si>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</si>
  <si>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</si>
  <si>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</si>
  <si>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</si>
  <si>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</si>
  <si>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</si>
  <si>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</si>
  <si>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</si>
  <si>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</si>
  <si>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</si>
  <si>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</si>
  <si>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</si>
  <si>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</si>
  <si>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</si>
  <si>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</si>
  <si>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</si>
  <si>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</si>
  <si>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</si>
  <si>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</si>
  <si>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</si>
  <si>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</si>
  <si>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</si>
  <si>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</si>
  <si>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</si>
  <si>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</si>
  <si>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</si>
  <si>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</si>
  <si>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</si>
  <si>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</si>
  <si>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</si>
  <si>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</si>
  <si>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</si>
  <si>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</si>
  <si>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</si>
  <si>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</si>
  <si>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</si>
  <si>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</si>
  <si>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</si>
  <si>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</si>
  <si>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</si>
  <si>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</si>
  <si>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</si>
  <si>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</si>
  <si>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</si>
  <si>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</si>
  <si>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</si>
  <si>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</si>
  <si>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</si>
  <si>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</si>
  <si>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</si>
  <si>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</si>
  <si>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</si>
  <si>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</si>
  <si>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</si>
  <si>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</si>
  <si>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</si>
  <si>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</si>
  <si>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</si>
  <si>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</si>
  <si>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</si>
  <si>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</si>
  <si>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</si>
  <si>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</si>
  <si>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</si>
  <si>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</si>
  <si>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</si>
  <si>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</si>
  <si>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</si>
  <si>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</si>
  <si>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</si>
  <si>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</si>
  <si>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</si>
  <si>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</si>
  <si>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</si>
  <si>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</si>
  <si>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</si>
  <si>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</si>
  <si>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</si>
  <si>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</si>
  <si>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</si>
  <si>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</si>
  <si>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</si>
  <si>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</si>
  <si>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</si>
  <si>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</si>
  <si>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</si>
  <si>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</si>
  <si>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</si>
  <si>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</si>
  <si>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</si>
  <si>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</si>
  <si>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</si>
  <si>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</si>
  <si>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</si>
  <si>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</si>
  <si>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</si>
  <si>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</si>
  <si>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</si>
  <si>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</si>
  <si>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</si>
  <si>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</si>
  <si>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</si>
  <si>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</si>
  <si>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</si>
  <si>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</si>
  <si>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</si>
  <si>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</si>
  <si>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</si>
  <si>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</si>
  <si>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</si>
  <si>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</si>
  <si>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</si>
  <si>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</si>
  <si>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</si>
  <si>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</si>
  <si>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</si>
  <si>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</si>
  <si>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</si>
  <si>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</si>
  <si>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</si>
  <si>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</si>
  <si>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</si>
  <si>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</si>
  <si>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</si>
  <si>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</si>
  <si>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</si>
  <si>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</si>
  <si>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</si>
  <si>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</si>
  <si>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</si>
  <si>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</si>
  <si>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</si>
  <si>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</si>
  <si>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</si>
  <si>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</si>
  <si>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</si>
  <si>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</si>
  <si>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</si>
  <si>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</si>
  <si>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</si>
  <si>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</si>
  <si>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</si>
  <si>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</si>
  <si>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</si>
  <si>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</si>
  <si>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</si>
  <si>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</si>
  <si>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</si>
  <si>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</si>
  <si>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</si>
  <si>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</si>
  <si>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</si>
  <si>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</si>
  <si>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</si>
  <si>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</si>
  <si>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</si>
  <si>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</si>
  <si>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</si>
  <si>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</si>
  <si>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</si>
  <si>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</si>
  <si>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</si>
  <si>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</si>
  <si>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</si>
  <si>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</si>
  <si>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</si>
  <si>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</si>
  <si>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</si>
  <si>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</si>
  <si>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</si>
  <si>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</si>
  <si>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</si>
  <si>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</si>
  <si>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</si>
  <si>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</si>
  <si>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</si>
  <si>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</si>
  <si>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</si>
  <si>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</si>
  <si>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</si>
  <si>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</si>
  <si>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</si>
  <si>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</si>
  <si>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</si>
  <si>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</si>
  <si>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</si>
  <si>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</si>
  <si>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</si>
  <si>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</si>
  <si>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</si>
  <si>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</si>
  <si>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</si>
  <si>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</si>
  <si>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</si>
  <si>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</si>
  <si>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</si>
  <si>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</si>
  <si>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</si>
  <si>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</si>
  <si>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</si>
  <si>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</si>
  <si>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</si>
  <si>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</si>
  <si>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</si>
  <si>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</si>
  <si>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</si>
  <si>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</si>
  <si>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</si>
  <si>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</si>
  <si>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</si>
  <si>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</si>
  <si>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</si>
  <si>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</si>
  <si>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</si>
  <si>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</si>
  <si>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</si>
  <si>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</si>
  <si>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</si>
  <si>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</si>
  <si>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</si>
  <si>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</si>
  <si>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</si>
  <si>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</si>
  <si>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</si>
  <si>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</si>
  <si>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</si>
  <si>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</si>
  <si>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</si>
  <si>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</si>
  <si>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</si>
  <si>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</si>
  <si>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</si>
  <si>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</si>
  <si>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</si>
  <si>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</si>
  <si>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</si>
  <si>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</si>
  <si>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</si>
  <si>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</si>
  <si>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</si>
  <si>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</si>
  <si>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</si>
  <si>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</si>
  <si>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</si>
  <si>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</si>
  <si>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</si>
  <si>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</si>
  <si>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</si>
  <si>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</si>
  <si>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</si>
  <si>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</si>
  <si>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</si>
  <si>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</si>
  <si>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</si>
  <si>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</si>
  <si>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</si>
  <si>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</si>
  <si>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</si>
  <si>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</si>
  <si>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</si>
  <si>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</si>
  <si>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</si>
  <si>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</si>
  <si>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</si>
  <si>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</si>
  <si>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</si>
  <si>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</si>
  <si>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</si>
  <si>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</si>
  <si>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</si>
  <si>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</si>
  <si>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</si>
  <si>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</si>
  <si>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</si>
  <si>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</si>
  <si>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</si>
  <si>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</si>
  <si>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</si>
  <si>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</si>
  <si>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</si>
  <si>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</si>
  <si>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</si>
  <si>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</si>
  <si>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</si>
  <si>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</si>
  <si>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</si>
  <si>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</si>
  <si>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</si>
  <si>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</si>
  <si>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</si>
  <si>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</si>
  <si>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</si>
  <si>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</si>
  <si>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</si>
  <si>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</si>
  <si>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</si>
  <si>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</si>
  <si>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</si>
  <si>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</si>
  <si>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</si>
  <si>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</si>
  <si>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</si>
  <si>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</si>
  <si>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</si>
  <si>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</si>
  <si>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</si>
  <si>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</si>
  <si>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</si>
  <si>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</si>
  <si>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</si>
  <si>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</si>
  <si>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</si>
  <si>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</si>
  <si>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</si>
  <si>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</si>
  <si>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</si>
  <si>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</si>
  <si>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</si>
  <si>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</si>
  <si>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</si>
  <si>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</si>
  <si>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</si>
  <si>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</si>
  <si>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</si>
  <si>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</si>
  <si>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</si>
  <si>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</si>
  <si>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</si>
  <si>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</si>
  <si>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</si>
  <si>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</si>
  <si>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</si>
  <si>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</si>
  <si>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</si>
  <si>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</si>
  <si>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</si>
  <si>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</si>
  <si>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</si>
  <si>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</si>
  <si>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</si>
  <si>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</si>
  <si>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</si>
  <si>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</si>
  <si>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</si>
  <si>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</si>
  <si>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</si>
  <si>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</si>
  <si>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</si>
  <si>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</si>
  <si>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</si>
  <si>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</si>
  <si>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</si>
  <si>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</si>
  <si>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</si>
  <si>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</si>
  <si>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</si>
  <si>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</si>
  <si>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</si>
  <si>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</si>
  <si>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</si>
  <si>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</si>
  <si>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</si>
  <si>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</si>
  <si>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</si>
  <si>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</si>
  <si>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</si>
  <si>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</si>
  <si>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</si>
  <si>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</si>
  <si>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</si>
  <si>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</si>
  <si>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</si>
  <si>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</si>
  <si>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</si>
  <si>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</si>
  <si>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</si>
  <si>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</si>
  <si>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</si>
  <si>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</si>
  <si>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</si>
  <si>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</si>
  <si>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</si>
  <si>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</si>
  <si>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</si>
  <si>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</si>
  <si>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</si>
  <si>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</si>
  <si>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</si>
  <si>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</si>
  <si>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</si>
  <si>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</si>
  <si>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</si>
  <si>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</si>
  <si>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</si>
  <si>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</si>
  <si>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</si>
  <si>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</si>
  <si>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</si>
  <si>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</si>
  <si>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</si>
  <si>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</si>
  <si>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</si>
  <si>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</si>
  <si>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</si>
  <si>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</si>
  <si>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</si>
  <si>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</si>
  <si>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</si>
  <si>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</si>
  <si>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</si>
  <si>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</si>
  <si>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</si>
  <si>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</si>
  <si>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</si>
  <si>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</si>
  <si>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</si>
  <si>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</si>
  <si>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</si>
  <si>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</si>
  <si>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</si>
  <si>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</si>
  <si>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</si>
  <si>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</si>
  <si>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</si>
  <si>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</si>
  <si>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</si>
  <si>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</si>
  <si>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</si>
  <si>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</si>
  <si>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</si>
  <si>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</si>
  <si>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</si>
  <si>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</si>
  <si>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</si>
  <si>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</si>
  <si>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</si>
  <si>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</si>
  <si>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</si>
  <si>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</si>
  <si>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</si>
  <si>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</si>
  <si>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</si>
  <si>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</si>
  <si>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</si>
  <si>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</si>
  <si>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</si>
  <si>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</si>
  <si>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</si>
  <si>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</si>
  <si>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</si>
  <si>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</si>
  <si>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</si>
  <si>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</si>
  <si>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</si>
  <si>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</si>
  <si>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</si>
  <si>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</si>
  <si>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</si>
  <si>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</si>
  <si>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</si>
  <si>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</si>
  <si>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</si>
  <si>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</si>
  <si>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</si>
  <si>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</si>
  <si>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</si>
  <si>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</si>
  <si>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</si>
  <si>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</si>
  <si>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</si>
  <si>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</si>
  <si>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</si>
  <si>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</si>
  <si>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</si>
  <si>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</si>
  <si>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</si>
  <si>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</si>
  <si>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</si>
  <si>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</si>
  <si>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</si>
  <si>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</si>
  <si>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</si>
  <si>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</si>
  <si>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</si>
  <si>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</si>
  <si>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</si>
  <si>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</si>
  <si>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</si>
  <si>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</si>
  <si>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</si>
  <si>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</si>
  <si>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</si>
  <si>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</si>
  <si>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</si>
  <si>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</si>
  <si>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</si>
  <si>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</si>
  <si>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</si>
  <si>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</si>
  <si>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</si>
  <si>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</si>
  <si>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</si>
  <si>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</si>
  <si>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</si>
  <si>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</si>
  <si>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</si>
  <si>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</si>
  <si>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</si>
  <si>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</si>
  <si>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</si>
  <si>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</si>
  <si>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</si>
  <si>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</si>
  <si>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</si>
  <si>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</si>
  <si>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</si>
  <si>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</si>
  <si>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</si>
  <si>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</si>
  <si>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</si>
  <si>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</si>
  <si>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</si>
  <si>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</si>
  <si>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</si>
  <si>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</si>
  <si>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</si>
  <si>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</si>
  <si>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</si>
  <si>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</si>
  <si>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</si>
  <si>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</si>
  <si>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</si>
  <si>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</si>
  <si>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</si>
  <si>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</si>
  <si>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</si>
  <si>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</si>
  <si>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</si>
  <si>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</si>
  <si>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</si>
  <si>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</si>
  <si>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</si>
  <si>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</si>
  <si>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</si>
  <si>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</si>
  <si>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</si>
  <si>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</si>
  <si>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</si>
  <si>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</si>
  <si>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</si>
  <si>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</si>
  <si>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</si>
  <si>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</si>
  <si>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</si>
  <si>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</si>
  <si>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</si>
  <si>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</si>
  <si>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</si>
  <si>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</si>
  <si>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</si>
  <si>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</si>
  <si>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</si>
  <si>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</si>
  <si>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</si>
  <si>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</si>
  <si>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</si>
  <si>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</si>
  <si>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</si>
  <si>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</si>
  <si>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</si>
  <si>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</si>
  <si>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</si>
  <si>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</si>
  <si>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</si>
  <si>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</si>
  <si>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</si>
  <si>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</si>
  <si>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</si>
  <si>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</si>
  <si>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</si>
  <si>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</si>
  <si>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</si>
  <si>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</si>
  <si>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</si>
  <si>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</si>
  <si>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</si>
  <si>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</si>
  <si>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</si>
  <si>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</si>
  <si>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</si>
  <si>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</si>
  <si>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</si>
  <si>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</si>
  <si>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</si>
  <si>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</si>
  <si>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</si>
  <si>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</si>
  <si>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</si>
  <si>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</si>
  <si>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</si>
  <si>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</si>
  <si>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</si>
  <si>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</si>
  <si>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</si>
  <si>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</si>
  <si>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</si>
  <si>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</si>
  <si>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</si>
  <si>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</si>
  <si>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</si>
  <si>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</si>
  <si>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</si>
  <si>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</si>
  <si>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</si>
  <si>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</si>
  <si>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</si>
  <si>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</si>
  <si>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</si>
  <si>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</si>
  <si>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</si>
  <si>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</si>
  <si>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</si>
  <si>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</si>
  <si>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</si>
  <si>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</si>
  <si>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</si>
  <si>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</si>
  <si>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</si>
  <si>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</si>
  <si>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</si>
  <si>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</si>
  <si>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</si>
  <si>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</si>
  <si>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</si>
  <si>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</si>
  <si>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</si>
  <si>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</si>
  <si>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</si>
  <si>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</si>
  <si>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</si>
  <si>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</si>
  <si>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</si>
  <si>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</si>
  <si>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</si>
  <si>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</si>
  <si>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</si>
  <si>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</si>
  <si>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</si>
  <si>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</si>
  <si>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</si>
  <si>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</si>
  <si>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</si>
  <si>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</si>
  <si>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</si>
  <si>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</si>
  <si>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</si>
  <si>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</si>
  <si>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</si>
  <si>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</si>
  <si>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</si>
  <si>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</si>
  <si>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</si>
  <si>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</si>
  <si>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</si>
  <si>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</si>
  <si>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</si>
  <si>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</si>
  <si>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</si>
  <si>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</si>
  <si>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</si>
  <si>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</si>
  <si>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</si>
  <si>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</si>
  <si>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</si>
  <si>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</si>
  <si>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</si>
  <si>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</si>
  <si>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</si>
  <si>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</si>
  <si>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</si>
  <si>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</si>
  <si>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</si>
  <si>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</si>
  <si>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</si>
  <si>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</si>
  <si>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</si>
  <si>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</si>
  <si>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</si>
  <si>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</si>
  <si>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</si>
  <si>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</si>
  <si>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</si>
  <si>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</si>
  <si>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</si>
  <si>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</si>
  <si>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</si>
  <si>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</si>
  <si>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</si>
  <si>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</si>
  <si>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</si>
  <si>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</si>
  <si>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</si>
  <si>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</si>
  <si>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</si>
  <si>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</si>
  <si>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</si>
  <si>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</si>
  <si>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</si>
  <si>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</si>
  <si>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</si>
  <si>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</si>
  <si>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</si>
  <si>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</si>
  <si>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</si>
  <si>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</si>
  <si>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</si>
  <si>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</si>
  <si>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</si>
  <si>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</si>
  <si>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</si>
  <si>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</si>
  <si>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</si>
  <si>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</si>
  <si>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</si>
  <si>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</si>
  <si>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</si>
  <si>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</si>
  <si>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</si>
  <si>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</si>
  <si>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</si>
  <si>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</si>
  <si>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</si>
  <si>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</si>
  <si>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</si>
  <si>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</si>
  <si>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</si>
  <si>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</si>
  <si>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</si>
  <si>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</si>
  <si>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</si>
  <si>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</si>
  <si>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</si>
  <si>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</si>
  <si>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</si>
  <si>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</si>
  <si>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</si>
  <si>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</si>
  <si>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</si>
  <si>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</si>
  <si>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</si>
  <si>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</si>
  <si>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</si>
  <si>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</si>
  <si>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</si>
  <si>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</si>
  <si>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</si>
  <si>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</si>
  <si>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</si>
  <si>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</si>
  <si>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</si>
  <si>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</si>
  <si>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</si>
  <si>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</si>
  <si>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</si>
  <si>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</si>
  <si>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</si>
  <si>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</si>
  <si>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</si>
  <si>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</si>
  <si>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</si>
  <si>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</si>
  <si>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</si>
  <si>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</si>
  <si>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</si>
  <si>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</si>
  <si>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</si>
  <si>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</si>
  <si>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</si>
  <si>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</si>
  <si>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</si>
  <si>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</si>
  <si>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</si>
  <si>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</si>
  <si>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</si>
  <si>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</si>
  <si>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</si>
  <si>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</si>
  <si>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</si>
  <si>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</si>
  <si>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</si>
  <si>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</si>
  <si>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</si>
  <si>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</si>
  <si>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</si>
  <si>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</si>
  <si>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</si>
  <si>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</si>
  <si>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</si>
  <si>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</si>
  <si>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</si>
  <si>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</si>
  <si>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</si>
  <si>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</si>
  <si>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</si>
  <si>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</si>
  <si>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</si>
  <si>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</si>
  <si>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</si>
  <si>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</si>
  <si>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</si>
  <si>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</si>
  <si>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</si>
  <si>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</si>
  <si>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</si>
  <si>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</si>
  <si>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</si>
  <si>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</si>
  <si>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</si>
  <si>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</si>
  <si>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</si>
  <si>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</si>
  <si>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</si>
  <si>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</si>
  <si>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</si>
  <si>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</si>
  <si>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</si>
  <si>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</si>
  <si>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</si>
  <si>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</si>
  <si>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</si>
  <si>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</si>
  <si>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</si>
  <si>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</si>
  <si>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</si>
  <si>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</si>
  <si>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</si>
  <si>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</si>
  <si>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</si>
  <si>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</si>
  <si>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</si>
  <si>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</si>
  <si>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</si>
  <si>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</si>
  <si>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</si>
  <si>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</si>
  <si>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</si>
  <si>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</si>
  <si>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</si>
  <si>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</si>
  <si>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</si>
  <si>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</si>
  <si>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</si>
  <si>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</si>
  <si>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</si>
  <si>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</si>
  <si>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</si>
  <si>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</si>
  <si>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</si>
  <si>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</si>
  <si>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</si>
  <si>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</si>
  <si>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</si>
  <si>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</si>
  <si>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</si>
  <si>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</si>
  <si>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</si>
  <si>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</si>
  <si>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</si>
  <si>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</si>
  <si>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</si>
  <si>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</si>
  <si>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</si>
  <si>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</si>
  <si>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</si>
  <si>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</si>
  <si>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</si>
  <si>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</si>
  <si>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</si>
  <si>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</si>
  <si>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</si>
  <si>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</si>
  <si>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</si>
  <si>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</si>
  <si>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</si>
  <si>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</si>
  <si>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</si>
  <si>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</si>
  <si>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</si>
  <si>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</si>
  <si>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</si>
  <si>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</si>
  <si>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</si>
  <si>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</si>
  <si>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</si>
  <si>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</si>
  <si>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</si>
  <si>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</si>
  <si>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</si>
  <si>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</si>
  <si>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</si>
  <si>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</si>
  <si>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</si>
  <si>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</si>
  <si>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</si>
  <si>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</si>
  <si>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</si>
  <si>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</si>
  <si>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</si>
  <si>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</si>
  <si>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</si>
  <si>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</si>
  <si>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</si>
  <si>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</si>
  <si>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</si>
  <si>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</si>
  <si>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</si>
  <si>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</si>
  <si>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</si>
  <si>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</si>
  <si>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</si>
  <si>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</si>
  <si>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</si>
  <si>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</si>
  <si>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</si>
  <si>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</si>
  <si>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</si>
  <si>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</si>
  <si>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</si>
  <si>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</si>
  <si>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</si>
  <si>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</si>
  <si>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</si>
  <si>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</si>
  <si>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</si>
  <si>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</si>
  <si>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</si>
  <si>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</si>
  <si>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</si>
  <si>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</si>
  <si>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</si>
  <si>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</si>
  <si>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</si>
  <si>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</si>
  <si>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</si>
  <si>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</si>
  <si>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</si>
  <si>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</si>
  <si>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</si>
  <si>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</si>
  <si>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</si>
  <si>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</si>
  <si>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</si>
  <si>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</si>
  <si>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</si>
  <si>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</si>
  <si>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</si>
  <si>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</si>
  <si>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</si>
  <si>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</si>
  <si>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</si>
  <si>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</si>
  <si>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</si>
  <si>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</si>
  <si>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</si>
  <si>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</si>
  <si>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</si>
  <si>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</si>
  <si>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</si>
  <si>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</si>
  <si>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</si>
  <si>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</si>
  <si>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</si>
  <si>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</si>
  <si>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</si>
  <si>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</si>
  <si>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</si>
  <si>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</si>
  <si>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</si>
  <si>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</si>
  <si>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</si>
  <si>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</si>
  <si>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</si>
  <si>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</si>
  <si>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</si>
  <si>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</si>
  <si>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</si>
  <si>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</si>
  <si>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</si>
  <si>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</si>
  <si>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</si>
  <si>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</si>
  <si>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</si>
  <si>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</si>
  <si>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</si>
  <si>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</si>
  <si>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</si>
  <si>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</si>
  <si>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</si>
  <si>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</si>
  <si>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</si>
  <si>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</si>
  <si>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</si>
  <si>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</si>
  <si>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</si>
  <si>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</si>
  <si>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</si>
  <si>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</si>
  <si>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</si>
  <si>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</si>
  <si>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</si>
  <si>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</si>
  <si>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</si>
  <si>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</si>
  <si>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</si>
  <si>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</si>
  <si>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</si>
  <si>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</si>
  <si>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</si>
  <si>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</si>
  <si>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</si>
  <si>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</si>
  <si>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</si>
  <si>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</si>
  <si>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</si>
  <si>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</si>
  <si>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</si>
  <si>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</si>
  <si>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</si>
  <si>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</si>
  <si>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</si>
  <si>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</si>
  <si>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</si>
  <si>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</si>
  <si>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</si>
  <si>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</si>
  <si>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</si>
  <si>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</si>
  <si>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</si>
  <si>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</si>
  <si>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</si>
  <si>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</si>
  <si>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</si>
  <si>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</si>
  <si>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</si>
  <si>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</si>
  <si>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</si>
  <si>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</si>
  <si>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</si>
  <si>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</si>
  <si>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</si>
  <si>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</si>
  <si>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</si>
  <si>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</si>
  <si>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</si>
  <si>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</si>
  <si>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</si>
  <si>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</si>
  <si>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</si>
  <si>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</si>
  <si>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</si>
  <si>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</si>
  <si>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</si>
  <si>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</si>
  <si>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</si>
  <si>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</si>
  <si>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</si>
  <si>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</si>
  <si>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</si>
  <si>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</si>
  <si>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</si>
  <si>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</si>
  <si>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</si>
  <si>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</si>
  <si>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</si>
  <si>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</si>
  <si>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</si>
  <si>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</si>
  <si>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</si>
  <si>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</si>
  <si>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</si>
  <si>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</si>
  <si>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</si>
  <si>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</si>
  <si>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</si>
  <si>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</si>
  <si>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</si>
  <si>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</si>
  <si>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</si>
  <si>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</si>
  <si>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</si>
  <si>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</si>
  <si>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</si>
  <si>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</si>
  <si>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</si>
  <si>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</si>
  <si>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</si>
  <si>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</si>
  <si>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</si>
  <si>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</si>
  <si>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</si>
  <si>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</si>
  <si>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</si>
  <si>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</si>
  <si>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</si>
  <si>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</si>
  <si>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</si>
  <si>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</si>
  <si>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</si>
  <si>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</si>
  <si>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</si>
  <si>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</si>
  <si>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</si>
  <si>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</si>
  <si>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</si>
  <si>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</si>
  <si>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</si>
  <si>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</si>
  <si>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</si>
  <si>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</si>
  <si>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</si>
  <si>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</si>
  <si>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</si>
  <si>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</si>
  <si>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</si>
  <si>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</si>
  <si>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</si>
  <si>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</si>
  <si>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</si>
  <si>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</si>
  <si>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</si>
  <si>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</si>
  <si>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</si>
  <si>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</si>
  <si>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</si>
  <si>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</si>
  <si>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</si>
  <si>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</si>
  <si>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</si>
  <si>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</si>
  <si>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</si>
  <si>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</si>
  <si>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</si>
  <si>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</si>
  <si>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</si>
  <si>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</si>
  <si>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</si>
  <si>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</si>
  <si>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</si>
  <si>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</si>
  <si>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</si>
  <si>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</si>
  <si>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</si>
  <si>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</si>
  <si>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</si>
  <si>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</si>
  <si>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</si>
  <si>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</si>
  <si>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</si>
  <si>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</si>
  <si>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</si>
  <si>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</si>
  <si>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</si>
  <si>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</si>
  <si>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</si>
  <si>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</si>
  <si>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</si>
  <si>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</si>
  <si>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</si>
  <si>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</si>
  <si>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</si>
  <si>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</si>
  <si>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</si>
  <si>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</si>
  <si>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</si>
  <si>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</si>
  <si>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</si>
  <si>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</si>
  <si>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</si>
  <si>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</si>
  <si>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</si>
  <si>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</si>
  <si>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</si>
  <si>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</si>
  <si>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</si>
  <si>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</si>
  <si>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</si>
  <si>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</si>
  <si>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</si>
  <si>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</si>
  <si>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</si>
  <si>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</si>
  <si>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</si>
  <si>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</si>
  <si>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</si>
  <si>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</si>
  <si>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</si>
  <si>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</si>
  <si>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</si>
  <si>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</si>
  <si>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</si>
  <si>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</si>
  <si>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</si>
  <si>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</si>
  <si>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</si>
  <si>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</si>
  <si>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</si>
  <si>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</si>
  <si>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</si>
  <si>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</si>
  <si>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</si>
  <si>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</si>
  <si>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</si>
  <si>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</si>
  <si>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</si>
  <si>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</si>
  <si>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</si>
  <si>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</si>
  <si>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</si>
  <si>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</si>
  <si>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</si>
  <si>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</si>
  <si>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</si>
  <si>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</si>
  <si>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</si>
  <si>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</si>
  <si>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</si>
  <si>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</si>
  <si>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</si>
  <si>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</si>
  <si>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</si>
  <si>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</si>
  <si>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</si>
  <si>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</si>
  <si>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</si>
  <si>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</si>
  <si>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</si>
  <si>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</si>
  <si>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</si>
  <si>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</si>
  <si>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</si>
  <si>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</si>
  <si>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</si>
  <si>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</si>
  <si>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</si>
  <si>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</si>
  <si>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</si>
  <si>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</si>
  <si>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</si>
  <si>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</si>
  <si>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</si>
  <si>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</si>
  <si>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</si>
  <si>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</si>
  <si>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</si>
  <si>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</si>
  <si>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</si>
  <si>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</si>
  <si>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</si>
  <si>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</si>
  <si>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CEMERAL_70006101LSCORE LS China Core and Capabilities</t>
  </si>
  <si>
    <t>CLFF_1000$$$DE10Z0319A LS Project Eagle</t>
  </si>
  <si>
    <t>CORAERP_MMOR1975.9114 LS Project Eagle</t>
  </si>
  <si>
    <t>CPHOENX_01010000697001 Project Eagle</t>
  </si>
  <si>
    <t>CNOW_7210$$$0000021307 Applied Solutions Mgmt</t>
  </si>
  <si>
    <t>L000013903</t>
  </si>
  <si>
    <t>L000013905</t>
  </si>
  <si>
    <t>L000005321</t>
  </si>
  <si>
    <t>FR8041722</t>
  </si>
  <si>
    <t>FR8049358</t>
  </si>
  <si>
    <t>D00134300000000 EUV Rinse G5 – Samsung SF1.4</t>
  </si>
  <si>
    <t>D00134400000000 EUV Rinse G5 – Intel A14</t>
  </si>
  <si>
    <t>D00134000000000 PFAS-free KrF Resist</t>
  </si>
  <si>
    <t>D00134100000000 EUV Rinse G5 – Micron 180s</t>
  </si>
  <si>
    <t>D00133900000000 PFAS-free i-line Resists</t>
  </si>
  <si>
    <t>D00134700000000 FZero Sensitizer tBuDHN</t>
  </si>
  <si>
    <t>D00134200000000 EUV Rinse G5 – SK Hynix D1d</t>
  </si>
  <si>
    <t>CLFF_1000$$$DE04OF1000 R&amp;D Europe GoGlobal Trainee</t>
  </si>
  <si>
    <t>CLFF_1000$$$DE01OF0304 PM-OES Supply Chain 4.0</t>
  </si>
  <si>
    <t>CLFF_1000$$$TW02TPTA14 PM-OES Supply Chain 4.0</t>
  </si>
  <si>
    <t>FR8056007</t>
  </si>
  <si>
    <t>P000000411</t>
  </si>
  <si>
    <t>CFLTFLE_2152IMIPEVOL01</t>
  </si>
  <si>
    <t>CFLTFLE_2152IMIPPCRD01</t>
  </si>
  <si>
    <t>CORAERP_MMOR1975.6201 GENM - CELL THERAPY BIOP. R&amp;D</t>
  </si>
  <si>
    <t>CTEMPLA_1000BR10000003 Downstream Marketing Brazil</t>
  </si>
  <si>
    <t>CTEMPEU_1000AT40MS0012 PS Downstream Aseptic for personell cost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</si>
  <si>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</si>
  <si>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</si>
  <si>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</si>
  <si>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</si>
  <si>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</si>
  <si>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</si>
  <si>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</si>
  <si>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CNOW_7210$$$0000021322 SM-AL8 Biomolecular ARD US</t>
  </si>
  <si>
    <t>TO BE DONE IN 2026</t>
  </si>
  <si>
    <t>G000000482</t>
  </si>
  <si>
    <t>FR8078900</t>
  </si>
  <si>
    <t>CLFF_1000$$$DE20529800</t>
  </si>
  <si>
    <t>CLFF_1000$$$DE20529900</t>
  </si>
  <si>
    <t>FR8078609</t>
  </si>
  <si>
    <t xml:space="preserve">CORAERP_MMOR1975.6635 6635 </t>
  </si>
  <si>
    <t xml:space="preserve">PNEXT_D300120210201000000 </t>
  </si>
  <si>
    <t xml:space="preserve">IEMERAL_000009101287 </t>
  </si>
  <si>
    <t xml:space="preserve">CSCALA_1248$BMGR </t>
  </si>
  <si>
    <t xml:space="preserve">T00054100000 </t>
  </si>
  <si>
    <t xml:space="preserve">CORAERP_MMOR1945.5595 </t>
  </si>
  <si>
    <t xml:space="preserve">CORAERP_MMOR1945.5898 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</si>
  <si>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</si>
  <si>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</si>
  <si>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</si>
  <si>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</si>
  <si>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</si>
  <si>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</si>
  <si>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</si>
  <si>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</si>
  <si>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D30012000000000</t>
  </si>
  <si>
    <t>DFLTPGCOH_DIV-65_001060_IO</t>
  </si>
  <si>
    <t>DFLTPGCOH_BF-H6_001248</t>
  </si>
  <si>
    <t>DFLTPGCOH_DIV-65_001945</t>
  </si>
  <si>
    <t>DFLTPGCOH_DIV-63_001945</t>
  </si>
  <si>
    <t>STANDARD</t>
  </si>
  <si>
    <t>G000000864</t>
  </si>
  <si>
    <t>DFLTPGCOH_MISSING_NODES</t>
  </si>
  <si>
    <t>DFLTPGCOH_002152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</si>
  <si>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</si>
  <si>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</si>
  <si>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</si>
  <si>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</si>
  <si>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</si>
  <si>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</si>
  <si>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</si>
  <si>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</si>
  <si>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</si>
  <si>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</si>
  <si>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</si>
  <si>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</si>
  <si>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</si>
  <si>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</si>
  <si>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</si>
  <si>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</si>
  <si>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</si>
  <si>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</si>
  <si>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</si>
  <si>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</si>
  <si>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</si>
  <si>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</si>
  <si>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L000010061</t>
  </si>
  <si>
    <t>L000009964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</si>
  <si>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</si>
  <si>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</si>
  <si>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</si>
  <si>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</si>
  <si>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</si>
  <si>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</si>
  <si>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</si>
  <si>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</si>
  <si>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</si>
  <si>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</si>
  <si>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</si>
  <si>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</si>
  <si>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</si>
  <si>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</si>
  <si>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</si>
  <si>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</si>
  <si>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</si>
  <si>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</si>
  <si>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</si>
  <si>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</si>
  <si>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</si>
  <si>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</si>
  <si>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</si>
  <si>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</si>
  <si>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</si>
  <si>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</si>
  <si>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</si>
  <si>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</si>
  <si>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</si>
  <si>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</si>
  <si>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</si>
  <si>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</si>
  <si>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CORAERP_MMOR1975.9208 PS - A&amp;F Patent Fees</t>
  </si>
  <si>
    <t>L000013785</t>
  </si>
  <si>
    <t>FR8104874</t>
  </si>
  <si>
    <t>CLFF_7210$$$2123TAJQ01 Equipment R&amp;D LSS</t>
  </si>
  <si>
    <t>INEXT_001050000481 2123TAJQ01-IO</t>
  </si>
  <si>
    <t>CTEMPEU_1000FR60635000 Bio Innovation FR</t>
  </si>
  <si>
    <t>ITEMPEU_001500004649 M207</t>
  </si>
  <si>
    <t>ITEMPEU_001500005028 FR60 Interim Project Bio.</t>
  </si>
  <si>
    <t>CNOW_7210$$$0000020510 SAC R&amp;D Novel Modality</t>
  </si>
  <si>
    <t>CTEMPEU_1000CH70RD1107 SAC R&amp;D Folates</t>
  </si>
  <si>
    <t>ITEMPEU_003300000518 P-LNP-ALC-Lipids Chemistries</t>
  </si>
  <si>
    <t>ITEMPEU_003900000225 CH71  UCB Farchim</t>
  </si>
  <si>
    <t>CPHOENX_01010000629700 Analytics &amp; Development Support</t>
  </si>
  <si>
    <t>IPHOENX_000002428201 T_New Lipids for EFSS</t>
  </si>
  <si>
    <t>IPHOENX_000002428801 T-mRNA-Polymers for mRNA Delivery</t>
  </si>
  <si>
    <t>IPHOENX_000002429601 SAC Inasolve Price adj IP Transf</t>
  </si>
  <si>
    <t>IPHOENX_000002433601 P-LNP-R&amp;D Grade Lipid Services</t>
  </si>
  <si>
    <t>T00047400000 Verrechnung 2428801 LS-CAT-LS</t>
  </si>
  <si>
    <t>IPHOENX_000002433401 P-mRNA-Design Suite</t>
  </si>
  <si>
    <t>L000013901</t>
  </si>
  <si>
    <t>FR8104825</t>
  </si>
  <si>
    <t>CEMERAL_70007001457754 Reg LS Project Eagle</t>
  </si>
  <si>
    <t>CLFF_7210$$$1756Y11755 LS Project Eagle</t>
  </si>
  <si>
    <t>IPHOENX_000002423601 CTO Super Enzyme program</t>
  </si>
  <si>
    <t>CORAERP_MMOR1975.6716 GENM - VIRUS &amp; GENE THERAPY BIOP R&amp;D</t>
  </si>
  <si>
    <t>CNOW_7210$$$0000000311 VGT Bioprocessing 2</t>
  </si>
  <si>
    <t>CORAERP_MMOR1975.6734 PS - CRAZY HORSE - VIRAL VECTOR MANUFACTURING TEMPLATE R&amp;D</t>
  </si>
  <si>
    <t>ITEMPEU_001300003829 In silico cQA Risk Assessment</t>
  </si>
  <si>
    <t>CNOW_7210$$$0000021381 *STL APPLIED MARKET ADMETox R&amp;D</t>
  </si>
  <si>
    <t>CNOW_7210$$$0000020561 GENM - R&amp;D Management</t>
  </si>
  <si>
    <t>IPHOENX_000002422701 P-mRNA-Polymers for mRNA Delivery</t>
  </si>
  <si>
    <t>ITEMPEU_003300000040 CH71 O_P_APA 4-arm PEG-5kDa-ethylamin</t>
  </si>
  <si>
    <t>ITEMPEU_003300000069 XXXCH71 T_P_CSL MPEG-20kDa-propionaldehy</t>
  </si>
  <si>
    <t>ITEMPEU_003300000111 P-LNP-Synthetic Cholesterol</t>
  </si>
  <si>
    <t>ITEMPEU_003300000339 CH71 Sales Marketing Support Passafaro</t>
  </si>
  <si>
    <t>ITEMPEU_003300000362 T-SM-Monodisperse PEGs (mPEGs)</t>
  </si>
  <si>
    <t>ITEMPEU_003300000402 XXXXCH71 O_L_Seeding Activities</t>
  </si>
  <si>
    <t>ITEMPEU_003300000418 CH71 EXP PLGA/PLA</t>
  </si>
  <si>
    <t>ITEMPEU_003300000464 P-LNP-DMG-DSG-PEG2ka</t>
  </si>
  <si>
    <t>ITEMPEU_003300000465 CH71 T_New Lipids for RNA Delivery</t>
  </si>
  <si>
    <t>ITEMPEU_003300000467 CH71 P_DMG-PEG-2000 / DSG-PEG-2000 1.0</t>
  </si>
  <si>
    <t>ITEMPEU_003300000472 CH71 ACB_ALC-0159</t>
  </si>
  <si>
    <t>ITEMPEU_003300000523 CH71 P_New Lipids for RNA Delivery</t>
  </si>
  <si>
    <t>IPHOENX_000002348501 XXXT_mRNA AmpTec support</t>
  </si>
  <si>
    <t>IPHOENX_000002404001 XXXT_Polymers for mRNA delivery</t>
  </si>
  <si>
    <t>IPHOENX_000002413801 T_mRNA Upscaling</t>
  </si>
  <si>
    <t>IPHOENX_000002413901 XXXT_Lipids for mRNA delivery</t>
  </si>
  <si>
    <t>IPHOENX_000002422801 P-LNP-Lipids for mRNA delivery</t>
  </si>
  <si>
    <t>IPHOENX_000002427301 P-LNP-Lipidomics</t>
  </si>
  <si>
    <t>IPHOENX_000002427401 P-LNP-DSPC-DOPC-DPPC-buy resell</t>
  </si>
  <si>
    <t>IPHOENX_000002425301 P-PGM-mRNA Process Development</t>
  </si>
  <si>
    <t>L000006435</t>
  </si>
  <si>
    <t>DFLTPGCOH_002106</t>
  </si>
  <si>
    <t>DFLTPGCOH_002097</t>
  </si>
  <si>
    <t>DFLTPGCOH_002002</t>
  </si>
  <si>
    <t>DFLTPGCOH_002116</t>
  </si>
  <si>
    <t>DFLTPGCOH_002113</t>
  </si>
  <si>
    <t>DFLTPGCOH_002072</t>
  </si>
  <si>
    <t>DFLTPGCOH_002001</t>
  </si>
  <si>
    <t>DFLTPGCOH_002061</t>
  </si>
  <si>
    <t>DFLTPGCOH_002047</t>
  </si>
  <si>
    <t>DFLTPGCOH_002085</t>
  </si>
  <si>
    <t>DFLTPGCOH_002142</t>
  </si>
  <si>
    <t>DFLTPGCOH_002136</t>
  </si>
  <si>
    <t>DFLTPGCOH_BF-Y6_001945</t>
  </si>
  <si>
    <t>DFLTPGCOH_BF-C4_002177</t>
  </si>
  <si>
    <t>L000006422</t>
  </si>
  <si>
    <t>TEMPEU_1000FR60635000</t>
  </si>
  <si>
    <t>TEMPEU_1000CH70RD1107</t>
  </si>
  <si>
    <t>PHOENX_01010000629700</t>
  </si>
  <si>
    <t>L000007098</t>
  </si>
  <si>
    <t>L000007099</t>
  </si>
  <si>
    <t>L000012607</t>
  </si>
  <si>
    <t>L000007094</t>
  </si>
  <si>
    <t>L000007095</t>
  </si>
  <si>
    <t>LFF_7210$$$2123TAJQ01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</si>
  <si>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</si>
  <si>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</si>
  <si>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</si>
  <si>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</si>
  <si>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</si>
  <si>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</si>
  <si>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</si>
  <si>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</si>
  <si>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</si>
  <si>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</si>
  <si>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</si>
  <si>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</si>
  <si>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DE10537813</t>
  </si>
  <si>
    <t>DE20537813</t>
  </si>
  <si>
    <t>DE10538999</t>
  </si>
  <si>
    <t>DE10538529</t>
  </si>
  <si>
    <t>DE10538536</t>
  </si>
  <si>
    <t>DE10538539</t>
  </si>
  <si>
    <t>DE10538540</t>
  </si>
  <si>
    <t>DE20538529</t>
  </si>
  <si>
    <t>DE20538536</t>
  </si>
  <si>
    <t>DE20538539</t>
  </si>
  <si>
    <t>DE20538540</t>
  </si>
  <si>
    <t>FR8109245</t>
  </si>
  <si>
    <t>G000000193</t>
  </si>
  <si>
    <t>ITEMPNA_009004000207</t>
  </si>
  <si>
    <t>ITEMPNA_9004000177</t>
  </si>
  <si>
    <t>ITEMPNA_9004000074</t>
  </si>
  <si>
    <t>ITEMPNA_9004000206</t>
  </si>
  <si>
    <t>CC_002098_DEFAULTL</t>
  </si>
  <si>
    <t>G000000422</t>
  </si>
  <si>
    <t>G000000532</t>
  </si>
  <si>
    <t>G000000951</t>
  </si>
  <si>
    <t>G000001025</t>
  </si>
  <si>
    <t>ITEMPNA_009004000177</t>
  </si>
  <si>
    <t>ITEMPNA_009004000074</t>
  </si>
  <si>
    <t>ITEMPNA_009004000206</t>
  </si>
  <si>
    <t>2123TAJQ01</t>
  </si>
  <si>
    <t>1756Y11755</t>
  </si>
  <si>
    <t>mapped for 2025 mapped for 2026</t>
  </si>
  <si>
    <t>NOW_7210   0000021322</t>
  </si>
  <si>
    <t>FR8113949</t>
  </si>
  <si>
    <t>CTEMPEU_1000PL10D03100</t>
  </si>
  <si>
    <t>CLFF_1000$$$DE10YIT020</t>
  </si>
  <si>
    <t>CLFF_1000$$$DE10YIT021</t>
  </si>
  <si>
    <t>H000004350</t>
  </si>
  <si>
    <t>Wait for Jay-r to respond whether for 2025 or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</si>
</sst>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7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81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16" xfId="0" applyFont="1" applyBorder="1"/>
    <xf numFmtId="0" fontId="0" fillId="7" borderId="16" xfId="0" applyFont="1" applyFill="1" applyBorder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27.983588773146" createdVersion="7" refreshedVersion="7" minRefreshableVersion="3" recordCount="5234" xr:uid="{11839AE3-6158-4318-87AD-2C711D0BF451}">
  <cacheSource type="worksheet">
    <worksheetSource name="Proc"/>
  </cacheSource>
  <cacheFields count="19">
    <cacheField name="App" numFmtId="0">
      <sharedItems containsBlank="1" count="1660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6-01-03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71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34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71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46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46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46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46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46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46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46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46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46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46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46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42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39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39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39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39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39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39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39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39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39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39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39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39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39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39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39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39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39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39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39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39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39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39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39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39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39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39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39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39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39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39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39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39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39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39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39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39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39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39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39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39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39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38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38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38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37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37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37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37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37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36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36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34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34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33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30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30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30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30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30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30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30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30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30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30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30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30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30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30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30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30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30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30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30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30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30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29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29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29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29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29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24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24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24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19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19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19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19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19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19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19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19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19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19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19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19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19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19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19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19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19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19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15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15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15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10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209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209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209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209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209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209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209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209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209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209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209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209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95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95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94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94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94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84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69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69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69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69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69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69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69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69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69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69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69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69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69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69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69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69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69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69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69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69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66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66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66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66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65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65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64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64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64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64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64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64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64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64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64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64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64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64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64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64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64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64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64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64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60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60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60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60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60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54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54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49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49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44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44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44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44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44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44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44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44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44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44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44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44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44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44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44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44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44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44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44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44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44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44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44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44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44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44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44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44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44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44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44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44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44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44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44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44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44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44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44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44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44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44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44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44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44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44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44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44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44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41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41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41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41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42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39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39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34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34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34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34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34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34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34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34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34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34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34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32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32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32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32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32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32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32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32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32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32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32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32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32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32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32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32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32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32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32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32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32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32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32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32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32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30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30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30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30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30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30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30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30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30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30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29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29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29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28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28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28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28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28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28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27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27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25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24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24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24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23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23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23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21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21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21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21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21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21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21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18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18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18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18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18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18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18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18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18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18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18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18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18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18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18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18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18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18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18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18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18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18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18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18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18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18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18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18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18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17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17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15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15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15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15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15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15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15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15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15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15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13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13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13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13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13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13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13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13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12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12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12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12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12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12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12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12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12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12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12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12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12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12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12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12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12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110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09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09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09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09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09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09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09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09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09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09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09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09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09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09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09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09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09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09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09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09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09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09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09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09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09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09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09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09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09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09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09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09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09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09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09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09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09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09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109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09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09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09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09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09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09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09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09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09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09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09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09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09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09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09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09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09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09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09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09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09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09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09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09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09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09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09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09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09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09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09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09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09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09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09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09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09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09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09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09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09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09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09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09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09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09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09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09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09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09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09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09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09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09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09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09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09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09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09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09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09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09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09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09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09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09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09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09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09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09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09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09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09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09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09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09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09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09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09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09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09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09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09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09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09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09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09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09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09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09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09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06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06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106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106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106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106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106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106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106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106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106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106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106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106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106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106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106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106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106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106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106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06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106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106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06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06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06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06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06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06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06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06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06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06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06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06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06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06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06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06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06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06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06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05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05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04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04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04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04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04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04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04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03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03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03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102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102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102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102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102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102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102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102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102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102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102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102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102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102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102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102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102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102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102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102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102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102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102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102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102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102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102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102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102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102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102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102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102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02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102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102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02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101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101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101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101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101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101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01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01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01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01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01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01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01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01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01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01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01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01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101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00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00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00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00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100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00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100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100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100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100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100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00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100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100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100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00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100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00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99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99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99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99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99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99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99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99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99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99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99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99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96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96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96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96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96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96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96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96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96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96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96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96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96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96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96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96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96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96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96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96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96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96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96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96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96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96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96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96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96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95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95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95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95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94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94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94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94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94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94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94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94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94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94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94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94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94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94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94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94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94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94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94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94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94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94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94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94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94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94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94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94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94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94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94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94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94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94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94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94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94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94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94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94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94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94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94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94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94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94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94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94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94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94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94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94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94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94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94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94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94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94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94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94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94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94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94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94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94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94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94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94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94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94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94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94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94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94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94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94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94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94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94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94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94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94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94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94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94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94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94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94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94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94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94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94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94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94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94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94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94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94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94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94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94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94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94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94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94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94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94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94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94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94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94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94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94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94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94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94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94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94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94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94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94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94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94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94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94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94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92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92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92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92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92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92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92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92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92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92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92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92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92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92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92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92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91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90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90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90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90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90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90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90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90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90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90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90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90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90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90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90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90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90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90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89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89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89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89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89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89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89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89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89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89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89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89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89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89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89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89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89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89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89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89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89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89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89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89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89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89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89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89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89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89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89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89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89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89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89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89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89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89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89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89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89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89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89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89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89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89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89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89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89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89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89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89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89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89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89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89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89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89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89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89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89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89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89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89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89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89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89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89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89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89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89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89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89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89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89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89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89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89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89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89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89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89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89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89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89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89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89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89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89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89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89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89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89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89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89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89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89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89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89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89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89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89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89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89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89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89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89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89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89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89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89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89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89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89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89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85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85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85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85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85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85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85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85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85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85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85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85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84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84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84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84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84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84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84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84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84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84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84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84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84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84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84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84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84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84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84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84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84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84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84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84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84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84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84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84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84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84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84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81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81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81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81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81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81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81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81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81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80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79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79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79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79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79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79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78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78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78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78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78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78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78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78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78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78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78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78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78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78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78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78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78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78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78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78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77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77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77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77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77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77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77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77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77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77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77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77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76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76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76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76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76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76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76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76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76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76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76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76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73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73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73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73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73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73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73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73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73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73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73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73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73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73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73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73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73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73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73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73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73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73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73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73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73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73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73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73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73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73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73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73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73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73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73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73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73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73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73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73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73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73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73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73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73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73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73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73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73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73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72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72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72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72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72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72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72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72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72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72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72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72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72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72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72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72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69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68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68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68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68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68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68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66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66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66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66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66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66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66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66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66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66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66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66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66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66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66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66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66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66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66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66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66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66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66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66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66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66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66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66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66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66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66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66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66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66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66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66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66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66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66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66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66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66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66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66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66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66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66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64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64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64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64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64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64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64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64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64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64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64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64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64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64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64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64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64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64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64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64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64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64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64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64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64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64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64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64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62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62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62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62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57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57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57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57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57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56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56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56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56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56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56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56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56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56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56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56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56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53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53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53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53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53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53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53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53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53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53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53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53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53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53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53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53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53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53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53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53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53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53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53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53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53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53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53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53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53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52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51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50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50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50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50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50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50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50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50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50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50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50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50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50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50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50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50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50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50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50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50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50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50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50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50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50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50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50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49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49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49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49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49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49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49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49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49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49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49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49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49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49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49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49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49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49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49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49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49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49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49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49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49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49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49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49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49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49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49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49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49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49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49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49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49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49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49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48"/>
    <s v="Ruby Grace Garcia"/>
    <m/>
  </r>
  <r>
    <x v="408"/>
    <x v="1"/>
    <x v="8"/>
    <s v="ITEMPEU_001700006137"/>
    <s v="H000004596"/>
    <n v="0"/>
    <s v="Non-LFF"/>
    <s v=""/>
    <m/>
    <b v="0"/>
    <x v="1"/>
    <x v="0"/>
    <d v="2025-10-24T00:00:00"/>
    <m/>
    <m/>
    <x v="1"/>
    <n v="51"/>
    <s v="Anna Glab"/>
    <m/>
  </r>
  <r>
    <x v="408"/>
    <x v="1"/>
    <x v="8"/>
    <s v="ITEMPEU_001700006138"/>
    <s v="H000004597"/>
    <n v="0"/>
    <s v="Non-LFF"/>
    <s v=""/>
    <m/>
    <b v="0"/>
    <x v="1"/>
    <x v="0"/>
    <d v="2025-10-24T00:00:00"/>
    <m/>
    <m/>
    <x v="1"/>
    <n v="51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46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46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46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46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46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46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46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46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46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46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46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46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46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46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46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46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46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46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46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46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46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46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46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46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46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46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46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46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46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46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46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46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46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46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46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46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46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46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46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46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46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46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46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46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46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46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46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46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44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44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44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44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44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44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44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44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44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44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44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44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44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44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44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44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44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44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44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44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44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44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44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44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44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44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44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44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44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43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41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41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41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38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38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38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38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38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38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38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38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38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38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38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38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38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38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38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38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38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38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38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38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38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38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38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38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38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38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38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38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38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38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35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35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35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35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35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35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35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35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35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35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35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35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35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35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35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35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35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35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35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35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35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35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35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35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34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34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34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34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34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34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34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34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34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34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34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34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34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34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32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32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32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32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32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32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32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30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30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30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30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30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30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30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30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30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30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30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30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30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30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30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30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30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30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30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30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30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30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30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30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30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30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30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30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30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30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30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30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30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30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30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30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30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30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30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30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30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30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30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30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30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30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30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30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30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30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30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30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30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30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30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30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30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30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30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30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30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30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30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30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29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29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29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29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29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29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29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29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29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29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27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27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27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27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27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27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27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27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27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27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27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27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27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27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27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27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27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27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27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27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27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27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27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27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27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27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27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27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27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27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27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27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27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27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26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26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26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26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26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26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26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26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26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26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26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26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26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26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26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26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26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26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26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26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26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26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26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26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26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26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26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26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26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26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26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26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26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26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26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26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26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26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26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26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26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26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26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26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26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26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26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26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26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26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26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26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26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26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26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26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26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26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26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26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26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26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26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26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26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26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26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26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26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26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26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26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26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26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26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26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26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26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26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26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26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26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26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26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26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26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26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26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26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26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26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26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26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26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26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26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26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26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26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26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26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26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26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26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26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26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26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26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26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26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26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26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26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26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26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26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26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26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26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26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26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26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26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26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26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26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26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26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26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26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26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26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26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26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26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26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26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26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26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26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26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26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26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26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26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25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25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25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25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25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1"/>
    <n v="25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1"/>
    <n v="25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1"/>
    <n v="25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1"/>
    <n v="25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1"/>
    <n v="25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1"/>
    <n v="25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1"/>
    <n v="25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25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25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25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25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25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25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25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25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25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25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25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25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25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25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25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25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24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1"/>
    <n v="24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1"/>
    <n v="24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1"/>
    <n v="24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1"/>
    <n v="24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1"/>
    <n v="24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1"/>
    <n v="24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1"/>
    <n v="24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1"/>
    <n v="24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1"/>
    <n v="24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1"/>
    <n v="24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23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23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23"/>
    <s v="Erjo Miguel Tagle"/>
    <m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23"/>
    <s v="Erjo Miguel Tagle"/>
    <m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23"/>
    <s v="Erjo Miguel Tagle"/>
    <m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23"/>
    <s v="Erjo Miguel Tagle"/>
    <m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23"/>
    <s v="Erjo Miguel Tagle"/>
    <m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23"/>
    <s v="Erjo Miguel Tagle"/>
    <m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23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1"/>
    <n v="23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23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23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23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23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23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23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23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23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23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23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23"/>
    <s v="Erjo Miguel Tagle"/>
    <m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23"/>
    <s v="Erjo Miguel Tagle"/>
    <m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23"/>
    <s v="Erjo Miguel Tagle"/>
    <m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23"/>
    <s v="Erjo Miguel Tagle"/>
    <m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23"/>
    <s v="Erjo Miguel Tagle"/>
    <m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23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1"/>
    <n v="22"/>
    <s v="Gay Geanuza del Mundo"/>
    <m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22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21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21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21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21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21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21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21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21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21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1"/>
    <n v="21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21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21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21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21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21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21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21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21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21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21"/>
    <s v="Erjo Miguel Tagle"/>
    <m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20"/>
    <s v="Erjo Miguel Tagle"/>
    <m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20"/>
    <s v="Erjo Miguel Tagle"/>
    <m/>
  </r>
  <r>
    <x v="462"/>
    <x v="0"/>
    <x v="2"/>
    <s v="CPHOENX_01010000648924 "/>
    <s v="L000013461"/>
    <s v="L000013461"/>
    <s v="Non-LFF"/>
    <s v=""/>
    <m/>
    <b v="1"/>
    <x v="2"/>
    <x v="0"/>
    <d v="2025-12-08T00:00:00"/>
    <m/>
    <m/>
    <x v="1"/>
    <n v="20"/>
    <s v="Ruby Grace Garcia"/>
    <m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20"/>
    <s v="Ruby Grace Garcia"/>
    <m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20"/>
    <s v="Ruby Grace Garcia"/>
    <m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20"/>
    <s v="Ruby Grace Garcia"/>
    <m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20"/>
    <s v="Ruby Grace Garcia"/>
    <m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20"/>
    <s v="Ruby Grace Garcia"/>
    <m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20"/>
    <s v="Ruby Grace Garcia"/>
    <m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20"/>
    <s v="Ruby Grace Garcia"/>
    <m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20"/>
    <s v="Ruby Grace Garcia"/>
    <m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20"/>
    <s v="Ruby Grace Garcia"/>
    <m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20"/>
    <s v="Ruby Grace Garcia"/>
    <m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20"/>
    <s v="Ruby Grace Garcia"/>
    <m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20"/>
    <s v="Ruby Grace Garcia"/>
    <m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20"/>
    <s v="Ruby Grace Garcia"/>
    <m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20"/>
    <s v="Ruby Grace Garcia"/>
    <m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20"/>
    <s v="Ruby Grace Garcia"/>
    <m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20"/>
    <s v="Ruby Grace Garcia"/>
    <m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20"/>
    <s v="Ruby Grace Garcia"/>
    <m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20"/>
    <s v="Ruby Grace Garcia"/>
    <m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20"/>
    <s v="Ruby Grace Garcia"/>
    <m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20"/>
    <s v="Ruby Grace Garcia"/>
    <m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20"/>
    <s v="Ruby Grace Garcia"/>
    <m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20"/>
    <s v="Ruby Grace Garcia"/>
    <m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20"/>
    <s v="Ruby Grace Garcia"/>
    <m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20"/>
    <s v="Ruby Grace Garcia"/>
    <m/>
  </r>
  <r>
    <x v="462"/>
    <x v="0"/>
    <x v="2"/>
    <s v="D30012000000000 "/>
    <s v="L000011451"/>
    <s v="L000011451"/>
    <s v="Non-LFF"/>
    <s v=""/>
    <m/>
    <b v="1"/>
    <x v="2"/>
    <x v="0"/>
    <d v="2025-12-08T00:00:00"/>
    <m/>
    <m/>
    <x v="1"/>
    <n v="20"/>
    <s v="Ruby Grace Garcia"/>
    <m/>
  </r>
  <r>
    <x v="463"/>
    <x v="1"/>
    <x v="8"/>
    <s v="RDC0000095"/>
    <s v="H000004396"/>
    <s v="DFLTPGCOH_MISSING_NODES"/>
    <s v="Non-LFF"/>
    <s v=""/>
    <m/>
    <b v="0"/>
    <x v="1"/>
    <x v="0"/>
    <d v="2025-12-08T00:00:00"/>
    <m/>
    <m/>
    <x v="1"/>
    <n v="20"/>
    <s v="Erjo Miguel Tagle"/>
    <m/>
  </r>
  <r>
    <x v="464"/>
    <x v="0"/>
    <x v="2"/>
    <s v="CEMERAL_70006101LSCORE LS China Core and Capabilities"/>
    <s v="L000013903"/>
    <s v="L000013903"/>
    <s v="Non-LFF"/>
    <s v=""/>
    <m/>
    <b v="1"/>
    <x v="2"/>
    <x v="0"/>
    <d v="2025-12-08T00:00:00"/>
    <m/>
    <m/>
    <x v="1"/>
    <n v="20"/>
    <s v="Ruby Grace Garcia"/>
    <m/>
  </r>
  <r>
    <x v="464"/>
    <x v="0"/>
    <x v="2"/>
    <s v="CLFF_1000$$$DE10Z0319A LS Project Eagle"/>
    <s v="L000013905"/>
    <s v="L000013905"/>
    <s v="LFF (MDG-F)"/>
    <s v="DE10Z0319A"/>
    <m/>
    <b v="1"/>
    <x v="2"/>
    <x v="0"/>
    <d v="2025-12-08T00:00:00"/>
    <m/>
    <m/>
    <x v="1"/>
    <n v="20"/>
    <s v="Ruby Grace Garcia"/>
    <m/>
  </r>
  <r>
    <x v="464"/>
    <x v="0"/>
    <x v="2"/>
    <s v="CORAERP_MMOR1975.9114 LS Project Eagle"/>
    <s v="L000013905"/>
    <s v="L000013905"/>
    <s v="Non-LFF"/>
    <s v=""/>
    <m/>
    <b v="1"/>
    <x v="2"/>
    <x v="0"/>
    <d v="2025-12-08T00:00:00"/>
    <m/>
    <m/>
    <x v="1"/>
    <n v="20"/>
    <s v="Ruby Grace Garcia"/>
    <m/>
  </r>
  <r>
    <x v="464"/>
    <x v="0"/>
    <x v="2"/>
    <s v="CPHOENX_01010000697001 Project Eagle"/>
    <s v="L000013905"/>
    <s v="L000013905"/>
    <s v="Non-LFF"/>
    <s v=""/>
    <m/>
    <b v="1"/>
    <x v="2"/>
    <x v="0"/>
    <d v="2025-12-08T00:00:00"/>
    <m/>
    <m/>
    <x v="1"/>
    <n v="20"/>
    <s v="Ruby Grace Garcia"/>
    <m/>
  </r>
  <r>
    <x v="464"/>
    <x v="0"/>
    <x v="2"/>
    <s v="CNOW_7210$$$0000021307 Applied Solutions Mgmt"/>
    <s v="L000005321"/>
    <s v="L000005321"/>
    <s v="Non-LFF"/>
    <s v=""/>
    <m/>
    <b v="1"/>
    <x v="2"/>
    <x v="0"/>
    <d v="2025-12-08T00:00:00"/>
    <m/>
    <m/>
    <x v="1"/>
    <n v="20"/>
    <s v="Ruby Grace Garcia"/>
    <m/>
  </r>
  <r>
    <x v="465"/>
    <x v="0"/>
    <x v="2"/>
    <s v="D00134300000000 EUV Rinse G5 – Samsung SF1.4"/>
    <s v="P000001013"/>
    <s v="P000001013"/>
    <s v="Non-LFF"/>
    <s v=""/>
    <m/>
    <b v="1"/>
    <x v="3"/>
    <x v="0"/>
    <d v="2025-12-10T00:00:00"/>
    <m/>
    <m/>
    <x v="1"/>
    <n v="18"/>
    <s v="John Rowie Del Rosario"/>
    <m/>
  </r>
  <r>
    <x v="465"/>
    <x v="0"/>
    <x v="2"/>
    <s v="D00134400000000 EUV Rinse G5 – Intel A14"/>
    <s v="P000001013"/>
    <s v="P000001013"/>
    <s v="Non-LFF"/>
    <s v=""/>
    <m/>
    <b v="1"/>
    <x v="3"/>
    <x v="0"/>
    <d v="2025-12-10T00:00:00"/>
    <m/>
    <m/>
    <x v="1"/>
    <n v="18"/>
    <s v="John Rowie Del Rosario"/>
    <m/>
  </r>
  <r>
    <x v="465"/>
    <x v="0"/>
    <x v="2"/>
    <s v="D00134000000000 PFAS-free KrF Resist"/>
    <s v="P000001013"/>
    <s v="P000001013"/>
    <s v="Non-LFF"/>
    <m/>
    <m/>
    <b v="1"/>
    <x v="3"/>
    <x v="0"/>
    <d v="2025-12-10T00:00:00"/>
    <m/>
    <m/>
    <x v="1"/>
    <n v="18"/>
    <s v="John Rowie Del Rosario"/>
    <m/>
  </r>
  <r>
    <x v="465"/>
    <x v="0"/>
    <x v="2"/>
    <s v="D00134100000000 EUV Rinse G5 – Micron 180s"/>
    <s v="P000001013"/>
    <s v="P000001013"/>
    <s v="Non-LFF"/>
    <s v=""/>
    <m/>
    <b v="1"/>
    <x v="3"/>
    <x v="0"/>
    <d v="2025-12-10T00:00:00"/>
    <m/>
    <m/>
    <x v="1"/>
    <n v="18"/>
    <s v="John Rowie Del Rosario"/>
    <m/>
  </r>
  <r>
    <x v="465"/>
    <x v="0"/>
    <x v="2"/>
    <s v="D00133900000000 PFAS-free i-line Resists"/>
    <s v="P000001013"/>
    <s v="P000001013"/>
    <s v="Non-LFF"/>
    <s v=""/>
    <m/>
    <b v="1"/>
    <x v="3"/>
    <x v="0"/>
    <d v="2025-12-10T00:00:00"/>
    <m/>
    <m/>
    <x v="1"/>
    <n v="18"/>
    <s v="John Rowie Del Rosario"/>
    <m/>
  </r>
  <r>
    <x v="465"/>
    <x v="0"/>
    <x v="2"/>
    <s v="D00134700000000 FZero Sensitizer tBuDHN"/>
    <s v="P000001013"/>
    <s v="P000001013"/>
    <s v="Non-LFF"/>
    <s v=""/>
    <m/>
    <b v="1"/>
    <x v="3"/>
    <x v="0"/>
    <d v="2025-12-10T00:00:00"/>
    <m/>
    <m/>
    <x v="1"/>
    <n v="18"/>
    <s v="John Rowie Del Rosario"/>
    <m/>
  </r>
  <r>
    <x v="465"/>
    <x v="0"/>
    <x v="2"/>
    <s v="D00134200000000 EUV Rinse G5 – SK Hynix D1d"/>
    <s v="P000001013"/>
    <s v="P000001013"/>
    <s v="Non-LFF"/>
    <s v=""/>
    <m/>
    <b v="1"/>
    <x v="3"/>
    <x v="0"/>
    <d v="2025-12-10T00:00:00"/>
    <m/>
    <m/>
    <x v="1"/>
    <n v="18"/>
    <s v="John Rowie Del Rosario"/>
    <m/>
  </r>
  <r>
    <x v="465"/>
    <x v="0"/>
    <x v="2"/>
    <s v="DP000009000000 HPD8701/8720 for Intel Adv. Packaging"/>
    <s v="P000001013"/>
    <s v="P000001013"/>
    <s v="Non-LFF"/>
    <s v=""/>
    <m/>
    <b v="1"/>
    <x v="3"/>
    <x v="0"/>
    <d v="2025-12-10T00:00:00"/>
    <m/>
    <m/>
    <x v="1"/>
    <n v="18"/>
    <s v="John Rowie Del Rosario"/>
    <m/>
  </r>
  <r>
    <x v="466"/>
    <x v="1"/>
    <x v="2"/>
    <s v="CFLTFLE_2152IMIPEVOL01"/>
    <s v="P000000411"/>
    <s v="P000000411"/>
    <s v="Non-LFF"/>
    <s v=""/>
    <m/>
    <b v="1"/>
    <x v="3"/>
    <x v="0"/>
    <d v="2025-12-12T00:00:00"/>
    <m/>
    <m/>
    <x v="1"/>
    <n v="16"/>
    <s v="Roselle Delos Angeles"/>
    <m/>
  </r>
  <r>
    <x v="466"/>
    <x v="1"/>
    <x v="8"/>
    <s v="CFLTFLE_2152IMIPPCRD01"/>
    <s v="P000000540"/>
    <s v="DFLTPGCOH_002152"/>
    <s v="Non-LFF"/>
    <s v=""/>
    <m/>
    <b v="0"/>
    <x v="3"/>
    <x v="0"/>
    <d v="2025-12-12T00:00:00"/>
    <m/>
    <m/>
    <x v="1"/>
    <n v="16"/>
    <s v="Roselle Delos Angeles"/>
    <m/>
  </r>
  <r>
    <x v="466"/>
    <x v="1"/>
    <x v="2"/>
    <s v="CLFF_1000$$$DE04OF1000 R&amp;D Europe GoGlobal Trainee"/>
    <s v="P000001336"/>
    <s v="P000001336"/>
    <s v="LFF (MDG-F)"/>
    <s v="DE04OF1000"/>
    <m/>
    <b v="1"/>
    <x v="3"/>
    <x v="0"/>
    <d v="2025-12-12T00:00:00"/>
    <m/>
    <m/>
    <x v="1"/>
    <n v="16"/>
    <s v="Roselle Delos Angeles"/>
    <m/>
  </r>
  <r>
    <x v="466"/>
    <x v="1"/>
    <x v="2"/>
    <s v="CLFF_1000$$$DE01OF0304 PM-OES Supply Chain 4.0"/>
    <s v="P000000575"/>
    <s v="P000000575"/>
    <s v="LFF (MDG-F)"/>
    <s v="DE01OF0304"/>
    <m/>
    <b v="1"/>
    <x v="3"/>
    <x v="0"/>
    <d v="2025-12-12T00:00:00"/>
    <m/>
    <m/>
    <x v="1"/>
    <n v="16"/>
    <s v="Roselle Delos Angeles"/>
    <m/>
  </r>
  <r>
    <x v="466"/>
    <x v="1"/>
    <x v="2"/>
    <s v="CLFF_1000$$$TW02TPTA14 PM-OES Supply Chain 4.0"/>
    <s v="P000000575"/>
    <s v="P000000575"/>
    <s v="LFF (MDG-F)"/>
    <s v="TW02TPTA14"/>
    <m/>
    <b v="1"/>
    <x v="3"/>
    <x v="0"/>
    <d v="2025-12-12T00:00:00"/>
    <m/>
    <m/>
    <x v="1"/>
    <n v="16"/>
    <s v="Roselle Delos Angeles"/>
    <m/>
  </r>
  <r>
    <x v="467"/>
    <x v="0"/>
    <x v="2"/>
    <s v="CORAERP_MMOR1975.6201 GENM - CELL THERAPY BIOP. R&amp;D"/>
    <s v="L000013511"/>
    <s v="L000013511"/>
    <s v="Non-LFF"/>
    <s v=""/>
    <m/>
    <b v="1"/>
    <x v="2"/>
    <x v="0"/>
    <d v="2025-12-15T00:00:00"/>
    <m/>
    <m/>
    <x v="1"/>
    <n v="15"/>
    <s v="Ruby Grace Garcia"/>
    <m/>
  </r>
  <r>
    <x v="467"/>
    <x v="0"/>
    <x v="2"/>
    <s v="CORAERP_MMOR1945.5124 BioP Process &amp; Governance"/>
    <s v="L000013915"/>
    <s v="L000013915"/>
    <s v="Non-LFF"/>
    <s v=""/>
    <m/>
    <b v="1"/>
    <x v="2"/>
    <x v="0"/>
    <d v="2025-12-15T00:00:00"/>
    <m/>
    <m/>
    <x v="1"/>
    <n v="15"/>
    <s v="Ruby Grace Garcia"/>
    <m/>
  </r>
  <r>
    <x v="467"/>
    <x v="0"/>
    <x v="2"/>
    <s v="CNOW_7210$$$0000025463 Marketing Ops (Upstream &amp; Systems)"/>
    <s v="L000013915"/>
    <s v="L000013915"/>
    <s v="Non-LFF"/>
    <s v=""/>
    <m/>
    <b v="1"/>
    <x v="2"/>
    <x v="0"/>
    <d v="2025-12-15T00:00:00"/>
    <m/>
    <m/>
    <x v="1"/>
    <n v="15"/>
    <s v="Ruby Grace Garcia"/>
    <m/>
  </r>
  <r>
    <x v="467"/>
    <x v="0"/>
    <x v="2"/>
    <s v="CTEMPLA_1000BR10000003 Downstream Marketing Brazil"/>
    <s v="L000013912"/>
    <s v="L000013912"/>
    <s v="Non-LFF"/>
    <s v=""/>
    <m/>
    <b v="1"/>
    <x v="2"/>
    <x v="0"/>
    <d v="2025-12-15T00:00:00"/>
    <m/>
    <m/>
    <x v="1"/>
    <n v="15"/>
    <s v="Ruby Grace Garcia"/>
    <m/>
  </r>
  <r>
    <x v="467"/>
    <x v="0"/>
    <x v="2"/>
    <s v="CTEMPEU_1000AT40MS0012 PS Downstream Aseptic for personell cost"/>
    <s v="L000013914"/>
    <s v="L000013914"/>
    <s v="Non-LFF"/>
    <s v=""/>
    <m/>
    <b v="1"/>
    <x v="2"/>
    <x v="0"/>
    <d v="2025-12-15T00:00:00"/>
    <m/>
    <m/>
    <x v="1"/>
    <n v="15"/>
    <s v="Ruby Grace Garcia"/>
    <m/>
  </r>
  <r>
    <x v="467"/>
    <x v="0"/>
    <x v="2"/>
    <s v="CLFF_7210$$$1756C00005 BioC Innovation Mgmt Mkt UK"/>
    <s v="L000013913"/>
    <s v="L000013913"/>
    <s v="LFF (MDG-F)"/>
    <s v="1756C00005"/>
    <m/>
    <b v="1"/>
    <x v="2"/>
    <x v="0"/>
    <d v="2025-12-15T00:00:00"/>
    <m/>
    <m/>
    <x v="1"/>
    <n v="15"/>
    <s v="Ruby Grace Garcia"/>
    <m/>
  </r>
  <r>
    <x v="468"/>
    <x v="1"/>
    <x v="7"/>
    <s v="CNOW_7210$$$0000021322 SM-AL8 Biomolecular ARD US"/>
    <s v="L000006661"/>
    <s v="G000000864"/>
    <s v="Non-LFF"/>
    <s v=""/>
    <s v="TO BE DONE IN 2026"/>
    <b v="0"/>
    <x v="0"/>
    <x v="0"/>
    <d v="2025-12-15T00:00:00"/>
    <m/>
    <m/>
    <x v="1"/>
    <n v="15"/>
    <s v="Manuel Walther"/>
    <m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12"/>
    <s v="Nadine Anic"/>
    <m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12"/>
    <s v="Nadine Anic"/>
    <m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12"/>
    <s v="Nadine Anic"/>
    <m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12"/>
    <s v="Nadine Anic"/>
    <m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12"/>
    <s v="Ruby Grace Garcia"/>
    <m/>
  </r>
  <r>
    <x v="470"/>
    <x v="0"/>
    <x v="2"/>
    <s v="PNEXT_D300120210201000000 "/>
    <s v="L000011451"/>
    <s v="L000011451"/>
    <s v="Non-LFF"/>
    <s v=""/>
    <m/>
    <b v="1"/>
    <x v="2"/>
    <x v="0"/>
    <d v="2025-12-18T00:00:00"/>
    <m/>
    <m/>
    <x v="1"/>
    <n v="12"/>
    <s v="Ruby Grace Garcia"/>
    <m/>
  </r>
  <r>
    <x v="470"/>
    <x v="0"/>
    <x v="2"/>
    <s v="IEMERAL_000009101287 "/>
    <s v="L000008442"/>
    <s v="L000008442"/>
    <s v="Non-LFF"/>
    <s v=""/>
    <m/>
    <b v="1"/>
    <x v="2"/>
    <x v="0"/>
    <d v="2025-12-18T00:00:00"/>
    <m/>
    <m/>
    <x v="1"/>
    <n v="12"/>
    <s v="Ruby Grace Garcia"/>
    <m/>
  </r>
  <r>
    <x v="470"/>
    <x v="0"/>
    <x v="2"/>
    <s v="CSCALA_1248$BMGR "/>
    <s v="L000005798"/>
    <s v="L000005798"/>
    <s v="Non-LFF"/>
    <s v=""/>
    <m/>
    <b v="1"/>
    <x v="2"/>
    <x v="0"/>
    <d v="2025-12-18T00:00:00"/>
    <m/>
    <m/>
    <x v="1"/>
    <n v="12"/>
    <s v="Ruby Grace Garcia"/>
    <m/>
  </r>
  <r>
    <x v="470"/>
    <x v="0"/>
    <x v="2"/>
    <s v="T00054100000 "/>
    <s v="L000011451"/>
    <s v="L000011451"/>
    <s v="Non-LFF"/>
    <s v=""/>
    <m/>
    <b v="1"/>
    <x v="2"/>
    <x v="0"/>
    <d v="2025-12-18T00:00:00"/>
    <m/>
    <m/>
    <x v="1"/>
    <n v="12"/>
    <s v="Ruby Grace Garcia"/>
    <m/>
  </r>
  <r>
    <x v="470"/>
    <x v="0"/>
    <x v="2"/>
    <s v="CORAERP_MMOR1945.5595 "/>
    <s v="L000007997"/>
    <s v="L000007997"/>
    <s v="Non-LFF"/>
    <s v=""/>
    <m/>
    <b v="1"/>
    <x v="2"/>
    <x v="0"/>
    <d v="2025-12-18T00:00:00"/>
    <m/>
    <m/>
    <x v="1"/>
    <n v="12"/>
    <s v="Ruby Grace Garcia"/>
    <m/>
  </r>
  <r>
    <x v="470"/>
    <x v="0"/>
    <x v="2"/>
    <s v="CORAERP_MMOR1945.5898 "/>
    <s v="L000012324"/>
    <s v="L000012324"/>
    <s v="Non-LFF"/>
    <s v=""/>
    <m/>
    <b v="1"/>
    <x v="2"/>
    <x v="0"/>
    <d v="2025-12-18T00:00:00"/>
    <m/>
    <m/>
    <x v="1"/>
    <n v="12"/>
    <s v="Ruby Grace Garcia"/>
    <m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12"/>
    <s v="Nadine Anic"/>
    <m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12"/>
    <s v="Nadine Anic"/>
    <m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12"/>
    <s v="Nadine Anic"/>
    <m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12"/>
    <s v="Nadine Anic"/>
    <m/>
  </r>
  <r>
    <x v="472"/>
    <x v="1"/>
    <x v="2"/>
    <s v="ITEMPLA_009002000163"/>
    <s v="G000000187"/>
    <s v="G000000187"/>
    <s v="Non-LFF"/>
    <s v=""/>
    <m/>
    <b v="1"/>
    <x v="0"/>
    <x v="0"/>
    <d v="2025-12-24T00:00:00"/>
    <m/>
    <m/>
    <x v="1"/>
    <n v="8"/>
    <s v="Joshua De Guzman"/>
    <m/>
  </r>
  <r>
    <x v="472"/>
    <x v="1"/>
    <x v="2"/>
    <s v="ITEMPLA_009002000133"/>
    <s v="G000000187"/>
    <s v="G000000187"/>
    <s v="Non-LFF"/>
    <s v=""/>
    <m/>
    <b v="1"/>
    <x v="0"/>
    <x v="0"/>
    <d v="2025-12-24T00:00:00"/>
    <m/>
    <m/>
    <x v="1"/>
    <n v="8"/>
    <s v="Joshua De Guzman"/>
    <m/>
  </r>
  <r>
    <x v="472"/>
    <x v="1"/>
    <x v="2"/>
    <s v="ITEMPLA_009002000161"/>
    <s v="G000000187"/>
    <s v="G000000187"/>
    <s v="Non-LFF"/>
    <s v=""/>
    <m/>
    <b v="1"/>
    <x v="0"/>
    <x v="0"/>
    <d v="2025-12-24T00:00:00"/>
    <m/>
    <m/>
    <x v="1"/>
    <n v="8"/>
    <s v="Joshua De Guzman"/>
    <m/>
  </r>
  <r>
    <x v="472"/>
    <x v="1"/>
    <x v="2"/>
    <s v="ITEMPLA_009002000179"/>
    <s v="G000000187"/>
    <s v="G000000187"/>
    <s v="Non-LFF"/>
    <s v=""/>
    <m/>
    <b v="1"/>
    <x v="0"/>
    <x v="0"/>
    <d v="2025-12-24T00:00:00"/>
    <m/>
    <m/>
    <x v="1"/>
    <n v="8"/>
    <s v="Joshua De Guzman"/>
    <m/>
  </r>
  <r>
    <x v="472"/>
    <x v="1"/>
    <x v="2"/>
    <s v="ITEMPLA_009002000127"/>
    <s v="G000000187"/>
    <s v="G000000187"/>
    <s v="Non-LFF"/>
    <s v=""/>
    <m/>
    <b v="1"/>
    <x v="0"/>
    <x v="0"/>
    <d v="2025-12-24T00:00:00"/>
    <m/>
    <m/>
    <x v="1"/>
    <n v="8"/>
    <s v="Joshua De Guzman"/>
    <m/>
  </r>
  <r>
    <x v="472"/>
    <x v="1"/>
    <x v="2"/>
    <s v="ITEMPLA_009002000161"/>
    <s v="G000000187"/>
    <s v="G000000187"/>
    <s v="Non-LFF"/>
    <s v=""/>
    <m/>
    <b v="1"/>
    <x v="0"/>
    <x v="0"/>
    <d v="2025-12-24T00:00:00"/>
    <m/>
    <m/>
    <x v="1"/>
    <n v="8"/>
    <s v="Joshua De Guzman"/>
    <m/>
  </r>
  <r>
    <x v="472"/>
    <x v="1"/>
    <x v="2"/>
    <s v="ITEMPLA_009002000095"/>
    <s v="G000000187"/>
    <s v="G000000187"/>
    <s v="Non-LFF"/>
    <s v=""/>
    <m/>
    <b v="1"/>
    <x v="0"/>
    <x v="0"/>
    <d v="2025-12-24T00:00:00"/>
    <m/>
    <m/>
    <x v="1"/>
    <n v="8"/>
    <s v="Joshua De Guzman"/>
    <m/>
  </r>
  <r>
    <x v="472"/>
    <x v="1"/>
    <x v="2"/>
    <s v="ITEMPLA_009002000181"/>
    <s v="G000000187"/>
    <s v="G000000187"/>
    <s v="Non-LFF"/>
    <s v=""/>
    <m/>
    <b v="1"/>
    <x v="0"/>
    <x v="0"/>
    <d v="2025-12-24T00:00:00"/>
    <m/>
    <m/>
    <x v="1"/>
    <n v="8"/>
    <s v="Joshua De Guzman"/>
    <m/>
  </r>
  <r>
    <x v="472"/>
    <x v="1"/>
    <x v="2"/>
    <s v="ITEMPLA_009002000132"/>
    <s v="G000000187"/>
    <s v="G000000187"/>
    <s v="Non-LFF"/>
    <s v=""/>
    <m/>
    <b v="1"/>
    <x v="0"/>
    <x v="0"/>
    <d v="2025-12-24T00:00:00"/>
    <m/>
    <m/>
    <x v="1"/>
    <n v="8"/>
    <s v="Joshua De Guzman"/>
    <m/>
  </r>
  <r>
    <x v="472"/>
    <x v="1"/>
    <x v="2"/>
    <s v="ITEMPLA_009002000210"/>
    <s v="G000000187"/>
    <s v="G000000187"/>
    <s v="Non-LFF"/>
    <s v=""/>
    <m/>
    <b v="1"/>
    <x v="0"/>
    <x v="0"/>
    <d v="2025-12-24T00:00:00"/>
    <m/>
    <m/>
    <x v="1"/>
    <n v="8"/>
    <s v="Joshua De Guzman"/>
    <m/>
  </r>
  <r>
    <x v="472"/>
    <x v="1"/>
    <x v="2"/>
    <s v="ITEMPLA_009002000178"/>
    <s v="G000000187"/>
    <s v="G000000187"/>
    <s v="Non-LFF"/>
    <s v=""/>
    <m/>
    <b v="1"/>
    <x v="0"/>
    <x v="0"/>
    <d v="2025-12-24T00:00:00"/>
    <m/>
    <m/>
    <x v="1"/>
    <n v="8"/>
    <s v="Joshua De Guzman"/>
    <m/>
  </r>
  <r>
    <x v="472"/>
    <x v="1"/>
    <x v="2"/>
    <s v="ITEMPLA_009002000096"/>
    <s v="G000000187"/>
    <s v="G000000187"/>
    <s v="Non-LFF"/>
    <s v=""/>
    <m/>
    <b v="1"/>
    <x v="0"/>
    <x v="0"/>
    <d v="2025-12-24T00:00:00"/>
    <m/>
    <m/>
    <x v="1"/>
    <n v="8"/>
    <s v="Joshua De Guzman"/>
    <m/>
  </r>
  <r>
    <x v="472"/>
    <x v="1"/>
    <x v="2"/>
    <s v="ITEMPLA_009002000182"/>
    <s v="G000000187"/>
    <s v="G000000187"/>
    <s v="Non-LFF"/>
    <s v=""/>
    <m/>
    <b v="1"/>
    <x v="0"/>
    <x v="0"/>
    <d v="2025-12-24T00:00:00"/>
    <m/>
    <m/>
    <x v="1"/>
    <n v="8"/>
    <s v="Joshua De Guzman"/>
    <m/>
  </r>
  <r>
    <x v="472"/>
    <x v="1"/>
    <x v="2"/>
    <s v="ITEMPLA_009002000164"/>
    <s v="G000000187"/>
    <s v="G000000187"/>
    <s v="Non-LFF"/>
    <s v=""/>
    <m/>
    <b v="1"/>
    <x v="0"/>
    <x v="0"/>
    <d v="2025-12-24T00:00:00"/>
    <m/>
    <m/>
    <x v="1"/>
    <n v="8"/>
    <s v="Joshua De Guzman"/>
    <m/>
  </r>
  <r>
    <x v="472"/>
    <x v="1"/>
    <x v="2"/>
    <s v="ITEMPLA_009002000180"/>
    <s v="G000000187"/>
    <s v="G000000187"/>
    <s v="Non-LFF"/>
    <s v=""/>
    <m/>
    <b v="1"/>
    <x v="0"/>
    <x v="0"/>
    <d v="2025-12-24T00:00:00"/>
    <m/>
    <m/>
    <x v="1"/>
    <n v="8"/>
    <s v="Joshua De Guzman"/>
    <m/>
  </r>
  <r>
    <x v="472"/>
    <x v="1"/>
    <x v="2"/>
    <s v="ITEMPLA_009002000240"/>
    <s v="G000000187"/>
    <s v="G000000187"/>
    <s v="Non-LFF"/>
    <s v=""/>
    <m/>
    <b v="1"/>
    <x v="0"/>
    <x v="0"/>
    <d v="2025-12-24T00:00:00"/>
    <m/>
    <m/>
    <x v="1"/>
    <n v="8"/>
    <s v="Joshua De Guzman"/>
    <m/>
  </r>
  <r>
    <x v="473"/>
    <x v="1"/>
    <x v="2"/>
    <s v="CNOW_7210$$$0000051907"/>
    <s v="L000013436"/>
    <s v="L000013436"/>
    <s v="Non-LFF"/>
    <s v=""/>
    <m/>
    <b v="1"/>
    <x v="2"/>
    <x v="0"/>
    <d v="2025-12-29T00:00:00"/>
    <m/>
    <m/>
    <x v="0"/>
    <n v="5"/>
    <s v="Ruby Grace Garcia"/>
    <m/>
  </r>
  <r>
    <x v="473"/>
    <x v="1"/>
    <x v="2"/>
    <s v="CNOW_7210$$$0000056113"/>
    <s v="L000013436"/>
    <s v="L000013436"/>
    <s v="Non-LFF"/>
    <s v=""/>
    <m/>
    <b v="1"/>
    <x v="2"/>
    <x v="0"/>
    <d v="2025-12-29T00:00:00"/>
    <m/>
    <m/>
    <x v="0"/>
    <n v="5"/>
    <s v="Ruby Grace Garcia"/>
    <m/>
  </r>
  <r>
    <x v="473"/>
    <x v="1"/>
    <x v="2"/>
    <s v="CNOW_7210$$$0000010422"/>
    <s v="L000010057"/>
    <s v="L000010057"/>
    <s v="Non-LFF"/>
    <s v=""/>
    <m/>
    <b v="1"/>
    <x v="2"/>
    <x v="0"/>
    <d v="2025-12-29T00:00:00"/>
    <m/>
    <m/>
    <x v="0"/>
    <n v="5"/>
    <s v="Ruby Grace Garcia"/>
    <m/>
  </r>
  <r>
    <x v="474"/>
    <x v="1"/>
    <x v="5"/>
    <s v="CNOW_7210$$$0000020055"/>
    <s v="L000011321"/>
    <s v="DFLTPGCOH_002106"/>
    <s v="Non-LFF"/>
    <s v=""/>
    <m/>
    <b v="0"/>
    <x v="2"/>
    <x v="0"/>
    <d v="2026-01-02T00:00:00"/>
    <m/>
    <m/>
    <x v="0"/>
    <n v="1"/>
    <s v="Ruby Grace Garcia"/>
    <m/>
  </r>
  <r>
    <x v="474"/>
    <x v="1"/>
    <x v="5"/>
    <s v="CNOW_7210$$$0000020981"/>
    <s v="L000011157"/>
    <s v="DFLTPGCOH_002097"/>
    <s v="Non-LFF"/>
    <s v=""/>
    <m/>
    <b v="0"/>
    <x v="2"/>
    <x v="0"/>
    <d v="2026-01-02T00:00:00"/>
    <m/>
    <m/>
    <x v="0"/>
    <n v="1"/>
    <s v="Ruby Grace Garcia"/>
    <m/>
  </r>
  <r>
    <x v="474"/>
    <x v="1"/>
    <x v="5"/>
    <s v="CNOW_7210$$$0000015480"/>
    <s v="L000011157"/>
    <s v="DFLTPGCOH_002002"/>
    <s v="Non-LFF"/>
    <s v=""/>
    <m/>
    <b v="0"/>
    <x v="2"/>
    <x v="0"/>
    <d v="2026-01-02T00:00:00"/>
    <m/>
    <m/>
    <x v="0"/>
    <n v="1"/>
    <s v="Ruby Grace Garcia"/>
    <m/>
  </r>
  <r>
    <x v="474"/>
    <x v="1"/>
    <x v="5"/>
    <s v="CNOW_ROW$$$$0000095644"/>
    <s v="L000013119"/>
    <s v="DFLTPGCOH_002116"/>
    <s v="Non-LFF"/>
    <s v=""/>
    <m/>
    <b v="0"/>
    <x v="2"/>
    <x v="0"/>
    <d v="2026-01-02T00:00:00"/>
    <m/>
    <m/>
    <x v="0"/>
    <n v="1"/>
    <s v="Ruby Grace Garcia"/>
    <m/>
  </r>
  <r>
    <x v="474"/>
    <x v="1"/>
    <x v="5"/>
    <s v="CNOW_7210$$$0000059617"/>
    <s v="L000013119"/>
    <s v="DFLTPGCOH_002113"/>
    <s v="Non-LFF"/>
    <s v=""/>
    <m/>
    <b v="0"/>
    <x v="2"/>
    <x v="0"/>
    <d v="2026-01-02T00:00:00"/>
    <m/>
    <m/>
    <x v="0"/>
    <n v="1"/>
    <s v="Ruby Grace Garcia"/>
    <m/>
  </r>
  <r>
    <x v="474"/>
    <x v="1"/>
    <x v="5"/>
    <s v="CNOW_7210$$$0000266012"/>
    <s v="L000007229"/>
    <s v="DFLTPGCOH_002072"/>
    <s v="Non-LFF"/>
    <s v=""/>
    <m/>
    <b v="0"/>
    <x v="2"/>
    <x v="0"/>
    <d v="2026-01-02T00:00:00"/>
    <m/>
    <m/>
    <x v="0"/>
    <n v="1"/>
    <s v="Ruby Grace Garcia"/>
    <m/>
  </r>
  <r>
    <x v="474"/>
    <x v="1"/>
    <x v="5"/>
    <s v="CNOW_7210$$$0000058852"/>
    <s v="L000011239"/>
    <s v="DFLTPGCOH_002001"/>
    <s v="Non-LFF"/>
    <s v=""/>
    <m/>
    <b v="0"/>
    <x v="2"/>
    <x v="0"/>
    <d v="2026-01-02T00:00:00"/>
    <m/>
    <m/>
    <x v="0"/>
    <n v="1"/>
    <s v="Ruby Grace Garcia"/>
    <m/>
  </r>
  <r>
    <x v="474"/>
    <x v="1"/>
    <x v="5"/>
    <s v="CNOW_7210$$$0000058853"/>
    <s v="L000011239"/>
    <s v="DFLTPGCOH_002001"/>
    <s v="Non-LFF"/>
    <s v=""/>
    <m/>
    <b v="0"/>
    <x v="2"/>
    <x v="0"/>
    <d v="2026-01-02T00:00:00"/>
    <m/>
    <m/>
    <x v="0"/>
    <n v="1"/>
    <s v="Ruby Grace Garcia"/>
    <m/>
  </r>
  <r>
    <x v="474"/>
    <x v="1"/>
    <x v="5"/>
    <s v="CNOW_7210$$$0000058854"/>
    <s v="L000011239"/>
    <s v="DFLTPGCOH_002001"/>
    <s v="Non-LFF"/>
    <s v=""/>
    <m/>
    <b v="0"/>
    <x v="2"/>
    <x v="0"/>
    <d v="2026-01-02T00:00:00"/>
    <m/>
    <m/>
    <x v="0"/>
    <n v="1"/>
    <s v="Ruby Grace Garcia"/>
    <m/>
  </r>
  <r>
    <x v="474"/>
    <x v="1"/>
    <x v="5"/>
    <s v="CNOW_7210$$$0000052122"/>
    <s v="L000011157"/>
    <s v="DFLTPGCOH_002061"/>
    <s v="Non-LFF"/>
    <s v=""/>
    <m/>
    <b v="0"/>
    <x v="2"/>
    <x v="0"/>
    <d v="2026-01-02T00:00:00"/>
    <m/>
    <m/>
    <x v="0"/>
    <n v="1"/>
    <s v="Ruby Grace Garcia"/>
    <m/>
  </r>
  <r>
    <x v="474"/>
    <x v="1"/>
    <x v="5"/>
    <s v="CNOW_7210$$$0000020942"/>
    <s v="L000011157"/>
    <s v="DFLTPGCOH_002097"/>
    <s v="Non-LFF"/>
    <s v=""/>
    <m/>
    <b v="0"/>
    <x v="2"/>
    <x v="0"/>
    <d v="2026-01-02T00:00:00"/>
    <m/>
    <m/>
    <x v="0"/>
    <n v="1"/>
    <s v="Ruby Grace Garcia"/>
    <m/>
  </r>
  <r>
    <x v="474"/>
    <x v="1"/>
    <x v="5"/>
    <s v="CNOW_7210$$$0000020426"/>
    <s v="L000013905"/>
    <s v="DFLTPGCOH_002097"/>
    <s v="Non-LFF"/>
    <s v=""/>
    <m/>
    <b v="0"/>
    <x v="2"/>
    <x v="0"/>
    <d v="2026-01-02T00:00:00"/>
    <m/>
    <m/>
    <x v="0"/>
    <n v="1"/>
    <s v="Ruby Grace Garcia"/>
    <m/>
  </r>
  <r>
    <x v="474"/>
    <x v="1"/>
    <x v="5"/>
    <s v="CNOW_7210$$$0000057600"/>
    <s v="L000012219"/>
    <s v="DFLTPGCOH_002047"/>
    <s v="Non-LFF"/>
    <s v=""/>
    <m/>
    <b v="0"/>
    <x v="2"/>
    <x v="0"/>
    <d v="2026-01-02T00:00:00"/>
    <m/>
    <m/>
    <x v="0"/>
    <n v="1"/>
    <s v="Ruby Grace Garcia"/>
    <m/>
  </r>
  <r>
    <x v="474"/>
    <x v="1"/>
    <x v="5"/>
    <s v="CNOW_7210$$$0000057605"/>
    <s v="L000009119"/>
    <s v="DFLTPGCOH_002047"/>
    <s v="Non-LFF"/>
    <s v=""/>
    <m/>
    <b v="0"/>
    <x v="2"/>
    <x v="0"/>
    <d v="2026-01-02T00:00:00"/>
    <m/>
    <m/>
    <x v="0"/>
    <n v="1"/>
    <s v="Ruby Grace Garcia"/>
    <m/>
  </r>
  <r>
    <x v="474"/>
    <x v="1"/>
    <x v="5"/>
    <s v="CNOW_7210$$$0000025538"/>
    <s v="L000009119"/>
    <s v="DFLTPGCOH_002085"/>
    <s v="Non-LFF"/>
    <s v=""/>
    <m/>
    <b v="0"/>
    <x v="2"/>
    <x v="0"/>
    <d v="2026-01-02T00:00:00"/>
    <m/>
    <m/>
    <x v="0"/>
    <n v="1"/>
    <s v="Ruby Grace Garcia"/>
    <m/>
  </r>
  <r>
    <x v="474"/>
    <x v="1"/>
    <x v="5"/>
    <s v="CNOW_AUS0$$$0000092080"/>
    <s v="L000009119"/>
    <s v="DFLTPGCOH_002142"/>
    <s v="Non-LFF"/>
    <s v=""/>
    <m/>
    <b v="0"/>
    <x v="2"/>
    <x v="0"/>
    <d v="2026-01-02T00:00:00"/>
    <m/>
    <m/>
    <x v="0"/>
    <n v="1"/>
    <s v="Ruby Grace Garcia"/>
    <m/>
  </r>
  <r>
    <x v="474"/>
    <x v="1"/>
    <x v="5"/>
    <s v="CNOW_ROW$$$$K17B"/>
    <s v="L000011157"/>
    <s v="DFLTPGCOH_002136"/>
    <s v="Non-LFF"/>
    <s v=""/>
    <m/>
    <b v="0"/>
    <x v="2"/>
    <x v="0"/>
    <d v="2026-01-02T00:00:00"/>
    <m/>
    <m/>
    <x v="0"/>
    <n v="1"/>
    <s v="Ruby Grace Garcia"/>
    <m/>
  </r>
  <r>
    <x v="474"/>
    <x v="1"/>
    <x v="5"/>
    <s v="CNOW_7210$$$0000040182"/>
    <s v="L000013315"/>
    <s v="DFLTPGCOH_002097"/>
    <s v="Non-LFF"/>
    <s v=""/>
    <m/>
    <b v="0"/>
    <x v="2"/>
    <x v="0"/>
    <d v="2026-01-02T00:00:00"/>
    <m/>
    <m/>
    <x v="0"/>
    <n v="1"/>
    <s v="Ruby Grace Garcia"/>
    <m/>
  </r>
  <r>
    <x v="474"/>
    <x v="1"/>
    <x v="5"/>
    <s v="CNOW_7210$$$0000052123"/>
    <s v="L000011157"/>
    <s v="DFLTPGCOH_002061"/>
    <s v="Non-LFF"/>
    <s v=""/>
    <m/>
    <b v="0"/>
    <x v="2"/>
    <x v="0"/>
    <d v="2026-01-02T00:00:00"/>
    <m/>
    <m/>
    <x v="0"/>
    <n v="1"/>
    <s v="Ruby Grace Garcia"/>
    <m/>
  </r>
  <r>
    <x v="474"/>
    <x v="1"/>
    <x v="5"/>
    <s v="CNOW_7210$$$0000057905"/>
    <s v="L000011157"/>
    <s v="DFLTPGCOH_002047"/>
    <s v="Non-LFF"/>
    <s v=""/>
    <m/>
    <b v="0"/>
    <x v="2"/>
    <x v="0"/>
    <d v="2026-01-02T00:00:00"/>
    <m/>
    <m/>
    <x v="0"/>
    <n v="1"/>
    <s v="Ruby Grace Garcia"/>
    <m/>
  </r>
  <r>
    <x v="474"/>
    <x v="1"/>
    <x v="5"/>
    <s v="CNOW_7210$$$0000057906"/>
    <s v="L000011157"/>
    <s v="DFLTPGCOH_002047"/>
    <s v="Non-LFF"/>
    <s v=""/>
    <m/>
    <b v="0"/>
    <x v="2"/>
    <x v="0"/>
    <d v="2026-01-02T00:00:00"/>
    <m/>
    <m/>
    <x v="0"/>
    <n v="1"/>
    <s v="Ruby Grace Garcia"/>
    <m/>
  </r>
  <r>
    <x v="474"/>
    <x v="1"/>
    <x v="5"/>
    <s v="CNOW_AUS0$$$0000091769"/>
    <s v="L000012141"/>
    <s v="DFLTPGCOH_002142"/>
    <s v="Non-LFF"/>
    <s v=""/>
    <m/>
    <b v="0"/>
    <x v="2"/>
    <x v="0"/>
    <d v="2026-01-02T00:00:00"/>
    <m/>
    <m/>
    <x v="0"/>
    <n v="1"/>
    <s v="Ruby Grace Garcia"/>
    <m/>
  </r>
  <r>
    <x v="474"/>
    <x v="1"/>
    <x v="5"/>
    <s v="CORAERP_MMOR1945.9114"/>
    <s v="L000013905"/>
    <s v="DFLTPGCOH_BF-Y6_001945"/>
    <s v="Non-LFF"/>
    <s v=""/>
    <m/>
    <b v="0"/>
    <x v="2"/>
    <x v="0"/>
    <d v="2026-01-02T00:00:00"/>
    <m/>
    <m/>
    <x v="0"/>
    <n v="1"/>
    <s v="Ruby Grace Garcia"/>
    <m/>
  </r>
  <r>
    <x v="474"/>
    <x v="1"/>
    <x v="5"/>
    <s v="CEMERAL_64010010861301"/>
    <s v="L000011157"/>
    <s v="DFLTPGCOH_BF-C4_002177"/>
    <s v="Non-LFF"/>
    <s v=""/>
    <m/>
    <b v="0"/>
    <x v="2"/>
    <x v="0"/>
    <d v="2026-01-02T00:00:00"/>
    <m/>
    <m/>
    <x v="0"/>
    <n v="1"/>
    <s v="Ruby Grace Garcia"/>
    <m/>
  </r>
  <r>
    <x v="475"/>
    <x v="1"/>
    <x v="5"/>
    <s v="CORAERP_MMOR1975.9208 PS - A&amp;F Patent Fees"/>
    <s v="L000013785"/>
    <s v="L000006422"/>
    <s v="Non-LFF"/>
    <s v=""/>
    <m/>
    <b v="0"/>
    <x v="2"/>
    <x v="0"/>
    <d v="2026-01-02T00:00:00"/>
    <m/>
    <m/>
    <x v="0"/>
    <n v="1"/>
    <s v="Ruby Grace Garcia"/>
    <m/>
  </r>
  <r>
    <x v="476"/>
    <x v="1"/>
    <x v="3"/>
    <s v="CLFF_7210$$$2123TAJQ01 Equipment R&amp;D LSS"/>
    <s v="L000006432"/>
    <m/>
    <s v="LFF (MDG-F)"/>
    <s v="2123TAJQ01"/>
    <s v="mapped for 2025 do the same for 2026"/>
    <b v="0"/>
    <x v="2"/>
    <x v="0"/>
    <d v="2026-01-02T00:00:00"/>
    <m/>
    <m/>
    <x v="0"/>
    <n v="1"/>
    <s v="Ruby Grace Garcia"/>
    <m/>
  </r>
  <r>
    <x v="476"/>
    <x v="1"/>
    <x v="5"/>
    <s v="INEXT_001050000481 2123TAJQ01-IO"/>
    <s v="L000006432"/>
    <s v="LFF_7210$$$2123TAJQ01"/>
    <s v="Non-LFF"/>
    <s v=""/>
    <m/>
    <b v="0"/>
    <x v="2"/>
    <x v="0"/>
    <d v="2026-01-02T00:00:00"/>
    <m/>
    <m/>
    <x v="0"/>
    <n v="1"/>
    <s v="Ruby Grace Garcia"/>
    <m/>
  </r>
  <r>
    <x v="476"/>
    <x v="1"/>
    <x v="5"/>
    <s v="CTEMPEU_1000FR60635000 Bio Innovation FR"/>
    <s v="L000011451"/>
    <s v="TEMPEU_1000FR60635000"/>
    <s v="Non-LFF"/>
    <s v=""/>
    <m/>
    <b v="0"/>
    <x v="2"/>
    <x v="0"/>
    <d v="2026-01-02T00:00:00"/>
    <m/>
    <m/>
    <x v="0"/>
    <n v="1"/>
    <s v="Ruby Grace Garcia"/>
    <m/>
  </r>
  <r>
    <x v="476"/>
    <x v="1"/>
    <x v="4"/>
    <s v="ITEMPEU_001500004649 M207"/>
    <s v="L000011451"/>
    <m/>
    <s v="Non-LFF"/>
    <s v=""/>
    <m/>
    <b v="0"/>
    <x v="2"/>
    <x v="0"/>
    <d v="2026-01-02T00:00:00"/>
    <m/>
    <m/>
    <x v="0"/>
    <n v="1"/>
    <s v="Ruby Grace Garcia"/>
    <m/>
  </r>
  <r>
    <x v="476"/>
    <x v="1"/>
    <x v="5"/>
    <s v="ITEMPEU_001500005028 FR60 Interim Project Bio."/>
    <s v="L000011451"/>
    <s v="TEMPEU_1000FR60635000"/>
    <s v="Non-LFF"/>
    <s v=""/>
    <m/>
    <b v="0"/>
    <x v="2"/>
    <x v="0"/>
    <d v="2026-01-02T00:00:00"/>
    <m/>
    <m/>
    <x v="0"/>
    <n v="1"/>
    <s v="Ruby Grace Garcia"/>
    <m/>
  </r>
  <r>
    <x v="476"/>
    <x v="1"/>
    <x v="2"/>
    <s v="CNOW_7210$$$0000020510 SAC R&amp;D Novel Modality"/>
    <s v="L000011451"/>
    <s v="L000011451"/>
    <s v="Non-LFF"/>
    <s v=""/>
    <m/>
    <b v="1"/>
    <x v="2"/>
    <x v="0"/>
    <d v="2026-01-02T00:00:00"/>
    <m/>
    <m/>
    <x v="0"/>
    <n v="1"/>
    <s v="Ruby Grace Garcia"/>
    <m/>
  </r>
  <r>
    <x v="476"/>
    <x v="1"/>
    <x v="5"/>
    <s v="CTEMPEU_1000CH70RD1107 SAC R&amp;D Folates"/>
    <s v="L000006425"/>
    <s v="TEMPEU_1000CH70RD1107"/>
    <s v="Non-LFF"/>
    <s v=""/>
    <m/>
    <b v="0"/>
    <x v="2"/>
    <x v="0"/>
    <d v="2026-01-02T00:00:00"/>
    <m/>
    <m/>
    <x v="0"/>
    <n v="1"/>
    <s v="Ruby Grace Garcia"/>
    <m/>
  </r>
  <r>
    <x v="476"/>
    <x v="1"/>
    <x v="5"/>
    <s v="ITEMPEU_003300000518 P-LNP-ALC-Lipids Chemistries"/>
    <s v="L000006425"/>
    <s v="TEMPEU_1000CH70RD1107"/>
    <s v="Non-LFF"/>
    <s v=""/>
    <m/>
    <b v="0"/>
    <x v="2"/>
    <x v="0"/>
    <d v="2026-01-02T00:00:00"/>
    <m/>
    <m/>
    <x v="0"/>
    <n v="1"/>
    <s v="Ruby Grace Garcia"/>
    <m/>
  </r>
  <r>
    <x v="476"/>
    <x v="1"/>
    <x v="5"/>
    <s v="ITEMPEU_003900000225 CH71  UCB Farchim"/>
    <s v="L000006425"/>
    <s v="TEMPEU_1000CH70RD1107"/>
    <s v="Non-LFF"/>
    <s v=""/>
    <m/>
    <b v="0"/>
    <x v="2"/>
    <x v="0"/>
    <d v="2026-01-02T00:00:00"/>
    <m/>
    <m/>
    <x v="0"/>
    <n v="1"/>
    <s v="Ruby Grace Garcia"/>
    <m/>
  </r>
  <r>
    <x v="476"/>
    <x v="1"/>
    <x v="5"/>
    <s v="CPHOENX_01010000629700 Analytics &amp; Development Support"/>
    <s v="L000006429"/>
    <s v="PHOENX_01010000629700"/>
    <s v="Non-LFF"/>
    <s v=""/>
    <m/>
    <b v="0"/>
    <x v="2"/>
    <x v="0"/>
    <d v="2026-01-02T00:00:00"/>
    <m/>
    <m/>
    <x v="0"/>
    <n v="1"/>
    <s v="Ruby Grace Garcia"/>
    <m/>
  </r>
  <r>
    <x v="476"/>
    <x v="1"/>
    <x v="5"/>
    <s v="IPHOENX_000002428201 T_New Lipids for EFSS"/>
    <s v="L000006429"/>
    <s v="PHOENX_01010000629700"/>
    <s v="Non-LFF"/>
    <s v=""/>
    <m/>
    <b v="0"/>
    <x v="2"/>
    <x v="0"/>
    <d v="2026-01-02T00:00:00"/>
    <m/>
    <m/>
    <x v="0"/>
    <n v="1"/>
    <s v="Ruby Grace Garcia"/>
    <m/>
  </r>
  <r>
    <x v="476"/>
    <x v="1"/>
    <x v="5"/>
    <s v="IPHOENX_000002428801 T-mRNA-Polymers for mRNA Delivery"/>
    <s v="L000006429"/>
    <s v="PHOENX_01010000629700"/>
    <s v="Non-LFF"/>
    <s v=""/>
    <m/>
    <b v="0"/>
    <x v="2"/>
    <x v="0"/>
    <d v="2026-01-02T00:00:00"/>
    <m/>
    <m/>
    <x v="0"/>
    <n v="1"/>
    <s v="Ruby Grace Garcia"/>
    <m/>
  </r>
  <r>
    <x v="476"/>
    <x v="1"/>
    <x v="4"/>
    <s v="IPHOENX_000002429601 SAC Inasolve Price adj IP Transf"/>
    <s v="L000006429"/>
    <m/>
    <s v="Non-LFF"/>
    <s v=""/>
    <m/>
    <b v="0"/>
    <x v="2"/>
    <x v="0"/>
    <d v="2026-01-02T00:00:00"/>
    <m/>
    <m/>
    <x v="0"/>
    <n v="1"/>
    <s v="Ruby Grace Garcia"/>
    <m/>
  </r>
  <r>
    <x v="476"/>
    <x v="1"/>
    <x v="5"/>
    <s v="IPHOENX_000002433601 P-LNP-R&amp;D Grade Lipid Services"/>
    <s v="L000006429"/>
    <s v="PHOENX_01010000629700"/>
    <s v="Non-LFF"/>
    <s v=""/>
    <m/>
    <b v="0"/>
    <x v="2"/>
    <x v="0"/>
    <d v="2026-01-02T00:00:00"/>
    <m/>
    <m/>
    <x v="0"/>
    <n v="1"/>
    <s v="Ruby Grace Garcia"/>
    <m/>
  </r>
  <r>
    <x v="476"/>
    <x v="1"/>
    <x v="2"/>
    <s v="T00047400000 Verrechnung 2428801 LS-CAT-LS"/>
    <s v="L000006429"/>
    <s v="L000006429"/>
    <s v="Non-LFF"/>
    <s v=""/>
    <m/>
    <b v="1"/>
    <x v="2"/>
    <x v="0"/>
    <d v="2026-01-02T00:00:00"/>
    <m/>
    <m/>
    <x v="0"/>
    <n v="1"/>
    <s v="Ruby Grace Garcia"/>
    <m/>
  </r>
  <r>
    <x v="476"/>
    <x v="1"/>
    <x v="5"/>
    <s v="IPHOENX_000002433401 P-mRNA-Design Suite"/>
    <s v="L000013901"/>
    <s v="PHOENX_01010000629700"/>
    <s v="Non-LFF"/>
    <s v=""/>
    <m/>
    <b v="0"/>
    <x v="2"/>
    <x v="0"/>
    <d v="2026-01-02T00:00:00"/>
    <m/>
    <m/>
    <x v="0"/>
    <n v="1"/>
    <s v="Ruby Grace Garcia"/>
    <m/>
  </r>
  <r>
    <x v="477"/>
    <x v="1"/>
    <x v="5"/>
    <s v="CEMERAL_70007001457754 Reg LS Project Eagle"/>
    <s v="L000013905"/>
    <s v="L000011321"/>
    <s v="Non-LFF"/>
    <s v=""/>
    <m/>
    <b v="0"/>
    <x v="2"/>
    <x v="0"/>
    <d v="2026-01-02T00:00:00"/>
    <m/>
    <m/>
    <x v="0"/>
    <n v="1"/>
    <s v="Ruby Grace Garcia"/>
    <m/>
  </r>
  <r>
    <x v="477"/>
    <x v="1"/>
    <x v="3"/>
    <s v="CLFF_7210$$$1756Y11755 LS Project Eagle"/>
    <s v="L000013905"/>
    <m/>
    <s v="LFF (MDG-F)"/>
    <s v="1756Y11755"/>
    <s v="mapped for 2025 do the same for 2026"/>
    <b v="0"/>
    <x v="2"/>
    <x v="0"/>
    <d v="2026-01-02T00:00:00"/>
    <m/>
    <m/>
    <x v="0"/>
    <n v="1"/>
    <s v="Ruby Grace Garcia"/>
    <m/>
  </r>
  <r>
    <x v="477"/>
    <x v="1"/>
    <x v="5"/>
    <s v="CORAERP_MMOR1975.9208 PS - A&amp;F Patent Fees"/>
    <s v="L000013785"/>
    <s v="L000006422"/>
    <s v="Non-LFF"/>
    <s v=""/>
    <m/>
    <b v="0"/>
    <x v="2"/>
    <x v="0"/>
    <d v="2026-01-02T00:00:00"/>
    <m/>
    <m/>
    <x v="0"/>
    <n v="1"/>
    <s v="Ruby Grace Garcia"/>
    <m/>
  </r>
  <r>
    <x v="477"/>
    <x v="1"/>
    <x v="2"/>
    <s v="IPHOENX_000002423601 CTO Super Enzyme program"/>
    <s v="L000006435"/>
    <s v="L000006435"/>
    <s v="Non-LFF"/>
    <s v=""/>
    <m/>
    <b v="1"/>
    <x v="2"/>
    <x v="0"/>
    <d v="2026-01-02T00:00:00"/>
    <m/>
    <m/>
    <x v="0"/>
    <n v="1"/>
    <s v="Ruby Grace Garcia"/>
    <m/>
  </r>
  <r>
    <x v="477"/>
    <x v="1"/>
    <x v="5"/>
    <s v="CORAERP_MMOR1975.6716 GENM - VIRUS &amp; GENE THERAPY BIOP R&amp;D"/>
    <s v="L000007087"/>
    <s v="L000007098"/>
    <s v="Non-LFF"/>
    <s v=""/>
    <m/>
    <b v="0"/>
    <x v="2"/>
    <x v="0"/>
    <d v="2026-01-02T00:00:00"/>
    <m/>
    <m/>
    <x v="0"/>
    <n v="1"/>
    <s v="Ruby Grace Garcia"/>
    <m/>
  </r>
  <r>
    <x v="477"/>
    <x v="1"/>
    <x v="5"/>
    <s v="CNOW_7210$$$0000000311 VGT Bioprocessing 2"/>
    <s v="L000007087"/>
    <s v="L000007099"/>
    <s v="Non-LFF"/>
    <s v=""/>
    <m/>
    <b v="0"/>
    <x v="2"/>
    <x v="0"/>
    <d v="2026-01-02T00:00:00"/>
    <m/>
    <m/>
    <x v="0"/>
    <n v="1"/>
    <s v="Ruby Grace Garcia"/>
    <m/>
  </r>
  <r>
    <x v="477"/>
    <x v="1"/>
    <x v="5"/>
    <s v="CORAERP_MMOR1975.6734 PS - CRAZY HORSE - VIRAL VECTOR MANUFACTURING TEMPLATE R&amp;D"/>
    <s v="L000007087"/>
    <s v="L000012607"/>
    <s v="Non-LFF"/>
    <s v=""/>
    <m/>
    <b v="0"/>
    <x v="2"/>
    <x v="0"/>
    <d v="2026-01-02T00:00:00"/>
    <m/>
    <m/>
    <x v="0"/>
    <n v="1"/>
    <s v="Ruby Grace Garcia"/>
    <m/>
  </r>
  <r>
    <x v="477"/>
    <x v="1"/>
    <x v="5"/>
    <s v="ITEMPEU_001300003829 In silico cQA Risk Assessment"/>
    <s v="L000007087"/>
    <s v="L000013174"/>
    <s v="Non-LFF"/>
    <s v=""/>
    <m/>
    <b v="0"/>
    <x v="2"/>
    <x v="0"/>
    <d v="2026-01-02T00:00:00"/>
    <m/>
    <m/>
    <x v="0"/>
    <n v="1"/>
    <s v="Ruby Grace Garcia"/>
    <m/>
  </r>
  <r>
    <x v="477"/>
    <x v="1"/>
    <x v="5"/>
    <s v="CNOW_7210$$$0000021381 *STL APPLIED MARKET ADMETox R&amp;D"/>
    <s v="L000007087"/>
    <s v="L000007094"/>
    <s v="Non-LFF"/>
    <s v=""/>
    <m/>
    <b v="0"/>
    <x v="2"/>
    <x v="0"/>
    <d v="2026-01-02T00:00:00"/>
    <m/>
    <m/>
    <x v="0"/>
    <n v="1"/>
    <s v="Ruby Grace Garcia"/>
    <m/>
  </r>
  <r>
    <x v="477"/>
    <x v="1"/>
    <x v="5"/>
    <s v="CNOW_7210$$$0000020561 GENM - R&amp;D Management"/>
    <s v="L000007087"/>
    <s v="L000007095"/>
    <s v="Non-LFF"/>
    <s v=""/>
    <m/>
    <b v="0"/>
    <x v="2"/>
    <x v="0"/>
    <d v="2026-01-02T00:00:00"/>
    <m/>
    <m/>
    <x v="0"/>
    <n v="1"/>
    <s v="Ruby Grace Garcia"/>
    <m/>
  </r>
  <r>
    <x v="477"/>
    <x v="1"/>
    <x v="2"/>
    <s v="IPHOENX_000002422701 P-mRNA-Polymers for mRNA Delivery"/>
    <s v="L000006425"/>
    <s v="L000006425"/>
    <s v="Non-LFF"/>
    <s v=""/>
    <m/>
    <b v="1"/>
    <x v="2"/>
    <x v="0"/>
    <d v="2026-01-02T00:00:00"/>
    <m/>
    <m/>
    <x v="0"/>
    <n v="1"/>
    <s v="Ruby Grace Garcia"/>
    <m/>
  </r>
  <r>
    <x v="477"/>
    <x v="1"/>
    <x v="2"/>
    <s v="ITEMPEU_003300000040 CH71 O_P_APA 4-arm PEG-5kDa-ethylamin"/>
    <s v="L000006425"/>
    <s v="L000006425"/>
    <s v="Non-LFF"/>
    <s v=""/>
    <m/>
    <b v="1"/>
    <x v="2"/>
    <x v="0"/>
    <d v="2026-01-02T00:00:00"/>
    <m/>
    <m/>
    <x v="0"/>
    <n v="1"/>
    <s v="Ruby Grace Garcia"/>
    <m/>
  </r>
  <r>
    <x v="477"/>
    <x v="1"/>
    <x v="2"/>
    <s v="ITEMPEU_003300000069 XXXCH71 T_P_CSL MPEG-20kDa-propionaldehy"/>
    <s v="L000006425"/>
    <s v="L000006425"/>
    <s v="Non-LFF"/>
    <s v=""/>
    <m/>
    <b v="1"/>
    <x v="2"/>
    <x v="0"/>
    <d v="2026-01-02T00:00:00"/>
    <m/>
    <m/>
    <x v="0"/>
    <n v="1"/>
    <s v="Ruby Grace Garcia"/>
    <m/>
  </r>
  <r>
    <x v="477"/>
    <x v="1"/>
    <x v="2"/>
    <s v="ITEMPEU_003300000111 P-LNP-Synthetic Cholesterol"/>
    <s v="L000006425"/>
    <s v="L000006425"/>
    <s v="Non-LFF"/>
    <s v=""/>
    <m/>
    <b v="1"/>
    <x v="2"/>
    <x v="0"/>
    <d v="2026-01-02T00:00:00"/>
    <m/>
    <m/>
    <x v="0"/>
    <n v="1"/>
    <s v="Ruby Grace Garcia"/>
    <m/>
  </r>
  <r>
    <x v="477"/>
    <x v="1"/>
    <x v="2"/>
    <s v="ITEMPEU_003300000339 CH71 Sales Marketing Support Passafaro"/>
    <s v="L000006425"/>
    <s v="L000006425"/>
    <s v="Non-LFF"/>
    <s v=""/>
    <m/>
    <b v="1"/>
    <x v="2"/>
    <x v="0"/>
    <d v="2026-01-02T00:00:00"/>
    <m/>
    <m/>
    <x v="0"/>
    <n v="1"/>
    <s v="Ruby Grace Garcia"/>
    <m/>
  </r>
  <r>
    <x v="477"/>
    <x v="1"/>
    <x v="2"/>
    <s v="ITEMPEU_003300000362 T-SM-Monodisperse PEGs (mPEGs)"/>
    <s v="L000006425"/>
    <s v="L000006425"/>
    <s v="Non-LFF"/>
    <s v=""/>
    <m/>
    <b v="1"/>
    <x v="2"/>
    <x v="0"/>
    <d v="2026-01-02T00:00:00"/>
    <m/>
    <m/>
    <x v="0"/>
    <n v="1"/>
    <s v="Ruby Grace Garcia"/>
    <m/>
  </r>
  <r>
    <x v="477"/>
    <x v="1"/>
    <x v="2"/>
    <s v="ITEMPEU_003300000402 XXXXCH71 O_L_Seeding Activities"/>
    <s v="L000006425"/>
    <s v="L000006425"/>
    <s v="Non-LFF"/>
    <s v=""/>
    <m/>
    <b v="1"/>
    <x v="2"/>
    <x v="0"/>
    <d v="2026-01-02T00:00:00"/>
    <m/>
    <m/>
    <x v="0"/>
    <n v="1"/>
    <s v="Ruby Grace Garcia"/>
    <m/>
  </r>
  <r>
    <x v="477"/>
    <x v="1"/>
    <x v="2"/>
    <s v="ITEMPEU_003300000418 CH71 EXP PLGA/PLA"/>
    <s v="L000006425"/>
    <s v="L000006425"/>
    <s v="Non-LFF"/>
    <s v=""/>
    <m/>
    <b v="1"/>
    <x v="2"/>
    <x v="0"/>
    <d v="2026-01-02T00:00:00"/>
    <m/>
    <m/>
    <x v="0"/>
    <n v="1"/>
    <s v="Ruby Grace Garcia"/>
    <m/>
  </r>
  <r>
    <x v="477"/>
    <x v="1"/>
    <x v="2"/>
    <s v="ITEMPEU_003300000464 P-LNP-DMG-DSG-PEG2ka"/>
    <s v="L000006425"/>
    <s v="L000006425"/>
    <s v="Non-LFF"/>
    <s v=""/>
    <m/>
    <b v="1"/>
    <x v="2"/>
    <x v="0"/>
    <d v="2026-01-02T00:00:00"/>
    <m/>
    <m/>
    <x v="0"/>
    <n v="1"/>
    <s v="Ruby Grace Garcia"/>
    <m/>
  </r>
  <r>
    <x v="477"/>
    <x v="1"/>
    <x v="2"/>
    <s v="ITEMPEU_003300000465 CH71 T_New Lipids for RNA Delivery"/>
    <s v="L000006425"/>
    <s v="L000006425"/>
    <s v="Non-LFF"/>
    <s v=""/>
    <m/>
    <b v="1"/>
    <x v="2"/>
    <x v="0"/>
    <d v="2026-01-02T00:00:00"/>
    <m/>
    <m/>
    <x v="0"/>
    <n v="1"/>
    <s v="Ruby Grace Garcia"/>
    <m/>
  </r>
  <r>
    <x v="477"/>
    <x v="1"/>
    <x v="2"/>
    <s v="ITEMPEU_003300000467 CH71 P_DMG-PEG-2000 / DSG-PEG-2000 1.0"/>
    <s v="L000006425"/>
    <s v="L000006425"/>
    <s v="Non-LFF"/>
    <s v=""/>
    <m/>
    <b v="1"/>
    <x v="2"/>
    <x v="0"/>
    <d v="2026-01-02T00:00:00"/>
    <m/>
    <m/>
    <x v="0"/>
    <n v="1"/>
    <s v="Ruby Grace Garcia"/>
    <m/>
  </r>
  <r>
    <x v="477"/>
    <x v="1"/>
    <x v="2"/>
    <s v="ITEMPEU_003300000472 CH71 ACB_ALC-0159"/>
    <s v="L000006425"/>
    <s v="L000006425"/>
    <s v="Non-LFF"/>
    <s v=""/>
    <m/>
    <b v="1"/>
    <x v="2"/>
    <x v="0"/>
    <d v="2026-01-02T00:00:00"/>
    <m/>
    <m/>
    <x v="0"/>
    <n v="1"/>
    <s v="Ruby Grace Garcia"/>
    <m/>
  </r>
  <r>
    <x v="477"/>
    <x v="1"/>
    <x v="2"/>
    <s v="ITEMPEU_003300000473 CH71 ACA_ALC-0315 Invest F"/>
    <s v="L000006425"/>
    <s v="L000006425"/>
    <s v="Non-LFF"/>
    <s v=""/>
    <m/>
    <b v="1"/>
    <x v="2"/>
    <x v="0"/>
    <d v="2026-01-02T00:00:00"/>
    <m/>
    <m/>
    <x v="0"/>
    <n v="1"/>
    <s v="Ruby Grace Garcia"/>
    <m/>
  </r>
  <r>
    <x v="477"/>
    <x v="1"/>
    <x v="2"/>
    <s v="ITEMPEU_003300000474 CH71 MBH DOTMA Invest F"/>
    <s v="L000006425"/>
    <s v="L000006425"/>
    <s v="Non-LFF"/>
    <s v=""/>
    <m/>
    <b v="1"/>
    <x v="2"/>
    <x v="0"/>
    <d v="2026-01-02T00:00:00"/>
    <m/>
    <m/>
    <x v="0"/>
    <n v="1"/>
    <s v="Ruby Grace Garcia"/>
    <m/>
  </r>
  <r>
    <x v="477"/>
    <x v="1"/>
    <x v="2"/>
    <s v="ITEMPEU_003300000475 CH71 MBC DOPE Invest F"/>
    <s v="L000006425"/>
    <s v="L000006425"/>
    <s v="Non-LFF"/>
    <s v=""/>
    <m/>
    <b v="1"/>
    <x v="2"/>
    <x v="0"/>
    <d v="2026-01-02T00:00:00"/>
    <m/>
    <m/>
    <x v="0"/>
    <n v="1"/>
    <s v="Ruby Grace Garcia"/>
    <m/>
  </r>
  <r>
    <x v="477"/>
    <x v="1"/>
    <x v="2"/>
    <s v="ITEMPEU_003300000523 CH71 P_New Lipids for RNA Delivery"/>
    <s v="L000006425"/>
    <s v="L000006425"/>
    <s v="Non-LFF"/>
    <s v=""/>
    <m/>
    <b v="1"/>
    <x v="2"/>
    <x v="0"/>
    <d v="2026-01-02T00:00:00"/>
    <m/>
    <m/>
    <x v="0"/>
    <n v="1"/>
    <s v="Ruby Grace Garcia"/>
    <m/>
  </r>
  <r>
    <x v="477"/>
    <x v="1"/>
    <x v="2"/>
    <s v="IPHOENX_000002348501 XXXT_mRNA AmpTec support"/>
    <s v="L000006429"/>
    <s v="L000006429"/>
    <s v="Non-LFF"/>
    <s v=""/>
    <m/>
    <b v="1"/>
    <x v="2"/>
    <x v="0"/>
    <d v="2026-01-02T00:00:00"/>
    <m/>
    <m/>
    <x v="0"/>
    <n v="1"/>
    <s v="Ruby Grace Garcia"/>
    <m/>
  </r>
  <r>
    <x v="477"/>
    <x v="1"/>
    <x v="2"/>
    <s v="IPHOENX_000002404001 XXXT_Polymers for mRNA delivery"/>
    <s v="L000006429"/>
    <s v="L000006429"/>
    <s v="Non-LFF"/>
    <s v=""/>
    <m/>
    <b v="1"/>
    <x v="2"/>
    <x v="0"/>
    <d v="2026-01-02T00:00:00"/>
    <m/>
    <m/>
    <x v="0"/>
    <n v="1"/>
    <s v="Ruby Grace Garcia"/>
    <m/>
  </r>
  <r>
    <x v="477"/>
    <x v="1"/>
    <x v="2"/>
    <s v="IPHOENX_000002413801 T_mRNA Upscaling"/>
    <s v="L000006429"/>
    <s v="L000006429"/>
    <s v="Non-LFF"/>
    <s v=""/>
    <m/>
    <b v="1"/>
    <x v="2"/>
    <x v="0"/>
    <d v="2026-01-02T00:00:00"/>
    <m/>
    <m/>
    <x v="0"/>
    <n v="1"/>
    <s v="Ruby Grace Garcia"/>
    <m/>
  </r>
  <r>
    <x v="477"/>
    <x v="1"/>
    <x v="2"/>
    <s v="IPHOENX_000002413901 XXXT_Lipids for mRNA delivery"/>
    <s v="L000006429"/>
    <s v="L000006429"/>
    <s v="Non-LFF"/>
    <s v=""/>
    <m/>
    <b v="1"/>
    <x v="2"/>
    <x v="0"/>
    <d v="2026-01-02T00:00:00"/>
    <m/>
    <m/>
    <x v="0"/>
    <n v="1"/>
    <s v="Ruby Grace Garcia"/>
    <m/>
  </r>
  <r>
    <x v="477"/>
    <x v="1"/>
    <x v="2"/>
    <s v="IPHOENX_000002422801 P-LNP-Lipids for mRNA delivery"/>
    <s v="L000006429"/>
    <s v="L000006429"/>
    <s v="Non-LFF"/>
    <s v=""/>
    <m/>
    <b v="1"/>
    <x v="2"/>
    <x v="0"/>
    <d v="2026-01-02T00:00:00"/>
    <m/>
    <m/>
    <x v="0"/>
    <n v="1"/>
    <s v="Ruby Grace Garcia"/>
    <m/>
  </r>
  <r>
    <x v="477"/>
    <x v="1"/>
    <x v="2"/>
    <s v="IPHOENX_000002427301 P-LNP-Lipidomics"/>
    <s v="L000006429"/>
    <s v="L000006429"/>
    <s v="Non-LFF"/>
    <s v=""/>
    <m/>
    <b v="1"/>
    <x v="2"/>
    <x v="0"/>
    <d v="2026-01-02T00:00:00"/>
    <m/>
    <m/>
    <x v="0"/>
    <n v="1"/>
    <s v="Ruby Grace Garcia"/>
    <m/>
  </r>
  <r>
    <x v="477"/>
    <x v="1"/>
    <x v="2"/>
    <s v="IPHOENX_000002427401 P-LNP-DSPC-DOPC-DPPC-buy resell"/>
    <s v="L000006429"/>
    <s v="L000006429"/>
    <s v="Non-LFF"/>
    <s v=""/>
    <m/>
    <b v="1"/>
    <x v="2"/>
    <x v="0"/>
    <d v="2026-01-02T00:00:00"/>
    <m/>
    <m/>
    <x v="0"/>
    <n v="1"/>
    <s v="Ruby Grace Garcia"/>
    <m/>
  </r>
  <r>
    <x v="477"/>
    <x v="1"/>
    <x v="5"/>
    <s v="IPHOENX_000002425301 P-PGM-mRNA Process Development"/>
    <s v="L000013901"/>
    <s v="L000006429"/>
    <s v="Non-LFF"/>
    <s v=""/>
    <m/>
    <b v="0"/>
    <x v="2"/>
    <x v="0"/>
    <d v="2026-01-02T00:00:00"/>
    <m/>
    <m/>
    <x v="0"/>
    <n v="1"/>
    <s v="Ruby Grace Garcia"/>
    <m/>
  </r>
  <r>
    <x v="478"/>
    <x v="1"/>
    <x v="3"/>
    <s v="CLFF_1000$$$DE10537813"/>
    <s v="G000000397"/>
    <m/>
    <s v="LFF (MDG-F)"/>
    <s v="DE10537813"/>
    <s v="mapped for 2025 do the same for 2026"/>
    <b v="0"/>
    <x v="5"/>
    <x v="0"/>
    <d v="2026-01-02T00:00:00"/>
    <m/>
    <m/>
    <x v="0"/>
    <n v="1"/>
    <s v="Analyn Ayson"/>
    <m/>
  </r>
  <r>
    <x v="478"/>
    <x v="1"/>
    <x v="3"/>
    <s v="CLFF_1000$$$DE20537813"/>
    <s v="G000000397"/>
    <m/>
    <s v="LFF (MDG-F)"/>
    <s v="DE20537813"/>
    <s v="mapped for 2025 do the same for 2026"/>
    <b v="0"/>
    <x v="5"/>
    <x v="0"/>
    <d v="2026-01-02T00:00:00"/>
    <m/>
    <m/>
    <x v="0"/>
    <n v="1"/>
    <s v="Analyn Ayson"/>
    <m/>
  </r>
  <r>
    <x v="478"/>
    <x v="1"/>
    <x v="3"/>
    <s v="CLFF_1000$$$DE10538999"/>
    <s v="G000000397"/>
    <m/>
    <s v="LFF (MDG-F)"/>
    <s v="DE10538999"/>
    <s v="mapped for 2025 do the same for 2026"/>
    <b v="0"/>
    <x v="5"/>
    <x v="0"/>
    <d v="2026-01-02T00:00:00"/>
    <m/>
    <m/>
    <x v="0"/>
    <n v="1"/>
    <s v="Analyn Ayson"/>
    <m/>
  </r>
  <r>
    <x v="478"/>
    <x v="1"/>
    <x v="3"/>
    <s v="CLFF_1000$$$DE10538529"/>
    <s v="G000000397"/>
    <m/>
    <s v="LFF (MDG-F)"/>
    <s v="DE10538529"/>
    <s v="mapped for 2025 do the same for 2026"/>
    <b v="0"/>
    <x v="5"/>
    <x v="0"/>
    <d v="2026-01-02T00:00:00"/>
    <m/>
    <m/>
    <x v="0"/>
    <n v="1"/>
    <s v="Analyn Ayson"/>
    <m/>
  </r>
  <r>
    <x v="478"/>
    <x v="1"/>
    <x v="3"/>
    <s v="CLFF_1000$$$DE10538536"/>
    <s v="G000000397"/>
    <m/>
    <s v="LFF (MDG-F)"/>
    <s v="DE10538536"/>
    <s v="mapped for 2025 do the same for 2026"/>
    <b v="0"/>
    <x v="5"/>
    <x v="0"/>
    <d v="2026-01-02T00:00:00"/>
    <m/>
    <m/>
    <x v="0"/>
    <n v="1"/>
    <s v="Analyn Ayson"/>
    <m/>
  </r>
  <r>
    <x v="478"/>
    <x v="1"/>
    <x v="3"/>
    <s v="CLFF_1000$$$DE10538539"/>
    <s v="G000000397"/>
    <m/>
    <s v="LFF (MDG-F)"/>
    <s v="DE10538539"/>
    <s v="mapped for 2025 do the same for 2026"/>
    <b v="0"/>
    <x v="5"/>
    <x v="0"/>
    <d v="2026-01-02T00:00:00"/>
    <m/>
    <m/>
    <x v="0"/>
    <n v="1"/>
    <s v="Analyn Ayson"/>
    <m/>
  </r>
  <r>
    <x v="478"/>
    <x v="1"/>
    <x v="3"/>
    <s v="CLFF_1000$$$DE10538540"/>
    <s v="G000000397"/>
    <m/>
    <s v="LFF (MDG-F)"/>
    <s v="DE10538540"/>
    <s v="mapped for 2025 do the same for 2026"/>
    <b v="0"/>
    <x v="5"/>
    <x v="0"/>
    <d v="2026-01-02T00:00:00"/>
    <m/>
    <m/>
    <x v="0"/>
    <n v="1"/>
    <s v="Analyn Ayson"/>
    <m/>
  </r>
  <r>
    <x v="478"/>
    <x v="1"/>
    <x v="3"/>
    <s v="CLFF_1000$$$DE20538529"/>
    <s v="G000000397"/>
    <m/>
    <s v="LFF (MDG-F)"/>
    <s v="DE20538529"/>
    <s v="mapped for 2025 do the same for 2026"/>
    <b v="0"/>
    <x v="5"/>
    <x v="0"/>
    <d v="2026-01-02T00:00:00"/>
    <m/>
    <m/>
    <x v="0"/>
    <n v="1"/>
    <s v="Analyn Ayson"/>
    <m/>
  </r>
  <r>
    <x v="478"/>
    <x v="1"/>
    <x v="3"/>
    <s v="CLFF_1000$$$DE20538536"/>
    <s v="G000000397"/>
    <m/>
    <s v="LFF (MDG-F)"/>
    <s v="DE20538536"/>
    <s v="mapped for 2025 do the same for 2026"/>
    <b v="0"/>
    <x v="5"/>
    <x v="0"/>
    <d v="2026-01-02T00:00:00"/>
    <m/>
    <m/>
    <x v="0"/>
    <n v="1"/>
    <s v="Analyn Ayson"/>
    <m/>
  </r>
  <r>
    <x v="478"/>
    <x v="1"/>
    <x v="3"/>
    <s v="CLFF_1000$$$DE20538539"/>
    <s v="G000000397"/>
    <m/>
    <s v="LFF (MDG-F)"/>
    <s v="DE20538539"/>
    <s v="mapped for 2025 do the same for 2026"/>
    <b v="0"/>
    <x v="5"/>
    <x v="0"/>
    <d v="2026-01-02T00:00:00"/>
    <m/>
    <m/>
    <x v="0"/>
    <n v="1"/>
    <s v="Analyn Ayson"/>
    <m/>
  </r>
  <r>
    <x v="478"/>
    <x v="1"/>
    <x v="3"/>
    <s v="CLFF_1000$$$DE20538540"/>
    <s v="G000000397"/>
    <m/>
    <s v="LFF (MDG-F)"/>
    <s v="DE20538540"/>
    <s v="mapped for 2025 do the same for 2026"/>
    <b v="0"/>
    <x v="5"/>
    <x v="0"/>
    <d v="2026-01-02T00:00:00"/>
    <m/>
    <m/>
    <x v="0"/>
    <n v="1"/>
    <s v="Analyn Ayson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32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8"/>
        <item sd="0" m="1" x="6"/>
        <item sd="0" m="1" x="7"/>
        <item x="0"/>
        <item m="1" x="9"/>
        <item sd="0" m="1" x="10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9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1"/>
    </i>
    <i r="1">
      <x v="3"/>
    </i>
    <i r="1">
      <x v="10"/>
    </i>
    <i>
      <x v="7"/>
    </i>
    <i r="1">
      <x/>
    </i>
    <i r="1">
      <x v="10"/>
    </i>
    <i r="1">
      <x v="13"/>
    </i>
    <i>
      <x v="8"/>
    </i>
    <i r="1">
      <x/>
    </i>
    <i r="1">
      <x v="10"/>
    </i>
    <i r="1">
      <x v="13"/>
    </i>
    <i>
      <x v="9"/>
    </i>
    <i r="1">
      <x/>
    </i>
    <i>
      <x v="10"/>
    </i>
    <i r="1">
      <x/>
    </i>
    <i r="1">
      <x v="1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35" firstHeaderRow="1" firstDataRow="1" firstDataCol="1" rowPageCount="1" colPageCount="1"/>
  <pivotFields count="19">
    <pivotField axis="axisRow" showAll="0" sortType="ascending">
      <items count="1661">
        <item m="1" x="1045"/>
        <item x="0"/>
        <item m="1" x="1115"/>
        <item m="1" x="1536"/>
        <item m="1" x="698"/>
        <item m="1" x="1553"/>
        <item m="1" x="1075"/>
        <item m="1" x="1165"/>
        <item m="1" x="1586"/>
        <item m="1" x="1380"/>
        <item m="1" x="1068"/>
        <item m="1" x="1652"/>
        <item m="1" x="1398"/>
        <item m="1" x="1642"/>
        <item m="1" x="1016"/>
        <item m="1" x="917"/>
        <item m="1" x="621"/>
        <item m="1" x="882"/>
        <item m="1" x="1606"/>
        <item m="1" x="674"/>
        <item m="1" x="982"/>
        <item m="1" x="1350"/>
        <item m="1" x="1065"/>
        <item m="1" x="1158"/>
        <item m="1" x="1454"/>
        <item m="1" x="1639"/>
        <item m="1" x="1100"/>
        <item m="1" x="1122"/>
        <item m="1" x="887"/>
        <item m="1" x="1288"/>
        <item m="1" x="1047"/>
        <item m="1" x="1593"/>
        <item m="1" x="1250"/>
        <item m="1" x="683"/>
        <item m="1" x="791"/>
        <item m="1" x="1578"/>
        <item m="1" x="1342"/>
        <item m="1" x="596"/>
        <item m="1" x="1428"/>
        <item m="1" x="1094"/>
        <item m="1" x="1389"/>
        <item m="1" x="975"/>
        <item m="1" x="1327"/>
        <item m="1" x="586"/>
        <item m="1" x="616"/>
        <item m="1" x="1655"/>
        <item m="1" x="1334"/>
        <item m="1" x="1402"/>
        <item m="1" x="1509"/>
        <item m="1" x="1278"/>
        <item m="1" x="1376"/>
        <item m="1" x="1215"/>
        <item m="1" x="670"/>
        <item m="1" x="861"/>
        <item m="1" x="1637"/>
        <item m="1" x="1205"/>
        <item m="1" x="1345"/>
        <item m="1" x="873"/>
        <item m="1" x="834"/>
        <item m="1" x="1126"/>
        <item m="1" x="1018"/>
        <item m="1" x="1051"/>
        <item m="1" x="610"/>
        <item m="1" x="749"/>
        <item m="1" x="1411"/>
        <item m="1" x="1628"/>
        <item m="1" x="814"/>
        <item m="1" x="1219"/>
        <item m="1" x="1229"/>
        <item m="1" x="1406"/>
        <item m="1" x="1516"/>
        <item m="1" x="1394"/>
        <item m="1" x="689"/>
        <item m="1" x="1537"/>
        <item m="1" x="1267"/>
        <item m="1" x="1254"/>
        <item m="1" x="789"/>
        <item m="1" x="1142"/>
        <item m="1" x="1489"/>
        <item m="1" x="607"/>
        <item m="1" x="1186"/>
        <item m="1" x="1539"/>
        <item m="1" x="1377"/>
        <item m="1" x="1112"/>
        <item m="1" x="1154"/>
        <item m="1" x="1035"/>
        <item m="1" x="1270"/>
        <item m="1" x="1082"/>
        <item m="1" x="1314"/>
        <item m="1" x="798"/>
        <item m="1" x="1627"/>
        <item m="1" x="1152"/>
        <item m="1" x="1438"/>
        <item m="1" x="515"/>
        <item m="1" x="1643"/>
        <item m="1" x="1179"/>
        <item m="1" x="1468"/>
        <item m="1" x="1381"/>
        <item m="1" x="1159"/>
        <item m="1" x="669"/>
        <item m="1" x="676"/>
        <item m="1" x="716"/>
        <item m="1" x="898"/>
        <item m="1" x="1322"/>
        <item m="1" x="1083"/>
        <item m="1" x="1199"/>
        <item m="1" x="1262"/>
        <item m="1" x="1409"/>
        <item m="1" x="1492"/>
        <item m="1" x="1054"/>
        <item m="1" x="775"/>
        <item m="1" x="618"/>
        <item m="1" x="761"/>
        <item m="1" x="1636"/>
        <item m="1" x="793"/>
        <item m="1" x="1474"/>
        <item m="1" x="1403"/>
        <item m="1" x="1021"/>
        <item m="1" x="1093"/>
        <item m="1" x="959"/>
        <item m="1" x="1216"/>
        <item m="1" x="1591"/>
        <item m="1" x="767"/>
        <item m="1" x="715"/>
        <item m="1" x="650"/>
        <item m="1" x="1316"/>
        <item m="1" x="1576"/>
        <item m="1" x="1504"/>
        <item m="1" x="1161"/>
        <item m="1" x="685"/>
        <item m="1" x="1410"/>
        <item m="1" x="862"/>
        <item m="1" x="1116"/>
        <item m="1" x="1291"/>
        <item m="1" x="1399"/>
        <item m="1" x="519"/>
        <item m="1" x="1348"/>
        <item m="1" x="1311"/>
        <item m="1" x="752"/>
        <item m="1" x="1200"/>
        <item m="1" x="1088"/>
        <item m="1" x="1041"/>
        <item m="1" x="774"/>
        <item m="1" x="710"/>
        <item m="1" x="950"/>
        <item m="1" x="1137"/>
        <item m="1" x="544"/>
        <item m="1" x="883"/>
        <item m="1" x="742"/>
        <item m="1" x="484"/>
        <item m="1" x="994"/>
        <item m="1" x="1195"/>
        <item m="1" x="1077"/>
        <item m="1" x="1123"/>
        <item m="1" x="1442"/>
        <item m="1" x="1024"/>
        <item m="1" x="1550"/>
        <item m="1" x="1274"/>
        <item m="1" x="1213"/>
        <item m="1" x="727"/>
        <item m="1" x="1360"/>
        <item m="1" x="1638"/>
        <item m="1" x="1326"/>
        <item m="1" x="1310"/>
        <item m="1" x="597"/>
        <item m="1" x="645"/>
        <item m="1" x="1180"/>
        <item m="1" x="686"/>
        <item m="1" x="1623"/>
        <item m="1" x="1289"/>
        <item m="1" x="1214"/>
        <item m="1" x="1166"/>
        <item m="1" x="967"/>
        <item m="1" x="595"/>
        <item m="1" x="695"/>
        <item m="1" x="801"/>
        <item m="1" x="1534"/>
        <item m="1" x="1566"/>
        <item m="1" x="1265"/>
        <item m="1" x="992"/>
        <item m="1" x="1080"/>
        <item m="1" x="590"/>
        <item m="1" x="630"/>
        <item m="1" x="969"/>
        <item m="1" x="1194"/>
        <item m="1" x="1107"/>
        <item m="1" x="765"/>
        <item m="1" x="998"/>
        <item m="1" x="712"/>
        <item m="1" x="907"/>
        <item m="1" x="829"/>
        <item m="1" x="664"/>
        <item m="1" x="800"/>
        <item m="1" x="1170"/>
        <item m="1" x="580"/>
        <item m="1" x="819"/>
        <item m="1" x="611"/>
        <item m="1" x="1304"/>
        <item m="1" x="1493"/>
        <item m="1" x="1103"/>
        <item m="1" x="747"/>
        <item m="1" x="1397"/>
        <item m="1" x="1242"/>
        <item m="1" x="759"/>
        <item m="1" x="760"/>
        <item m="1" x="945"/>
        <item m="1" x="635"/>
        <item m="1" x="824"/>
        <item m="1" x="619"/>
        <item m="1" x="805"/>
        <item m="1" x="1373"/>
        <item m="1" x="884"/>
        <item m="1" x="1251"/>
        <item m="1" x="1301"/>
        <item m="1" x="1435"/>
        <item m="1" x="1439"/>
        <item m="1" x="1156"/>
        <item m="1" x="997"/>
        <item m="1" x="1036"/>
        <item m="1" x="1603"/>
        <item m="1" x="896"/>
        <item m="1" x="708"/>
        <item m="1" x="1086"/>
        <item m="1" x="543"/>
        <item m="1" x="1607"/>
        <item m="1" x="1070"/>
        <item m="1" x="504"/>
        <item m="1" x="1525"/>
        <item m="1" x="1568"/>
        <item m="1" x="1405"/>
        <item m="1" x="782"/>
        <item m="1" x="521"/>
        <item m="1" x="1455"/>
        <item m="1" x="846"/>
        <item m="1" x="482"/>
        <item m="1" x="1626"/>
        <item m="1" x="870"/>
        <item m="1" x="1025"/>
        <item m="1" x="1470"/>
        <item m="1" x="557"/>
        <item m="1" x="1382"/>
        <item m="1" x="1190"/>
        <item m="1" x="1055"/>
        <item m="1" x="925"/>
        <item m="1" x="672"/>
        <item m="1" x="1173"/>
        <item m="1" x="875"/>
        <item m="1" x="1413"/>
        <item m="1" x="735"/>
        <item m="1" x="1483"/>
        <item m="1" x="1490"/>
        <item m="1" x="1174"/>
        <item m="1" x="1364"/>
        <item m="1" x="781"/>
        <item m="1" x="1078"/>
        <item m="1" x="1367"/>
        <item m="1" x="951"/>
        <item m="1" x="1241"/>
        <item m="1" x="880"/>
        <item m="1" x="665"/>
        <item m="1" x="869"/>
        <item m="1" x="1635"/>
        <item m="1" x="1577"/>
        <item m="1" x="722"/>
        <item m="1" x="1523"/>
        <item m="1" x="529"/>
        <item m="1" x="1545"/>
        <item m="1" x="564"/>
        <item m="1" x="866"/>
        <item m="1" x="964"/>
        <item m="1" x="911"/>
        <item m="1" x="1518"/>
        <item m="1" x="1421"/>
        <item m="1" x="662"/>
        <item m="1" x="1232"/>
        <item m="1" x="1440"/>
        <item m="1" x="1574"/>
        <item m="1" x="1481"/>
        <item m="1" x="567"/>
        <item m="1" x="1647"/>
        <item m="1" x="718"/>
        <item m="1" x="999"/>
        <item m="1" x="1443"/>
        <item m="1" x="566"/>
        <item m="1" x="1502"/>
        <item m="1" x="731"/>
        <item m="1" x="1375"/>
        <item m="1" x="1239"/>
        <item m="1" x="1217"/>
        <item m="1" x="796"/>
        <item m="1" x="758"/>
        <item m="1" x="1570"/>
        <item m="1" x="511"/>
        <item m="1" x="693"/>
        <item m="1" x="1352"/>
        <item m="1" x="1463"/>
        <item m="1" x="1390"/>
        <item m="1" x="1594"/>
        <item m="1" x="1098"/>
        <item m="1" x="725"/>
        <item m="1" x="845"/>
        <item m="1" x="1164"/>
        <item m="1" x="906"/>
        <item m="1" x="1234"/>
        <item m="1" x="847"/>
        <item m="1" x="649"/>
        <item m="1" x="1302"/>
        <item m="1" x="704"/>
        <item m="1" x="584"/>
        <item m="1" x="1436"/>
        <item m="1" x="1583"/>
        <item m="1" x="1284"/>
        <item m="1" x="549"/>
        <item m="1" x="1475"/>
        <item m="1" x="1273"/>
        <item m="1" x="1383"/>
        <item m="1" x="1522"/>
        <item m="1" x="750"/>
        <item m="1" x="942"/>
        <item m="1" x="780"/>
        <item m="1" x="1048"/>
        <item m="1" x="972"/>
        <item m="1" x="1002"/>
        <item m="1" x="1538"/>
        <item m="1" x="984"/>
        <item m="1" x="1187"/>
        <item m="1" x="719"/>
        <item m="1" x="918"/>
        <item m="1" x="892"/>
        <item m="1" x="1235"/>
        <item m="1" x="1138"/>
        <item m="1" x="1366"/>
        <item m="1" x="888"/>
        <item m="1" x="1524"/>
        <item m="1" x="726"/>
        <item m="1" x="652"/>
        <item m="1" x="908"/>
        <item m="1" x="1449"/>
        <item m="1" x="559"/>
        <item m="1" x="560"/>
        <item m="1" x="856"/>
        <item m="1" x="1529"/>
        <item m="1" x="923"/>
        <item m="1" x="568"/>
        <item m="1" x="728"/>
        <item m="1" x="970"/>
        <item m="1" x="1281"/>
        <item m="1" x="1253"/>
        <item m="1" x="924"/>
        <item m="1" x="505"/>
        <item m="1" x="643"/>
        <item m="1" x="855"/>
        <item m="1" x="743"/>
        <item m="1" x="500"/>
        <item m="1" x="1453"/>
        <item m="1" x="1582"/>
        <item m="1" x="1052"/>
        <item m="1" x="1482"/>
        <item m="1" x="1542"/>
        <item m="1" x="565"/>
        <item m="1" x="1580"/>
        <item m="1" x="1318"/>
        <item m="1" x="741"/>
        <item m="1" x="927"/>
        <item m="1" x="831"/>
        <item m="1" x="1193"/>
        <item m="1" x="764"/>
        <item m="1" x="980"/>
        <item m="1" x="1275"/>
        <item m="1" x="1400"/>
        <item m="1" x="903"/>
        <item m="1" x="1031"/>
        <item m="1" x="843"/>
        <item m="1" x="769"/>
        <item m="1" x="1280"/>
        <item m="1" x="1395"/>
        <item m="1" x="1557"/>
        <item m="1" x="599"/>
        <item m="1" x="803"/>
        <item m="1" x="1243"/>
        <item m="1" x="644"/>
        <item m="1" x="931"/>
        <item m="1" x="1312"/>
        <item m="1" x="577"/>
        <item m="1" x="787"/>
        <item m="1" x="897"/>
        <item m="1" x="1503"/>
        <item m="1" x="736"/>
        <item m="1" x="1006"/>
        <item m="1" x="1559"/>
        <item m="1" x="687"/>
        <item m="1" x="876"/>
        <item m="1" x="1064"/>
        <item m="1" x="1401"/>
        <item m="1" x="699"/>
        <item m="1" x="955"/>
        <item m="1" x="797"/>
        <item m="1" x="1293"/>
        <item m="1" x="1479"/>
        <item m="1" x="605"/>
        <item m="1" x="825"/>
        <item m="1" x="1561"/>
        <item m="1" x="1526"/>
        <item m="1" x="626"/>
        <item m="1" x="943"/>
        <item m="1" x="1467"/>
        <item m="1" x="1598"/>
        <item m="1" x="1469"/>
        <item m="1" x="1444"/>
        <item m="1" x="575"/>
        <item m="1" x="751"/>
        <item m="1" x="833"/>
        <item m="1" x="822"/>
        <item m="1" x="1049"/>
        <item m="1" x="537"/>
        <item m="1" x="1236"/>
        <item m="1" x="1307"/>
        <item m="1" x="489"/>
        <item m="1" x="1567"/>
        <item m="1" x="1429"/>
        <item m="1" x="1558"/>
        <item m="1" x="1588"/>
        <item m="1" x="1624"/>
        <item m="1" x="1562"/>
        <item m="1" x="926"/>
        <item m="1" x="1286"/>
        <item m="1" x="893"/>
        <item m="1" x="1299"/>
        <item m="1" x="1264"/>
        <item m="1" x="702"/>
        <item m="1" x="740"/>
        <item m="1" x="878"/>
        <item m="1" x="1343"/>
        <item m="1" x="863"/>
        <item m="1" x="609"/>
        <item m="1" x="1608"/>
        <item m="1" x="1358"/>
        <item m="1" x="1191"/>
        <item m="1" x="1223"/>
        <item m="1" x="1272"/>
        <item m="1" x="697"/>
        <item m="1" x="1039"/>
        <item m="1" x="1384"/>
        <item m="1" x="535"/>
        <item m="1" x="778"/>
        <item m="1" x="678"/>
        <item m="1" x="675"/>
        <item m="1" x="679"/>
        <item m="1" x="480"/>
        <item m="1" x="701"/>
        <item m="1" x="1498"/>
        <item m="1" x="502"/>
        <item m="1" x="1148"/>
        <item m="1" x="1585"/>
        <item m="1" x="1396"/>
        <item m="1" x="656"/>
        <item m="1" x="1656"/>
        <item m="1" x="585"/>
        <item m="1" x="952"/>
        <item m="1" x="1175"/>
        <item m="1" x="631"/>
        <item m="1" x="1084"/>
        <item m="1" x="1244"/>
        <item m="1" x="1512"/>
        <item m="1" x="1414"/>
        <item m="1" x="493"/>
        <item m="1" x="1176"/>
        <item m="1" x="576"/>
        <item m="1" x="812"/>
        <item m="1" x="784"/>
        <item m="1" x="546"/>
        <item m="1" x="1139"/>
        <item m="1" x="1146"/>
        <item m="1" x="1246"/>
        <item m="1" x="995"/>
        <item m="1" x="1495"/>
        <item m="1" x="904"/>
        <item m="1" x="1614"/>
        <item m="1" x="1249"/>
        <item m="1" x="1140"/>
        <item m="1" x="804"/>
        <item m="1" x="1212"/>
        <item m="1" x="1510"/>
        <item m="1" x="1575"/>
        <item m="1" x="1554"/>
        <item m="1" x="1484"/>
        <item m="1" x="1233"/>
        <item m="1" x="1346"/>
        <item m="1" x="859"/>
        <item m="1" x="1308"/>
        <item m="1" x="1133"/>
        <item m="1" x="1092"/>
        <item m="1" x="1090"/>
        <item m="1" x="1091"/>
        <item m="1" x="788"/>
        <item m="1" x="832"/>
        <item m="1" x="1445"/>
        <item m="1" x="1010"/>
        <item m="1" x="852"/>
        <item m="1" x="894"/>
        <item m="1" x="940"/>
        <item m="1" x="1192"/>
        <item m="1" x="1530"/>
        <item m="1" x="1619"/>
        <item m="1" x="737"/>
        <item m="1" x="688"/>
        <item m="1" x="525"/>
        <item m="1" x="547"/>
        <item m="1" x="844"/>
        <item m="1" x="632"/>
        <item m="1" x="960"/>
        <item m="1" x="1496"/>
        <item m="1" x="837"/>
        <item m="1" x="629"/>
        <item m="1" x="1388"/>
        <item m="1" x="506"/>
        <item m="1" x="1514"/>
        <item m="1" x="1589"/>
        <item m="1" x="1653"/>
        <item m="1" x="1528"/>
        <item m="1" x="771"/>
        <item m="1" x="548"/>
        <item m="1" x="1012"/>
        <item m="1" x="1096"/>
        <item m="1" x="1292"/>
        <item m="1" x="1260"/>
        <item m="1" x="1296"/>
        <item m="1" x="1073"/>
        <item m="1" x="1111"/>
        <item m="1" x="1552"/>
        <item m="1" x="1315"/>
        <item m="1" x="1285"/>
        <item m="1" x="1224"/>
        <item m="1" x="1297"/>
        <item m="1" x="498"/>
        <item m="1" x="503"/>
        <item m="1" x="1106"/>
        <item m="1" x="1491"/>
        <item m="1" x="1061"/>
        <item m="1" x="1631"/>
        <item m="1" x="1030"/>
        <item m="1" x="1206"/>
        <item m="1" x="1277"/>
        <item m="1" x="891"/>
        <item m="1" x="723"/>
        <item m="1" x="1099"/>
        <item m="1" x="785"/>
        <item m="1" x="1640"/>
        <item m="1" x="1555"/>
        <item m="1" x="1368"/>
        <item m="1" x="625"/>
        <item m="1" x="552"/>
        <item m="1" x="1125"/>
        <item m="1" x="1369"/>
        <item m="1" x="1658"/>
        <item m="1" x="1004"/>
        <item m="1" x="1605"/>
        <item m="1" x="539"/>
        <item m="1" x="653"/>
        <item m="1" x="965"/>
        <item m="1" x="1056"/>
        <item m="1" x="1485"/>
        <item m="1" x="809"/>
        <item m="1" x="1488"/>
        <item m="1" x="905"/>
        <item m="1" x="1477"/>
        <item m="1" x="1641"/>
        <item m="1" x="569"/>
        <item m="1" x="1625"/>
        <item m="1" x="516"/>
        <item m="1" x="1378"/>
        <item m="1" x="996"/>
        <item m="1" x="827"/>
        <item m="1" x="790"/>
        <item m="1" x="934"/>
        <item m="1" x="533"/>
        <item m="1" x="1618"/>
        <item m="1" x="617"/>
        <item m="1" x="638"/>
        <item m="1" x="1511"/>
        <item m="1" x="1590"/>
        <item m="1" x="1104"/>
        <item m="1" x="1245"/>
        <item m="1" x="946"/>
        <item m="1" x="1059"/>
        <item m="1" x="1208"/>
        <item m="1" x="1325"/>
        <item m="1" x="912"/>
        <item m="1" x="1188"/>
        <item m="1" x="1007"/>
        <item m="1" x="1644"/>
        <item m="1" x="497"/>
        <item m="1" x="936"/>
        <item m="1" x="877"/>
        <item m="1" x="838"/>
        <item m="1" x="1632"/>
        <item m="1" x="1450"/>
        <item m="1" x="1581"/>
        <item m="1" x="594"/>
        <item m="1" x="1592"/>
        <item m="1" x="1579"/>
        <item m="1" x="1456"/>
        <item m="1" x="691"/>
        <item m="1" x="1060"/>
        <item m="1" x="1153"/>
        <item m="1" x="899"/>
        <item m="1" x="1497"/>
        <item m="1" x="1283"/>
        <item m="1" x="1303"/>
        <item m="1" x="1197"/>
        <item m="1" x="540"/>
        <item m="1" x="1370"/>
        <item m="1" x="1532"/>
        <item m="1" x="937"/>
        <item m="1" x="1651"/>
        <item m="1" x="1145"/>
        <item m="1" x="732"/>
        <item m="1" x="865"/>
        <item m="1" x="901"/>
        <item m="1" x="1560"/>
        <item m="1" x="1544"/>
        <item m="1" x="604"/>
        <item m="1" x="606"/>
        <item m="1" x="520"/>
        <item m="1" x="1480"/>
        <item m="1" x="522"/>
        <item m="1" x="939"/>
        <item m="1" x="839"/>
        <item m="1" x="1295"/>
        <item m="1" x="1238"/>
        <item m="1" x="1587"/>
        <item m="1" x="1519"/>
        <item m="1" x="1011"/>
        <item m="1" x="1225"/>
        <item m="1" x="1460"/>
        <item m="1" x="573"/>
        <item m="1" x="1005"/>
        <item m="1" x="935"/>
        <item m="1" x="1629"/>
        <item m="1" x="1596"/>
        <item m="1" x="1027"/>
        <item m="1" x="633"/>
        <item m="1" x="928"/>
        <item m="1" x="1101"/>
        <item m="1" x="555"/>
        <item m="1" x="1391"/>
        <item m="1" x="985"/>
        <item m="1" x="795"/>
        <item m="1" x="889"/>
        <item m="1" x="1335"/>
        <item m="1" x="1634"/>
        <item m="1" x="713"/>
        <item m="1" x="1486"/>
        <item m="1" x="707"/>
        <item m="1" x="1271"/>
        <item m="1" x="1043"/>
        <item m="1" x="974"/>
        <item m="1" x="696"/>
        <item m="1" x="763"/>
        <item m="1" x="551"/>
        <item m="1" x="1351"/>
        <item m="1" x="864"/>
        <item m="1" x="588"/>
        <item m="1" x="1202"/>
        <item m="1" x="1517"/>
        <item m="1" x="1057"/>
        <item m="1" x="1015"/>
        <item m="1" x="486"/>
        <item m="1" x="1622"/>
        <item m="1" x="872"/>
        <item m="1" x="932"/>
        <item m="1" x="1339"/>
        <item m="1" x="1616"/>
        <item m="1" x="1541"/>
        <item m="1" x="1392"/>
        <item m="1" x="1507"/>
        <item m="1" x="668"/>
        <item m="1" x="867"/>
        <item m="1" x="700"/>
        <item m="1" x="492"/>
        <item m="1" x="1105"/>
        <item m="1" x="554"/>
        <item m="1" x="776"/>
        <item m="1" x="720"/>
        <item m="1" x="666"/>
        <item m="1" x="1621"/>
        <item m="1" x="717"/>
        <item m="1" x="1319"/>
        <item m="1" x="1531"/>
        <item m="1" x="657"/>
        <item m="1" x="561"/>
        <item m="1" x="1354"/>
        <item m="1" x="1330"/>
        <item m="1" x="1371"/>
        <item m="1" x="1290"/>
        <item m="1" x="634"/>
        <item m="1" x="990"/>
        <item m="1" x="1258"/>
        <item m="1" x="1508"/>
        <item m="1" x="1102"/>
        <item m="1" x="1220"/>
        <item m="1" x="1564"/>
        <item m="1" x="976"/>
        <item m="1" x="820"/>
        <item m="1" x="1053"/>
        <item m="1" x="1000"/>
        <item m="1" x="930"/>
        <item m="1" x="1447"/>
        <item m="1" x="1134"/>
        <item m="1" x="1230"/>
        <item m="1" x="481"/>
        <item m="1" x="1026"/>
        <item m="1" x="628"/>
        <item m="1" x="895"/>
        <item m="1" x="1033"/>
        <item m="1" x="563"/>
        <item m="1" x="680"/>
        <item m="1" x="1135"/>
        <item m="1" x="1332"/>
        <item m="1" x="1602"/>
        <item m="1" x="1645"/>
        <item m="1" x="1255"/>
        <item m="1" x="603"/>
        <item m="1" x="531"/>
        <item m="1" x="1117"/>
        <item m="1" x="739"/>
        <item m="1" x="1013"/>
        <item m="1" x="641"/>
        <item m="1" x="744"/>
        <item m="1" x="1171"/>
        <item m="1" x="1527"/>
        <item m="1" x="1458"/>
        <item m="1" x="874"/>
        <item m="1" x="909"/>
        <item m="1" x="1185"/>
        <item m="1" x="1615"/>
        <item m="1" x="1341"/>
        <item m="1" x="507"/>
        <item m="1" x="1569"/>
        <item m="1" x="615"/>
        <item m="1" x="1261"/>
        <item m="1" x="1306"/>
        <item m="1" x="1309"/>
        <item m="1" x="1649"/>
        <item m="1" x="542"/>
        <item m="1" x="1320"/>
        <item m="1" x="1417"/>
        <item m="1" x="1189"/>
        <item m="1" x="1359"/>
        <item m="1" x="601"/>
        <item m="1" x="993"/>
        <item m="1" x="840"/>
        <item m="1" x="1452"/>
        <item m="1" x="1547"/>
        <item m="1" x="1076"/>
        <item m="1" x="1515"/>
        <item m="1" x="1563"/>
        <item m="1" x="916"/>
        <item m="1" x="1419"/>
        <item m="1" x="1282"/>
        <item m="1" x="1565"/>
        <item m="1" x="1609"/>
        <item m="1" x="1347"/>
        <item m="1" x="957"/>
        <item m="1" x="762"/>
        <item m="1" x="1597"/>
        <item m="1" x="1144"/>
        <item m="1" x="1118"/>
        <item m="1" x="1127"/>
        <item m="1" x="1648"/>
        <item m="1" x="1372"/>
        <item m="1" x="1067"/>
        <item m="1" x="1336"/>
        <item m="1" x="1313"/>
        <item m="1" x="929"/>
        <item m="1" x="830"/>
        <item m="1" x="1329"/>
        <item m="1" x="724"/>
        <item m="1" x="681"/>
        <item m="1" x="623"/>
        <item m="1" x="1610"/>
        <item m="1" x="1226"/>
        <item m="1" x="961"/>
        <item m="1" x="1042"/>
        <item m="1" x="523"/>
        <item m="1" x="1599"/>
        <item m="1" x="1150"/>
        <item m="1" x="1298"/>
        <item m="1" x="746"/>
        <item m="1" x="1430"/>
        <item m="1" x="933"/>
        <item m="1" x="826"/>
        <item m="1" x="1654"/>
        <item m="1" x="956"/>
        <item m="1" x="1595"/>
        <item m="1" x="1181"/>
        <item m="1" x="857"/>
        <item m="1" x="648"/>
        <item m="1" x="591"/>
        <item m="1" x="885"/>
        <item m="1" x="582"/>
        <item m="1" x="553"/>
        <item m="1" x="570"/>
        <item m="1" x="849"/>
        <item m="1" x="694"/>
        <item m="1" x="1001"/>
        <item m="1" x="1058"/>
        <item m="1" x="1157"/>
        <item m="1" x="1028"/>
        <item m="1" x="1361"/>
        <item m="1" x="1425"/>
        <item m="1" x="637"/>
        <item m="1" x="647"/>
        <item m="1" x="836"/>
        <item m="1" x="978"/>
        <item m="1" x="768"/>
        <item m="1" x="1321"/>
        <item m="1" x="1071"/>
        <item m="1" x="988"/>
        <item m="1" x="1121"/>
        <item m="1" x="1427"/>
        <item m="1" x="1365"/>
        <item m="1" x="1451"/>
        <item m="1" x="1207"/>
        <item m="1" x="627"/>
        <item m="1" x="1633"/>
        <item m="1" x="1046"/>
        <item m="1" x="661"/>
        <item m="1" x="485"/>
        <item m="1" x="1630"/>
        <item m="1" x="1114"/>
        <item m="1" x="1081"/>
        <item m="1" x="853"/>
        <item m="1" x="733"/>
        <item m="1" x="817"/>
        <item m="1" x="971"/>
        <item m="1" x="1546"/>
        <item m="1" x="1465"/>
        <item m="1" x="841"/>
        <item m="1" x="914"/>
        <item m="1" x="921"/>
        <item m="1" x="1459"/>
        <item m="1" x="1062"/>
        <item m="1" x="534"/>
        <item m="1" x="1095"/>
        <item m="1" x="1374"/>
        <item m="1" x="1500"/>
        <item m="1" x="1393"/>
        <item m="1" x="1201"/>
        <item m="1" x="1499"/>
        <item m="1" x="513"/>
        <item m="1" x="1416"/>
        <item m="1" x="495"/>
        <item m="1" x="835"/>
        <item m="1" x="499"/>
        <item m="1" x="658"/>
        <item m="1" x="748"/>
        <item m="1" x="754"/>
        <item m="1" x="1172"/>
        <item m="1" x="1426"/>
        <item m="1" x="953"/>
        <item m="1" x="524"/>
        <item m="1" x="730"/>
        <item m="1" x="518"/>
        <item m="1" x="1513"/>
        <item m="1" x="738"/>
        <item m="1" x="1074"/>
        <item m="1" x="1533"/>
        <item m="1" x="860"/>
        <item m="1" x="802"/>
        <item m="1" x="1198"/>
        <item m="1" x="755"/>
        <item m="1" x="1063"/>
        <item m="1" x="1357"/>
        <item m="1" x="496"/>
        <item m="1" x="1009"/>
        <item m="1" x="1128"/>
        <item m="1" x="620"/>
        <item m="1" x="962"/>
        <item m="1" x="1097"/>
        <item m="1" x="848"/>
        <item m="1" x="886"/>
        <item m="1" x="613"/>
        <item m="1" x="1019"/>
        <item m="1" x="483"/>
        <item m="1" x="1155"/>
        <item m="1" x="1548"/>
        <item m="1" x="1269"/>
        <item m="1" x="1263"/>
        <item m="1" x="1162"/>
        <item m="1" x="488"/>
        <item m="1" x="1294"/>
        <item m="1" x="1337"/>
        <item m="1" x="1143"/>
        <item m="1" x="487"/>
        <item m="1" x="1494"/>
        <item m="1" x="1461"/>
        <item m="1" x="491"/>
        <item m="1" x="770"/>
        <item m="1" x="1160"/>
        <item m="1" x="1415"/>
        <item m="1" x="612"/>
        <item m="1" x="508"/>
        <item m="1" x="667"/>
        <item m="1" x="558"/>
        <item m="1" x="966"/>
        <item m="1" x="779"/>
        <item m="1" x="777"/>
        <item m="1" x="948"/>
        <item m="1" x="1050"/>
        <item m="1" x="954"/>
        <item m="1" x="1151"/>
        <item m="1" x="1003"/>
        <item m="1" x="868"/>
        <item m="1" x="983"/>
        <item m="1" x="1476"/>
        <item m="1" x="1571"/>
        <item m="1" x="828"/>
        <item m="1" x="1551"/>
        <item m="1" x="593"/>
        <item m="1" x="1540"/>
        <item m="1" x="1237"/>
        <item m="1" x="1408"/>
        <item m="1" x="1487"/>
        <item m="1" x="1167"/>
        <item m="1" x="1379"/>
        <item m="1" x="671"/>
        <item m="1" x="654"/>
        <item m="1" x="1276"/>
        <item m="1" x="1248"/>
        <item m="1" x="810"/>
        <item m="1" x="1646"/>
        <item m="1" x="1218"/>
        <item m="1" x="958"/>
        <item m="1" x="1032"/>
        <item m="1" x="991"/>
        <item m="1" x="1501"/>
        <item m="1" x="1505"/>
        <item m="1" x="501"/>
        <item m="1" x="1385"/>
        <item m="1" x="1431"/>
        <item m="1" x="550"/>
        <item m="1" x="922"/>
        <item m="1" x="913"/>
        <item m="1" x="1420"/>
        <item m="1" x="1119"/>
        <item m="1" x="1323"/>
        <item m="1" x="989"/>
        <item m="1" x="1340"/>
        <item m="1" x="528"/>
        <item m="1" x="651"/>
        <item m="1" x="1620"/>
        <item m="1" x="1240"/>
        <item m="1" x="1612"/>
        <item m="1" x="532"/>
        <item m="1" x="792"/>
        <item m="1" x="608"/>
        <item m="1" x="541"/>
        <item m="1" x="556"/>
        <item m="1" x="1108"/>
        <item m="1" x="1141"/>
        <item m="1" x="813"/>
        <item m="1" x="1231"/>
        <item m="1" x="1549"/>
        <item m="1" x="900"/>
        <item m="1" x="979"/>
        <item m="1" x="1129"/>
        <item m="1" x="1617"/>
        <item m="1" x="794"/>
        <item m="1" x="806"/>
        <item m="1" x="816"/>
        <item m="1" x="1437"/>
        <item m="1" x="1573"/>
        <item m="1" x="490"/>
        <item m="1" x="1317"/>
        <item m="1" x="1613"/>
        <item m="1" x="714"/>
        <item m="1" x="1029"/>
        <item m="1" x="1650"/>
        <item m="1" x="1556"/>
        <item m="1" x="703"/>
        <item m="1" x="815"/>
        <item m="1" x="902"/>
        <item m="1" x="1227"/>
        <item m="1" x="1424"/>
        <item m="1" x="659"/>
        <item m="1" x="1130"/>
        <item m="1" x="655"/>
        <item m="1" x="624"/>
        <item m="1" x="572"/>
        <item m="1" x="1543"/>
        <item m="1" x="1136"/>
        <item m="1" x="1584"/>
        <item m="1" x="977"/>
        <item m="1" x="1601"/>
        <item m="1" x="1353"/>
        <item m="1" x="642"/>
        <item m="1" x="1457"/>
        <item m="1" x="1471"/>
        <item m="1" x="1131"/>
        <item m="1" x="1506"/>
        <item m="1" x="1344"/>
        <item m="1" x="1209"/>
        <item m="1" x="526"/>
        <item m="1" x="1355"/>
        <item m="1" x="1087"/>
        <item m="1" x="1020"/>
        <item m="1" x="1363"/>
        <item m="1" x="947"/>
        <item m="1" x="581"/>
        <item m="1" x="753"/>
        <item m="1" x="530"/>
        <item m="1" x="879"/>
        <item m="1" x="1257"/>
        <item m="1" x="842"/>
        <item m="1" x="705"/>
        <item m="1" x="920"/>
        <item m="1" x="598"/>
        <item m="1" x="850"/>
        <item m="1" x="721"/>
        <item m="1" x="1072"/>
        <item m="1" x="1659"/>
        <item m="1" x="1113"/>
        <item m="1" x="709"/>
        <item m="1" x="986"/>
        <item m="1" x="692"/>
        <item m="1" x="745"/>
        <item m="1" x="1037"/>
        <item m="1" x="1305"/>
        <item m="1" x="1022"/>
        <item m="1" x="1472"/>
        <item m="1" x="1034"/>
        <item m="1" x="1268"/>
        <item m="1" x="583"/>
        <item m="1" x="1066"/>
        <item m="1" x="706"/>
        <item m="1" x="636"/>
        <item m="1" x="1362"/>
        <item m="1" x="677"/>
        <item m="1" x="1386"/>
        <item m="1" x="578"/>
        <item m="1" x="1203"/>
        <item m="1" x="1210"/>
        <item m="1" x="614"/>
        <item m="1" x="1132"/>
        <item m="1" x="510"/>
        <item m="1" x="1333"/>
        <item m="1" x="1038"/>
        <item m="1" x="1259"/>
        <item m="1" x="1228"/>
        <item m="1" x="1448"/>
        <item m="1" x="1221"/>
        <item m="1" x="799"/>
        <item m="1" x="1300"/>
        <item m="1" x="1434"/>
        <item m="1" x="1124"/>
        <item m="1" x="1256"/>
        <item m="1" x="589"/>
        <item m="1" x="1422"/>
        <item m="1" x="1079"/>
        <item m="1" x="944"/>
        <item m="1" x="1328"/>
        <item m="1" x="854"/>
        <item m="1" x="1177"/>
        <item m="1" x="711"/>
        <item m="1" x="807"/>
        <item m="1" x="1204"/>
        <item m="1" x="973"/>
        <item m="1" x="517"/>
        <item m="1" x="851"/>
        <item m="1" x="1331"/>
        <item m="1" x="1433"/>
        <item m="1" x="536"/>
        <item m="1" x="821"/>
        <item m="1" x="756"/>
        <item m="1" x="1089"/>
        <item m="1" x="1182"/>
        <item m="1" x="622"/>
        <item m="1" x="1604"/>
        <item m="1" x="587"/>
        <item m="1" x="660"/>
        <item m="1" x="1441"/>
        <item m="1" x="949"/>
        <item m="1" x="963"/>
        <item m="1" x="1017"/>
        <item m="1" x="592"/>
        <item m="1" x="871"/>
        <item m="1" x="1266"/>
        <item m="1" x="1178"/>
        <item m="1" x="968"/>
        <item m="1" x="915"/>
        <item m="1" x="545"/>
        <item m="1" x="783"/>
        <item m="1" x="1247"/>
        <item m="1" x="881"/>
        <item m="1" x="1044"/>
        <item m="1" x="981"/>
        <item m="1" x="1163"/>
        <item m="1" x="527"/>
        <item m="1" x="1008"/>
        <item m="1" x="682"/>
        <item m="1" x="1085"/>
        <item m="1" x="1211"/>
        <item m="1" x="1287"/>
        <item m="1" x="1222"/>
        <item m="1" x="1183"/>
        <item m="1" x="1109"/>
        <item m="1" x="1520"/>
        <item m="1" x="1412"/>
        <item m="1" x="663"/>
        <item m="1" x="1404"/>
        <item m="1" x="858"/>
        <item m="1" x="1168"/>
        <item m="1" x="574"/>
        <item m="1" x="1147"/>
        <item m="1" x="1014"/>
        <item m="1" x="1446"/>
        <item m="1" x="600"/>
        <item m="1" x="1657"/>
        <item m="1" x="639"/>
        <item m="1" x="579"/>
        <item m="1" x="1149"/>
        <item m="1" x="1349"/>
        <item m="1" x="1252"/>
        <item m="1" x="538"/>
        <item m="1" x="690"/>
        <item m="1" x="1478"/>
        <item m="1" x="1418"/>
        <item m="1" x="673"/>
        <item m="1" x="646"/>
        <item m="1" x="941"/>
        <item m="1" x="562"/>
        <item m="1" x="1169"/>
        <item m="1" x="602"/>
        <item m="1" x="772"/>
        <item m="1" x="1069"/>
        <item m="1" x="1600"/>
        <item m="1" x="640"/>
        <item m="1" x="910"/>
        <item m="1" x="757"/>
        <item m="1" x="919"/>
        <item m="1" x="1473"/>
        <item m="1" x="1356"/>
        <item m="1" x="818"/>
        <item m="1" x="571"/>
        <item m="1" x="1521"/>
        <item m="1" x="684"/>
        <item m="1" x="1466"/>
        <item m="1" x="1023"/>
        <item m="1" x="1407"/>
        <item m="1" x="766"/>
        <item m="1" x="938"/>
        <item m="1" x="1423"/>
        <item m="1" x="1611"/>
        <item m="1" x="1387"/>
        <item m="1" x="786"/>
        <item m="1" x="729"/>
        <item m="1" x="1432"/>
        <item m="1" x="1196"/>
        <item m="1" x="1040"/>
        <item m="1" x="1464"/>
        <item m="1" x="512"/>
        <item m="1" x="509"/>
        <item m="1" x="1184"/>
        <item m="1" x="1324"/>
        <item m="1" x="1279"/>
        <item m="1" x="1462"/>
        <item m="1" x="987"/>
        <item m="1" x="734"/>
        <item m="1" x="808"/>
        <item m="1" x="1338"/>
        <item m="1" x="890"/>
        <item m="1" x="1120"/>
        <item m="1" x="1535"/>
        <item m="1" x="773"/>
        <item m="1" x="1110"/>
        <item m="1" x="494"/>
        <item m="1" x="823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m="1" x="811"/>
        <item m="1" x="1572"/>
        <item m="1" x="514"/>
        <item m="1" x="479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31">
    <i>
      <x/>
    </i>
    <i r="1">
      <x v="1650"/>
    </i>
    <i r="2">
      <x v="3"/>
    </i>
    <i r="1">
      <x v="1651"/>
    </i>
    <i r="2">
      <x v="4"/>
    </i>
    <i r="1">
      <x v="1652"/>
    </i>
    <i r="2">
      <x v="3"/>
    </i>
    <i r="2">
      <x v="4"/>
    </i>
    <i r="2">
      <x v="8"/>
    </i>
    <i r="1">
      <x v="1653"/>
    </i>
    <i r="2">
      <x v="3"/>
    </i>
    <i r="2">
      <x v="4"/>
    </i>
    <i r="2">
      <x v="8"/>
    </i>
    <i r="2">
      <x v="10"/>
    </i>
    <i r="1">
      <x v="1654"/>
    </i>
    <i r="2">
      <x v="8"/>
    </i>
    <i r="1">
      <x v="1655"/>
    </i>
    <i r="2">
      <x v="8"/>
    </i>
    <i>
      <x v="1"/>
    </i>
    <i r="1">
      <x v="1580"/>
    </i>
    <i r="2">
      <x v="13"/>
    </i>
    <i r="1">
      <x v="1631"/>
    </i>
    <i r="2">
      <x v="13"/>
    </i>
    <i r="1">
      <x v="1643"/>
    </i>
    <i r="2">
      <x v="3"/>
    </i>
    <i r="2">
      <x v="13"/>
    </i>
    <i r="1">
      <x v="1644"/>
    </i>
    <i r="2">
      <x v="12"/>
    </i>
    <i r="1">
      <x v="1649"/>
    </i>
    <i r="2">
      <x v="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94" totalsRowShown="0" totalsRowDxfId="23">
  <autoFilter ref="A1:C1394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5244" totalsRowShown="0">
  <autoFilter ref="A1:S5244" xr:uid="{678037D6-A574-4B81-B392-ED766472D9FE}">
    <filterColumn colId="1">
      <filters>
        <filter val="open"/>
      </filters>
    </filterColumn>
    <filterColumn colId="2">
      <filters>
        <filter val="New"/>
        <filter val="Not for mapping/Invalid"/>
        <filter val="Waiting for MDGF approval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6" totalsRowShown="0">
  <autoFilter ref="A1:B146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32"/>
  <sheetViews>
    <sheetView workbookViewId="0">
      <selection activeCell="A16" sqref="A16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278</v>
      </c>
    </row>
    <row r="5" spans="1:2">
      <c r="A5" s="111" t="s">
        <v>369</v>
      </c>
      <c r="B5" s="150">
        <v>275</v>
      </c>
    </row>
    <row r="6" spans="1:2">
      <c r="A6" s="111" t="s">
        <v>404</v>
      </c>
      <c r="B6" s="150"/>
    </row>
    <row r="7" spans="1:2">
      <c r="A7" s="111" t="s">
        <v>370</v>
      </c>
      <c r="B7" s="150"/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/>
    </row>
    <row r="12" spans="1:2">
      <c r="A12" s="111" t="s">
        <v>405</v>
      </c>
      <c r="B12" s="150">
        <v>1</v>
      </c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305</v>
      </c>
    </row>
    <row r="15" spans="1:2">
      <c r="A15" s="111" t="s">
        <v>369</v>
      </c>
      <c r="B15" s="150">
        <v>256</v>
      </c>
    </row>
    <row r="16" spans="1:2">
      <c r="A16" s="111" t="s">
        <v>404</v>
      </c>
      <c r="B16" s="150">
        <v>2</v>
      </c>
    </row>
    <row r="17" spans="1:2">
      <c r="A17" s="111" t="s">
        <v>370</v>
      </c>
      <c r="B17" s="150">
        <v>45</v>
      </c>
    </row>
    <row r="18" spans="1:2">
      <c r="A18" s="111" t="s">
        <v>377</v>
      </c>
      <c r="B18" s="150">
        <v>2</v>
      </c>
    </row>
    <row r="19" spans="1:2">
      <c r="A19" s="17" t="s">
        <v>569</v>
      </c>
      <c r="B19" s="150">
        <v>221</v>
      </c>
    </row>
    <row r="20" spans="1:2">
      <c r="A20" s="111" t="s">
        <v>369</v>
      </c>
      <c r="B20" s="150">
        <v>216</v>
      </c>
    </row>
    <row r="21" spans="1:2">
      <c r="A21" s="111" t="s">
        <v>377</v>
      </c>
      <c r="B21" s="150">
        <v>2</v>
      </c>
    </row>
    <row r="22" spans="1:2">
      <c r="A22" s="111" t="s">
        <v>692</v>
      </c>
      <c r="B22" s="150">
        <v>3</v>
      </c>
    </row>
    <row r="23" spans="1:2">
      <c r="A23" s="17" t="s">
        <v>570</v>
      </c>
      <c r="B23" s="150">
        <v>307</v>
      </c>
    </row>
    <row r="24" spans="1:2">
      <c r="A24" s="111" t="s">
        <v>369</v>
      </c>
      <c r="B24" s="150">
        <v>297</v>
      </c>
    </row>
    <row r="25" spans="1:2">
      <c r="A25" s="111" t="s">
        <v>377</v>
      </c>
      <c r="B25" s="150">
        <v>9</v>
      </c>
    </row>
    <row r="26" spans="1:2">
      <c r="A26" s="111" t="s">
        <v>692</v>
      </c>
      <c r="B26" s="150">
        <v>1</v>
      </c>
    </row>
    <row r="27" spans="1:2">
      <c r="A27" s="17" t="s">
        <v>6998</v>
      </c>
      <c r="B27" s="150">
        <v>4</v>
      </c>
    </row>
    <row r="28" spans="1:2">
      <c r="A28" s="111" t="s">
        <v>369</v>
      </c>
      <c r="B28" s="150">
        <v>4</v>
      </c>
    </row>
    <row r="29" spans="1:2">
      <c r="A29" s="17" t="s">
        <v>7194</v>
      </c>
      <c r="B29" s="150">
        <v>16</v>
      </c>
    </row>
    <row r="30" spans="1:2">
      <c r="A30" s="111" t="s">
        <v>369</v>
      </c>
      <c r="B30" s="150">
        <v>5</v>
      </c>
    </row>
    <row r="31" spans="1:2">
      <c r="A31" s="111" t="s">
        <v>404</v>
      </c>
      <c r="B31" s="150">
        <v>11</v>
      </c>
    </row>
    <row r="32" spans="1:2">
      <c r="A32" s="17" t="s">
        <v>381</v>
      </c>
      <c r="B32" s="150">
        <v>1131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B8" sqref="B8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89</v>
      </c>
      <c r="C5"/>
      <c r="D5"/>
      <c r="E5"/>
    </row>
    <row r="6" spans="1:6">
      <c r="A6" s="111" t="s">
        <v>7433</v>
      </c>
      <c r="B6" s="150">
        <v>3</v>
      </c>
      <c r="C6" s="126"/>
      <c r="D6" s="124"/>
      <c r="E6" s="124"/>
    </row>
    <row r="7" spans="1:6">
      <c r="A7" s="112" t="s">
        <v>369</v>
      </c>
      <c r="B7" s="150">
        <v>3</v>
      </c>
      <c r="C7"/>
      <c r="D7"/>
      <c r="E7"/>
    </row>
    <row r="8" spans="1:6">
      <c r="A8" s="111" t="s">
        <v>7552</v>
      </c>
      <c r="B8" s="150">
        <v>11</v>
      </c>
      <c r="C8" s="56"/>
      <c r="D8" s="124"/>
      <c r="E8" s="124"/>
    </row>
    <row r="9" spans="1:6">
      <c r="A9" s="112" t="s">
        <v>404</v>
      </c>
      <c r="B9" s="150">
        <v>11</v>
      </c>
      <c r="C9"/>
      <c r="D9"/>
    </row>
    <row r="10" spans="1:6">
      <c r="A10" s="111" t="s">
        <v>7485</v>
      </c>
      <c r="B10" s="150">
        <v>34</v>
      </c>
      <c r="C10" s="53"/>
      <c r="D10" s="124"/>
      <c r="E10" s="124"/>
    </row>
    <row r="11" spans="1:6">
      <c r="A11" s="112" t="s">
        <v>369</v>
      </c>
      <c r="B11" s="150">
        <v>24</v>
      </c>
      <c r="C11"/>
      <c r="D11"/>
    </row>
    <row r="12" spans="1:6">
      <c r="A12" s="112" t="s">
        <v>404</v>
      </c>
      <c r="B12" s="150">
        <v>1</v>
      </c>
      <c r="C12" s="126"/>
      <c r="D12"/>
    </row>
    <row r="13" spans="1:6">
      <c r="A13" s="112" t="s">
        <v>370</v>
      </c>
      <c r="B13" s="150">
        <v>9</v>
      </c>
      <c r="C13"/>
      <c r="D13"/>
    </row>
    <row r="14" spans="1:6">
      <c r="A14" s="111" t="s">
        <v>7467</v>
      </c>
      <c r="B14" s="150">
        <v>16</v>
      </c>
      <c r="C14" s="126"/>
      <c r="D14"/>
    </row>
    <row r="15" spans="1:6">
      <c r="A15" s="112" t="s">
        <v>369</v>
      </c>
      <c r="B15" s="150">
        <v>2</v>
      </c>
      <c r="C15"/>
      <c r="D15" s="124"/>
      <c r="E15" s="124"/>
    </row>
    <row r="16" spans="1:6">
      <c r="A16" s="112" t="s">
        <v>404</v>
      </c>
      <c r="B16" s="150">
        <v>1</v>
      </c>
      <c r="C16"/>
      <c r="D16"/>
    </row>
    <row r="17" spans="1:5">
      <c r="A17" s="112" t="s">
        <v>370</v>
      </c>
      <c r="B17" s="150">
        <v>11</v>
      </c>
      <c r="C17"/>
      <c r="D17" s="124"/>
      <c r="E17" s="124"/>
    </row>
    <row r="18" spans="1:5">
      <c r="A18" s="112" t="s">
        <v>377</v>
      </c>
      <c r="B18" s="150">
        <v>2</v>
      </c>
      <c r="C18" s="126"/>
      <c r="D18"/>
    </row>
    <row r="19" spans="1:5">
      <c r="A19" s="111" t="s">
        <v>7464</v>
      </c>
      <c r="B19" s="150">
        <v>1</v>
      </c>
      <c r="C19" s="47"/>
      <c r="D19"/>
    </row>
    <row r="20" spans="1:5">
      <c r="A20" s="112" t="s">
        <v>370</v>
      </c>
      <c r="B20" s="150">
        <v>1</v>
      </c>
      <c r="C20" s="126"/>
    </row>
    <row r="21" spans="1:5" ht="17.25" customHeight="1">
      <c r="A21" s="111" t="s">
        <v>7434</v>
      </c>
      <c r="B21" s="150">
        <v>24</v>
      </c>
    </row>
    <row r="22" spans="1:5">
      <c r="A22" s="112" t="s">
        <v>370</v>
      </c>
      <c r="B22" s="150">
        <v>24</v>
      </c>
    </row>
    <row r="23" spans="1:5">
      <c r="A23" s="17" t="s">
        <v>4326</v>
      </c>
      <c r="B23" s="150">
        <v>25</v>
      </c>
    </row>
    <row r="24" spans="1:5">
      <c r="A24" s="111" t="s">
        <v>6639</v>
      </c>
      <c r="B24" s="150">
        <v>2</v>
      </c>
    </row>
    <row r="25" spans="1:5">
      <c r="A25" s="112" t="s">
        <v>692</v>
      </c>
      <c r="B25" s="150">
        <v>2</v>
      </c>
      <c r="D25" s="124"/>
      <c r="E25" s="124"/>
    </row>
    <row r="26" spans="1:5">
      <c r="A26" s="111" t="s">
        <v>7343</v>
      </c>
      <c r="B26" s="150">
        <v>1</v>
      </c>
      <c r="C26" s="126"/>
    </row>
    <row r="27" spans="1:5">
      <c r="A27" s="112" t="s">
        <v>692</v>
      </c>
      <c r="B27" s="150">
        <v>1</v>
      </c>
    </row>
    <row r="28" spans="1:5">
      <c r="A28" s="111" t="s">
        <v>7364</v>
      </c>
      <c r="B28" s="150">
        <v>5</v>
      </c>
    </row>
    <row r="29" spans="1:5">
      <c r="A29" s="112" t="s">
        <v>369</v>
      </c>
      <c r="B29" s="150">
        <v>4</v>
      </c>
    </row>
    <row r="30" spans="1:5">
      <c r="A30" s="112" t="s">
        <v>692</v>
      </c>
      <c r="B30" s="150">
        <v>1</v>
      </c>
    </row>
    <row r="31" spans="1:5">
      <c r="A31" s="111" t="s">
        <v>7376</v>
      </c>
      <c r="B31" s="150">
        <v>1</v>
      </c>
      <c r="C31" s="30"/>
    </row>
    <row r="32" spans="1:5">
      <c r="A32" s="112" t="s">
        <v>405</v>
      </c>
      <c r="B32" s="150">
        <v>1</v>
      </c>
      <c r="C32" s="30"/>
    </row>
    <row r="33" spans="1:3">
      <c r="A33" s="111" t="s">
        <v>7410</v>
      </c>
      <c r="B33" s="150">
        <v>16</v>
      </c>
      <c r="C33" s="30"/>
    </row>
    <row r="34" spans="1:3">
      <c r="A34" s="112" t="s">
        <v>369</v>
      </c>
      <c r="B34" s="150">
        <v>16</v>
      </c>
      <c r="C34" s="30"/>
    </row>
    <row r="35" spans="1:3">
      <c r="A35" s="17" t="s">
        <v>381</v>
      </c>
      <c r="B35" s="150">
        <v>114</v>
      </c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94"/>
  <sheetViews>
    <sheetView topLeftCell="A1344" workbookViewId="0">
      <selection activeCell="C1394" sqref="C1390:C1394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  <row r="1366" spans="1:3">
      <c r="A1366" t="s">
        <v>6934</v>
      </c>
      <c r="B1366">
        <v>24</v>
      </c>
      <c r="C1366" s="149" t="s">
        <v>4</v>
      </c>
    </row>
    <row r="1367" spans="1:3">
      <c r="A1367" t="s">
        <v>6968</v>
      </c>
      <c r="B1367">
        <v>3</v>
      </c>
      <c r="C1367" s="149" t="s">
        <v>4</v>
      </c>
    </row>
    <row r="1368" spans="1:3">
      <c r="A1368" t="s">
        <v>6975</v>
      </c>
      <c r="B1368">
        <v>6</v>
      </c>
      <c r="C1368" s="149" t="s">
        <v>4</v>
      </c>
    </row>
    <row r="1369" spans="1:3">
      <c r="A1369" t="s">
        <v>6991</v>
      </c>
      <c r="B1369">
        <v>5</v>
      </c>
      <c r="C1369" s="149" t="s">
        <v>4</v>
      </c>
    </row>
    <row r="1370" spans="1:3">
      <c r="A1370" t="s">
        <v>7192</v>
      </c>
      <c r="B1370">
        <v>5</v>
      </c>
      <c r="C1370" s="149" t="s">
        <v>4</v>
      </c>
    </row>
    <row r="1371" spans="1:3">
      <c r="A1371" t="s">
        <v>6784</v>
      </c>
      <c r="B1371">
        <v>1</v>
      </c>
      <c r="C1371" s="149" t="s">
        <v>4</v>
      </c>
    </row>
    <row r="1372" spans="1:3">
      <c r="A1372" t="s">
        <v>6974</v>
      </c>
      <c r="B1372">
        <v>25</v>
      </c>
      <c r="C1372" s="149" t="s">
        <v>4</v>
      </c>
    </row>
    <row r="1373" spans="1:3">
      <c r="A1373" t="s">
        <v>6984</v>
      </c>
      <c r="B1373">
        <v>4</v>
      </c>
      <c r="C1373" s="149" t="s">
        <v>4</v>
      </c>
    </row>
    <row r="1374" spans="1:3">
      <c r="A1374" t="s">
        <v>6999</v>
      </c>
      <c r="B1374">
        <v>1</v>
      </c>
      <c r="C1374" s="149" t="s">
        <v>4</v>
      </c>
    </row>
    <row r="1375" spans="1:3">
      <c r="A1375" t="s">
        <v>7195</v>
      </c>
      <c r="B1375">
        <v>23</v>
      </c>
      <c r="C1375" s="149" t="s">
        <v>4</v>
      </c>
    </row>
    <row r="1376" spans="1:3">
      <c r="A1376" t="s">
        <v>7247</v>
      </c>
      <c r="B1376">
        <v>3</v>
      </c>
      <c r="C1376" s="149" t="s">
        <v>4</v>
      </c>
    </row>
    <row r="1377" spans="1:3">
      <c r="A1377" t="s">
        <v>7279</v>
      </c>
      <c r="B1377">
        <v>1</v>
      </c>
      <c r="C1377" s="149" t="s">
        <v>4</v>
      </c>
    </row>
    <row r="1378" spans="1:3">
      <c r="A1378" t="s">
        <v>7301</v>
      </c>
      <c r="B1378">
        <v>10</v>
      </c>
      <c r="C1378" s="149" t="s">
        <v>4</v>
      </c>
    </row>
    <row r="1379" spans="1:3">
      <c r="A1379" t="s">
        <v>7285</v>
      </c>
      <c r="B1379">
        <v>10</v>
      </c>
      <c r="C1379" s="149" t="s">
        <v>4</v>
      </c>
    </row>
    <row r="1380" spans="1:3">
      <c r="A1380" t="s">
        <v>7001</v>
      </c>
      <c r="B1380">
        <v>34</v>
      </c>
      <c r="C1380" s="149" t="s">
        <v>4</v>
      </c>
    </row>
    <row r="1381" spans="1:3">
      <c r="A1381" t="s">
        <v>7039</v>
      </c>
      <c r="B1381">
        <v>145</v>
      </c>
      <c r="C1381" s="149" t="s">
        <v>4</v>
      </c>
    </row>
    <row r="1382" spans="1:3">
      <c r="A1382" t="s">
        <v>7221</v>
      </c>
      <c r="B1382">
        <v>11</v>
      </c>
      <c r="C1382" s="149" t="s">
        <v>4</v>
      </c>
    </row>
    <row r="1383" spans="1:3">
      <c r="A1383" t="s">
        <v>7258</v>
      </c>
      <c r="B1383">
        <v>12</v>
      </c>
      <c r="C1383" s="149" t="s">
        <v>4</v>
      </c>
    </row>
    <row r="1384" spans="1:3">
      <c r="A1384" t="s">
        <v>7252</v>
      </c>
      <c r="B1384">
        <v>6</v>
      </c>
      <c r="C1384" s="149" t="s">
        <v>4</v>
      </c>
    </row>
    <row r="1385" spans="1:3">
      <c r="A1385" t="s">
        <v>7273</v>
      </c>
      <c r="B1385">
        <v>5</v>
      </c>
      <c r="C1385" s="149" t="s">
        <v>4</v>
      </c>
    </row>
    <row r="1386" spans="1:3">
      <c r="A1386" t="s">
        <v>7303</v>
      </c>
      <c r="B1386">
        <v>2</v>
      </c>
      <c r="C1386" s="149" t="s">
        <v>4</v>
      </c>
    </row>
    <row r="1387" spans="1:3">
      <c r="A1387" t="s">
        <v>7304</v>
      </c>
      <c r="B1387">
        <v>26</v>
      </c>
      <c r="C1387" s="149" t="s">
        <v>4</v>
      </c>
    </row>
    <row r="1388" spans="1:3">
      <c r="A1388" t="s">
        <v>7283</v>
      </c>
      <c r="B1388">
        <v>1</v>
      </c>
      <c r="C1388" s="149" t="s">
        <v>4</v>
      </c>
    </row>
    <row r="1389" spans="1:3">
      <c r="A1389" t="s">
        <v>7352</v>
      </c>
      <c r="B1389">
        <v>5</v>
      </c>
      <c r="C1389" s="149" t="s">
        <v>4</v>
      </c>
    </row>
    <row r="1390" spans="1:3">
      <c r="A1390" t="s">
        <v>7353</v>
      </c>
      <c r="B1390">
        <v>8</v>
      </c>
      <c r="C1390" s="149" t="s">
        <v>4</v>
      </c>
    </row>
    <row r="1391" spans="1:3">
      <c r="A1391" t="s">
        <v>7399</v>
      </c>
      <c r="B1391">
        <v>4</v>
      </c>
      <c r="C1391" s="149" t="s">
        <v>4</v>
      </c>
    </row>
    <row r="1392" spans="1:3">
      <c r="A1392" t="s">
        <v>7384</v>
      </c>
      <c r="B1392">
        <v>7</v>
      </c>
      <c r="C1392" s="149" t="s">
        <v>4</v>
      </c>
    </row>
    <row r="1393" spans="1:3">
      <c r="A1393" t="s">
        <v>7381</v>
      </c>
      <c r="B1393">
        <v>4</v>
      </c>
      <c r="C1393" s="149" t="s">
        <v>4</v>
      </c>
    </row>
    <row r="1394" spans="1:3">
      <c r="A1394" t="s">
        <v>7371</v>
      </c>
      <c r="B1394">
        <v>6</v>
      </c>
      <c r="C1394" s="149" t="s">
        <v>4</v>
      </c>
    </row>
  </sheetData>
  <conditionalFormatting sqref="A2:A545 A548:A568 A570:A1036 A1038:A1232 A1238:A1272 A1274:A1283 A1286:A1291 A1293:A1048576">
    <cfRule type="duplicateValues" dxfId="26" priority="4"/>
  </conditionalFormatting>
  <conditionalFormatting sqref="A1284">
    <cfRule type="duplicateValues" dxfId="25" priority="2"/>
  </conditionalFormatting>
  <conditionalFormatting sqref="A1292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5244"/>
  <sheetViews>
    <sheetView tabSelected="1" zoomScale="105" zoomScaleNormal="105" workbookViewId="0">
      <selection activeCell="D5244" sqref="D5244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273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248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248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248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248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248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248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248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248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248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248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248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244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241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241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241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241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241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241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241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241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241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241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241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241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241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241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241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241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241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241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241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241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241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241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241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241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241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241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241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241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241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241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241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241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241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241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241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241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241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241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241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241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241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240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240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240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240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240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240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240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240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240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240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240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240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240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240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240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240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240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240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240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240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240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240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240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240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240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240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240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240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240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240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240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240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240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240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240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240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240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240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240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240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240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240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240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240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240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240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240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240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240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240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240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240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240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240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240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240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240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240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240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239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239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239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239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239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238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238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236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236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235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232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232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232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232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232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232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232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232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232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232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232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232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232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232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232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232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232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232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232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232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232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231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231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231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231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231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226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226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226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221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221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221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221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221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221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221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221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221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221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221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221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221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221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221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221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221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221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217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217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217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212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211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211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211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211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211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211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211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211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211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211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211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211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197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197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196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196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196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186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171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171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171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171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171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171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171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171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171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171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171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171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171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171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171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171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171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171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171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171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168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168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168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168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167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167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167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167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167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167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167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167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167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167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167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167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167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167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167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167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167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167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167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167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167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167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167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167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167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167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167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167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167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167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166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166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166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166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166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166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166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166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166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166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166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166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166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166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166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166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166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166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162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162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162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162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162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162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162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162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162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162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162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162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162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162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162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162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162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162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162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162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162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162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162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162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162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162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162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162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162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162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162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162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162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162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162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162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162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162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162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162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162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162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162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162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162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162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162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162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162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162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162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162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162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162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162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162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162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162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162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162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162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162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162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162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162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162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162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162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162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162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162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162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162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162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162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162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162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162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162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162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162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162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162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162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162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162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162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162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162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162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162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162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156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156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151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151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146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146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146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146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146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146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146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146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146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146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146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146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146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146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146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146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146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146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146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146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146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146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146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146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146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146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146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146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146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146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146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146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146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146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146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146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146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146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146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146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146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146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146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146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146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146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146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146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146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146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146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146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146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146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146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146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146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146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146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146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146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146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146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146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146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146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146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146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146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146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146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146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146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146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146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146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146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146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146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146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146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146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146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146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146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146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146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146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146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146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146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146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146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146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146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146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146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146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146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146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146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146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146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146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146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143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143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143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143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144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141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141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136</v>
      </c>
      <c r="R2488" s="110" t="s">
        <v>1459</v>
      </c>
      <c r="S2488" s="94"/>
    </row>
    <row r="2489" spans="1:19" hidden="1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136</v>
      </c>
      <c r="R2489" s="110" t="s">
        <v>1459</v>
      </c>
      <c r="S2489" s="94"/>
    </row>
    <row r="2490" spans="1:19" hidden="1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136</v>
      </c>
      <c r="R2490" s="110" t="s">
        <v>1459</v>
      </c>
      <c r="S2490" s="94"/>
    </row>
    <row r="2491" spans="1:19" hidden="1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136</v>
      </c>
      <c r="R2491" s="110" t="s">
        <v>1459</v>
      </c>
      <c r="S2491" s="94"/>
    </row>
    <row r="2492" spans="1:19" hidden="1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136</v>
      </c>
      <c r="R2492" s="110" t="s">
        <v>1459</v>
      </c>
      <c r="S2492" s="94"/>
    </row>
    <row r="2493" spans="1:19" hidden="1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136</v>
      </c>
      <c r="R2493" s="110" t="s">
        <v>1459</v>
      </c>
      <c r="S2493" s="94"/>
    </row>
    <row r="2494" spans="1:19" hidden="1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136</v>
      </c>
      <c r="R2494" s="110" t="s">
        <v>1459</v>
      </c>
      <c r="S2494" s="94"/>
    </row>
    <row r="2495" spans="1:19" hidden="1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136</v>
      </c>
      <c r="R2495" s="110" t="s">
        <v>1459</v>
      </c>
      <c r="S2495" s="94"/>
    </row>
    <row r="2496" spans="1:19" hidden="1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136</v>
      </c>
      <c r="R2496" s="110" t="s">
        <v>1459</v>
      </c>
      <c r="S2496" s="94"/>
    </row>
    <row r="2497" spans="1:19" hidden="1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136</v>
      </c>
      <c r="R2497" s="110" t="s">
        <v>1459</v>
      </c>
      <c r="S2497" s="94"/>
    </row>
    <row r="2498" spans="1:19" hidden="1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136</v>
      </c>
      <c r="R2498" s="110" t="s">
        <v>1459</v>
      </c>
      <c r="S2498" s="94"/>
    </row>
    <row r="2499" spans="1:19" hidden="1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 hidden="1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134</v>
      </c>
      <c r="R2500" s="110" t="s">
        <v>489</v>
      </c>
      <c r="S2500" s="94"/>
    </row>
    <row r="2501" spans="1:19" hidden="1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134</v>
      </c>
      <c r="R2501" s="110" t="s">
        <v>489</v>
      </c>
      <c r="S2501" s="94"/>
    </row>
    <row r="2502" spans="1:19" hidden="1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134</v>
      </c>
      <c r="R2502" s="110" t="s">
        <v>485</v>
      </c>
      <c r="S2502" s="94"/>
    </row>
    <row r="2503" spans="1:19" hidden="1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134</v>
      </c>
      <c r="R2503" s="110" t="s">
        <v>485</v>
      </c>
      <c r="S2503" s="94"/>
    </row>
    <row r="2504" spans="1:19" hidden="1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134</v>
      </c>
      <c r="R2504" s="110" t="s">
        <v>485</v>
      </c>
      <c r="S2504" s="94"/>
    </row>
    <row r="2505" spans="1:19" hidden="1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134</v>
      </c>
      <c r="R2505" s="110" t="s">
        <v>485</v>
      </c>
      <c r="S2505" s="94"/>
    </row>
    <row r="2506" spans="1:19" hidden="1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134</v>
      </c>
      <c r="R2506" s="110" t="s">
        <v>485</v>
      </c>
      <c r="S2506" s="94"/>
    </row>
    <row r="2507" spans="1:19" hidden="1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134</v>
      </c>
      <c r="R2507" s="110" t="s">
        <v>485</v>
      </c>
      <c r="S2507" s="94"/>
    </row>
    <row r="2508" spans="1:19" hidden="1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134</v>
      </c>
      <c r="R2508" s="110" t="s">
        <v>485</v>
      </c>
      <c r="S2508" s="94"/>
    </row>
    <row r="2509" spans="1:19" hidden="1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134</v>
      </c>
      <c r="R2509" s="110" t="s">
        <v>485</v>
      </c>
      <c r="S2509" s="94"/>
    </row>
    <row r="2510" spans="1:19" hidden="1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134</v>
      </c>
      <c r="R2510" s="110" t="s">
        <v>485</v>
      </c>
      <c r="S2510" s="94"/>
    </row>
    <row r="2511" spans="1:19" hidden="1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134</v>
      </c>
      <c r="R2511" s="110" t="s">
        <v>485</v>
      </c>
      <c r="S2511" s="94"/>
    </row>
    <row r="2512" spans="1:19" hidden="1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134</v>
      </c>
      <c r="R2512" s="110" t="s">
        <v>485</v>
      </c>
      <c r="S2512" s="94"/>
    </row>
    <row r="2513" spans="1:19" hidden="1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134</v>
      </c>
      <c r="R2513" s="110" t="s">
        <v>485</v>
      </c>
      <c r="S2513" s="94"/>
    </row>
    <row r="2514" spans="1:19" hidden="1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134</v>
      </c>
      <c r="R2514" s="110" t="s">
        <v>485</v>
      </c>
      <c r="S2514" s="94"/>
    </row>
    <row r="2515" spans="1:19" hidden="1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134</v>
      </c>
      <c r="R2515" s="110" t="s">
        <v>485</v>
      </c>
      <c r="S2515" s="94"/>
    </row>
    <row r="2516" spans="1:19" hidden="1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134</v>
      </c>
      <c r="R2516" s="110" t="s">
        <v>485</v>
      </c>
      <c r="S2516" s="94"/>
    </row>
    <row r="2517" spans="1:19" hidden="1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134</v>
      </c>
      <c r="R2517" s="110" t="s">
        <v>485</v>
      </c>
      <c r="S2517" s="94"/>
    </row>
    <row r="2518" spans="1:19" hidden="1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134</v>
      </c>
      <c r="R2518" s="110" t="s">
        <v>485</v>
      </c>
      <c r="S2518" s="94"/>
    </row>
    <row r="2519" spans="1:19" hidden="1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134</v>
      </c>
      <c r="R2519" s="110" t="s">
        <v>485</v>
      </c>
      <c r="S2519" s="94"/>
    </row>
    <row r="2520" spans="1:19" hidden="1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134</v>
      </c>
      <c r="R2520" s="110" t="s">
        <v>485</v>
      </c>
      <c r="S2520" s="94"/>
    </row>
    <row r="2521" spans="1:19" hidden="1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134</v>
      </c>
      <c r="R2521" s="110" t="s">
        <v>485</v>
      </c>
      <c r="S2521" s="94"/>
    </row>
    <row r="2522" spans="1:19" hidden="1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134</v>
      </c>
      <c r="R2522" s="110" t="s">
        <v>485</v>
      </c>
      <c r="S2522" s="94"/>
    </row>
    <row r="2523" spans="1:19" hidden="1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134</v>
      </c>
      <c r="R2523" s="110" t="s">
        <v>485</v>
      </c>
      <c r="S2523" s="94"/>
    </row>
    <row r="2524" spans="1:19" hidden="1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134</v>
      </c>
      <c r="R2524" s="110" t="s">
        <v>485</v>
      </c>
      <c r="S2524" s="94"/>
    </row>
    <row r="2525" spans="1:19" hidden="1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134</v>
      </c>
      <c r="R2525" s="110" t="s">
        <v>485</v>
      </c>
      <c r="S2525" s="94"/>
    </row>
    <row r="2526" spans="1:19" hidden="1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134</v>
      </c>
      <c r="R2526" s="110" t="s">
        <v>485</v>
      </c>
      <c r="S2526" s="94"/>
    </row>
    <row r="2527" spans="1:19" hidden="1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134</v>
      </c>
      <c r="R2527" s="110" t="s">
        <v>485</v>
      </c>
      <c r="S2527" s="94"/>
    </row>
    <row r="2528" spans="1:19" hidden="1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134</v>
      </c>
      <c r="R2528" s="110" t="s">
        <v>485</v>
      </c>
      <c r="S2528" s="94"/>
    </row>
    <row r="2529" spans="1:19" hidden="1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134</v>
      </c>
      <c r="R2529" s="110" t="s">
        <v>485</v>
      </c>
      <c r="S2529" s="94"/>
    </row>
    <row r="2530" spans="1:19" hidden="1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134</v>
      </c>
      <c r="R2530" s="110" t="s">
        <v>485</v>
      </c>
      <c r="S2530" s="94"/>
    </row>
    <row r="2531" spans="1:19" hidden="1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134</v>
      </c>
      <c r="R2531" s="110" t="s">
        <v>485</v>
      </c>
      <c r="S2531" s="94"/>
    </row>
    <row r="2532" spans="1:19" hidden="1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134</v>
      </c>
      <c r="R2532" s="110" t="s">
        <v>485</v>
      </c>
      <c r="S2532" s="94"/>
    </row>
    <row r="2533" spans="1:19" hidden="1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134</v>
      </c>
      <c r="R2533" s="110" t="s">
        <v>485</v>
      </c>
      <c r="S2533" s="94"/>
    </row>
    <row r="2534" spans="1:19" hidden="1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134</v>
      </c>
      <c r="R2534" s="110" t="s">
        <v>485</v>
      </c>
      <c r="S2534" s="94"/>
    </row>
    <row r="2535" spans="1:19" hidden="1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134</v>
      </c>
      <c r="R2535" s="110" t="s">
        <v>485</v>
      </c>
      <c r="S2535" s="94"/>
    </row>
    <row r="2536" spans="1:19" hidden="1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134</v>
      </c>
      <c r="R2536" s="110" t="s">
        <v>485</v>
      </c>
      <c r="S2536" s="94"/>
    </row>
    <row r="2537" spans="1:19" hidden="1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134</v>
      </c>
      <c r="R2537" s="110" t="s">
        <v>485</v>
      </c>
      <c r="S2537" s="94"/>
    </row>
    <row r="2538" spans="1:19" hidden="1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134</v>
      </c>
      <c r="R2538" s="110" t="s">
        <v>485</v>
      </c>
      <c r="S2538" s="94"/>
    </row>
    <row r="2539" spans="1:19" hidden="1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134</v>
      </c>
      <c r="R2539" s="110" t="s">
        <v>485</v>
      </c>
      <c r="S2539" s="94"/>
    </row>
    <row r="2540" spans="1:19" hidden="1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134</v>
      </c>
      <c r="R2540" s="110" t="s">
        <v>485</v>
      </c>
      <c r="S2540" s="94"/>
    </row>
    <row r="2541" spans="1:19" hidden="1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134</v>
      </c>
      <c r="R2541" s="110" t="s">
        <v>485</v>
      </c>
      <c r="S2541" s="94"/>
    </row>
    <row r="2542" spans="1:19" hidden="1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134</v>
      </c>
      <c r="R2542" s="110" t="s">
        <v>485</v>
      </c>
      <c r="S2542" s="94"/>
    </row>
    <row r="2543" spans="1:19" hidden="1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134</v>
      </c>
      <c r="R2543" s="110" t="s">
        <v>485</v>
      </c>
      <c r="S2543" s="94"/>
    </row>
    <row r="2544" spans="1:19" hidden="1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134</v>
      </c>
      <c r="R2544" s="110" t="s">
        <v>485</v>
      </c>
      <c r="S2544" s="94"/>
    </row>
    <row r="2545" spans="1:19" hidden="1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134</v>
      </c>
      <c r="R2545" s="110" t="s">
        <v>485</v>
      </c>
      <c r="S2545" s="94"/>
    </row>
    <row r="2546" spans="1:19" hidden="1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134</v>
      </c>
      <c r="R2546" s="110" t="s">
        <v>485</v>
      </c>
      <c r="S2546" s="94"/>
    </row>
    <row r="2547" spans="1:19" hidden="1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134</v>
      </c>
      <c r="R2547" s="110" t="s">
        <v>485</v>
      </c>
      <c r="S2547" s="94"/>
    </row>
    <row r="2548" spans="1:19" hidden="1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134</v>
      </c>
      <c r="R2548" s="110" t="s">
        <v>485</v>
      </c>
      <c r="S2548" s="94"/>
    </row>
    <row r="2549" spans="1:19" hidden="1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134</v>
      </c>
      <c r="R2549" s="110" t="s">
        <v>485</v>
      </c>
      <c r="S2549" s="94"/>
    </row>
    <row r="2550" spans="1:19" hidden="1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134</v>
      </c>
      <c r="R2550" s="110" t="s">
        <v>485</v>
      </c>
      <c r="S2550" s="94"/>
    </row>
    <row r="2551" spans="1:19" hidden="1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134</v>
      </c>
      <c r="R2551" s="110" t="s">
        <v>485</v>
      </c>
      <c r="S2551" s="94"/>
    </row>
    <row r="2552" spans="1:19" hidden="1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134</v>
      </c>
      <c r="R2552" s="110" t="s">
        <v>485</v>
      </c>
      <c r="S2552" s="94"/>
    </row>
    <row r="2553" spans="1:19" hidden="1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134</v>
      </c>
      <c r="R2553" s="110" t="s">
        <v>485</v>
      </c>
      <c r="S2553" s="94"/>
    </row>
    <row r="2554" spans="1:19" hidden="1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134</v>
      </c>
      <c r="R2554" s="110" t="s">
        <v>485</v>
      </c>
      <c r="S2554" s="94"/>
    </row>
    <row r="2555" spans="1:19" hidden="1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134</v>
      </c>
      <c r="R2555" s="110" t="s">
        <v>485</v>
      </c>
      <c r="S2555" s="94"/>
    </row>
    <row r="2556" spans="1:19" hidden="1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134</v>
      </c>
      <c r="R2556" s="110" t="s">
        <v>485</v>
      </c>
      <c r="S2556" s="94"/>
    </row>
    <row r="2557" spans="1:19" hidden="1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134</v>
      </c>
      <c r="R2557" s="110" t="s">
        <v>485</v>
      </c>
      <c r="S2557" s="94"/>
    </row>
    <row r="2558" spans="1:19" hidden="1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134</v>
      </c>
      <c r="R2558" s="110" t="s">
        <v>485</v>
      </c>
      <c r="S2558" s="94"/>
    </row>
    <row r="2559" spans="1:19" hidden="1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134</v>
      </c>
      <c r="R2559" s="110" t="s">
        <v>485</v>
      </c>
      <c r="S2559" s="94"/>
    </row>
    <row r="2560" spans="1:19" hidden="1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134</v>
      </c>
      <c r="R2560" s="110" t="s">
        <v>485</v>
      </c>
      <c r="S2560" s="94"/>
    </row>
    <row r="2561" spans="1:19" hidden="1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134</v>
      </c>
      <c r="R2561" s="110" t="s">
        <v>485</v>
      </c>
      <c r="S2561" s="94"/>
    </row>
    <row r="2562" spans="1:19" hidden="1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134</v>
      </c>
      <c r="R2562" s="110" t="s">
        <v>485</v>
      </c>
      <c r="S2562" s="94"/>
    </row>
    <row r="2563" spans="1:19" hidden="1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134</v>
      </c>
      <c r="R2563" s="110" t="s">
        <v>485</v>
      </c>
      <c r="S2563" s="94"/>
    </row>
    <row r="2564" spans="1:19" hidden="1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134</v>
      </c>
      <c r="R2564" s="110" t="s">
        <v>485</v>
      </c>
      <c r="S2564" s="94"/>
    </row>
    <row r="2565" spans="1:19" hidden="1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134</v>
      </c>
      <c r="R2565" s="110" t="s">
        <v>485</v>
      </c>
      <c r="S2565" s="94"/>
    </row>
    <row r="2566" spans="1:19" hidden="1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134</v>
      </c>
      <c r="R2566" s="110" t="s">
        <v>485</v>
      </c>
      <c r="S2566" s="94"/>
    </row>
    <row r="2567" spans="1:19" hidden="1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134</v>
      </c>
      <c r="R2567" s="110" t="s">
        <v>485</v>
      </c>
      <c r="S2567" s="94"/>
    </row>
    <row r="2568" spans="1:19" hidden="1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134</v>
      </c>
      <c r="R2568" s="110" t="s">
        <v>485</v>
      </c>
      <c r="S2568" s="94"/>
    </row>
    <row r="2569" spans="1:19" hidden="1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134</v>
      </c>
      <c r="R2569" s="110" t="s">
        <v>485</v>
      </c>
      <c r="S2569" s="94"/>
    </row>
    <row r="2570" spans="1:19" hidden="1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134</v>
      </c>
      <c r="R2570" s="110" t="s">
        <v>485</v>
      </c>
      <c r="S2570" s="94"/>
    </row>
    <row r="2571" spans="1:19" hidden="1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134</v>
      </c>
      <c r="R2571" s="110" t="s">
        <v>485</v>
      </c>
      <c r="S2571" s="94"/>
    </row>
    <row r="2572" spans="1:19" hidden="1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134</v>
      </c>
      <c r="R2572" s="110" t="s">
        <v>485</v>
      </c>
      <c r="S2572" s="94"/>
    </row>
    <row r="2573" spans="1:19" hidden="1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134</v>
      </c>
      <c r="R2573" s="110" t="s">
        <v>485</v>
      </c>
      <c r="S2573" s="94"/>
    </row>
    <row r="2574" spans="1:19" hidden="1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134</v>
      </c>
      <c r="R2574" s="110" t="s">
        <v>485</v>
      </c>
      <c r="S2574" s="94"/>
    </row>
    <row r="2575" spans="1:19" hidden="1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134</v>
      </c>
      <c r="R2575" s="110" t="s">
        <v>485</v>
      </c>
      <c r="S2575" s="94"/>
    </row>
    <row r="2576" spans="1:19" hidden="1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134</v>
      </c>
      <c r="R2576" s="110" t="s">
        <v>485</v>
      </c>
      <c r="S2576" s="94"/>
    </row>
    <row r="2577" spans="1:19" hidden="1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134</v>
      </c>
      <c r="R2577" s="110" t="s">
        <v>485</v>
      </c>
      <c r="S2577" s="94"/>
    </row>
    <row r="2578" spans="1:19" hidden="1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134</v>
      </c>
      <c r="R2578" s="110" t="s">
        <v>485</v>
      </c>
      <c r="S2578" s="94"/>
    </row>
    <row r="2579" spans="1:19" hidden="1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134</v>
      </c>
      <c r="R2579" s="110" t="s">
        <v>485</v>
      </c>
      <c r="S2579" s="94"/>
    </row>
    <row r="2580" spans="1:19" hidden="1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134</v>
      </c>
      <c r="R2580" s="110" t="s">
        <v>485</v>
      </c>
      <c r="S2580" s="94"/>
    </row>
    <row r="2581" spans="1:19" hidden="1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134</v>
      </c>
      <c r="R2581" s="110" t="s">
        <v>485</v>
      </c>
      <c r="S2581" s="94"/>
    </row>
    <row r="2582" spans="1:19" hidden="1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134</v>
      </c>
      <c r="R2582" s="110" t="s">
        <v>485</v>
      </c>
      <c r="S2582" s="94"/>
    </row>
    <row r="2583" spans="1:19" hidden="1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134</v>
      </c>
      <c r="R2583" s="110" t="s">
        <v>485</v>
      </c>
      <c r="S2583" s="94"/>
    </row>
    <row r="2584" spans="1:19" hidden="1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134</v>
      </c>
      <c r="R2584" s="110" t="s">
        <v>485</v>
      </c>
      <c r="S2584" s="94"/>
    </row>
    <row r="2585" spans="1:19" hidden="1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134</v>
      </c>
      <c r="R2585" s="110" t="s">
        <v>485</v>
      </c>
      <c r="S2585" s="94"/>
    </row>
    <row r="2586" spans="1:19" hidden="1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134</v>
      </c>
      <c r="R2586" s="110" t="s">
        <v>485</v>
      </c>
      <c r="S2586" s="94"/>
    </row>
    <row r="2587" spans="1:19" hidden="1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134</v>
      </c>
      <c r="R2587" s="110" t="s">
        <v>485</v>
      </c>
      <c r="S2587" s="94"/>
    </row>
    <row r="2588" spans="1:19" hidden="1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134</v>
      </c>
      <c r="R2588" s="110" t="s">
        <v>485</v>
      </c>
      <c r="S2588" s="94"/>
    </row>
    <row r="2589" spans="1:19" hidden="1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134</v>
      </c>
      <c r="R2589" s="110" t="s">
        <v>485</v>
      </c>
      <c r="S2589" s="94"/>
    </row>
    <row r="2590" spans="1:19" hidden="1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134</v>
      </c>
      <c r="R2590" s="110" t="s">
        <v>485</v>
      </c>
      <c r="S2590" s="94"/>
    </row>
    <row r="2591" spans="1:19" hidden="1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134</v>
      </c>
      <c r="R2591" s="110" t="s">
        <v>485</v>
      </c>
      <c r="S2591" s="94"/>
    </row>
    <row r="2592" spans="1:19" hidden="1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134</v>
      </c>
      <c r="R2592" s="110" t="s">
        <v>485</v>
      </c>
      <c r="S2592" s="94"/>
    </row>
    <row r="2593" spans="1:19" hidden="1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134</v>
      </c>
      <c r="R2593" s="110" t="s">
        <v>485</v>
      </c>
      <c r="S2593" s="94"/>
    </row>
    <row r="2594" spans="1:19" hidden="1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134</v>
      </c>
      <c r="R2594" s="110" t="s">
        <v>485</v>
      </c>
      <c r="S2594" s="94"/>
    </row>
    <row r="2595" spans="1:19" hidden="1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134</v>
      </c>
      <c r="R2595" s="110" t="s">
        <v>485</v>
      </c>
      <c r="S2595" s="94"/>
    </row>
    <row r="2596" spans="1:19" hidden="1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134</v>
      </c>
      <c r="R2596" s="110" t="s">
        <v>485</v>
      </c>
      <c r="S2596" s="94"/>
    </row>
    <row r="2597" spans="1:19" hidden="1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134</v>
      </c>
      <c r="R2597" s="110" t="s">
        <v>485</v>
      </c>
      <c r="S2597" s="94"/>
    </row>
    <row r="2598" spans="1:19" hidden="1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134</v>
      </c>
      <c r="R2598" s="110" t="s">
        <v>485</v>
      </c>
      <c r="S2598" s="94"/>
    </row>
    <row r="2599" spans="1:19" hidden="1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134</v>
      </c>
      <c r="R2599" s="110" t="s">
        <v>485</v>
      </c>
      <c r="S2599" s="94"/>
    </row>
    <row r="2600" spans="1:19" hidden="1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134</v>
      </c>
      <c r="R2600" s="110" t="s">
        <v>485</v>
      </c>
      <c r="S2600" s="94"/>
    </row>
    <row r="2601" spans="1:19" hidden="1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134</v>
      </c>
      <c r="R2601" s="110" t="s">
        <v>485</v>
      </c>
      <c r="S2601" s="94"/>
    </row>
    <row r="2602" spans="1:19" hidden="1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134</v>
      </c>
      <c r="R2602" s="110" t="s">
        <v>485</v>
      </c>
      <c r="S2602" s="94"/>
    </row>
    <row r="2603" spans="1:19" hidden="1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134</v>
      </c>
      <c r="R2603" s="110" t="s">
        <v>485</v>
      </c>
      <c r="S2603" s="94"/>
    </row>
    <row r="2604" spans="1:19" hidden="1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134</v>
      </c>
      <c r="R2604" s="110" t="s">
        <v>485</v>
      </c>
      <c r="S2604" s="94"/>
    </row>
    <row r="2605" spans="1:19" hidden="1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134</v>
      </c>
      <c r="R2605" s="110" t="s">
        <v>485</v>
      </c>
      <c r="S2605" s="94"/>
    </row>
    <row r="2606" spans="1:19" hidden="1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134</v>
      </c>
      <c r="R2606" s="110" t="s">
        <v>485</v>
      </c>
      <c r="S2606" s="94"/>
    </row>
    <row r="2607" spans="1:19" hidden="1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134</v>
      </c>
      <c r="R2607" s="110" t="s">
        <v>485</v>
      </c>
      <c r="S2607" s="94"/>
    </row>
    <row r="2608" spans="1:19" hidden="1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134</v>
      </c>
      <c r="R2608" s="110" t="s">
        <v>485</v>
      </c>
      <c r="S2608" s="94"/>
    </row>
    <row r="2609" spans="1:19" hidden="1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134</v>
      </c>
      <c r="R2609" s="110" t="s">
        <v>485</v>
      </c>
      <c r="S2609" s="94"/>
    </row>
    <row r="2610" spans="1:19" hidden="1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134</v>
      </c>
      <c r="R2610" s="110" t="s">
        <v>485</v>
      </c>
      <c r="S2610" s="94"/>
    </row>
    <row r="2611" spans="1:19" hidden="1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134</v>
      </c>
      <c r="R2611" s="110" t="s">
        <v>485</v>
      </c>
      <c r="S2611" s="94"/>
    </row>
    <row r="2612" spans="1:19" hidden="1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134</v>
      </c>
      <c r="R2612" s="110" t="s">
        <v>485</v>
      </c>
      <c r="S2612" s="94"/>
    </row>
    <row r="2613" spans="1:19" hidden="1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134</v>
      </c>
      <c r="R2613" s="110" t="s">
        <v>485</v>
      </c>
      <c r="S2613" s="94"/>
    </row>
    <row r="2614" spans="1:19" hidden="1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134</v>
      </c>
      <c r="R2614" s="110" t="s">
        <v>485</v>
      </c>
      <c r="S2614" s="94"/>
    </row>
    <row r="2615" spans="1:19" hidden="1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134</v>
      </c>
      <c r="R2615" s="110" t="s">
        <v>485</v>
      </c>
      <c r="S2615" s="94"/>
    </row>
    <row r="2616" spans="1:19" hidden="1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134</v>
      </c>
      <c r="R2616" s="110" t="s">
        <v>485</v>
      </c>
      <c r="S2616" s="94"/>
    </row>
    <row r="2617" spans="1:19" hidden="1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134</v>
      </c>
      <c r="R2617" s="110" t="s">
        <v>485</v>
      </c>
      <c r="S2617" s="94"/>
    </row>
    <row r="2618" spans="1:19" hidden="1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134</v>
      </c>
      <c r="R2618" s="110" t="s">
        <v>485</v>
      </c>
      <c r="S2618" s="94"/>
    </row>
    <row r="2619" spans="1:19" hidden="1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134</v>
      </c>
      <c r="R2619" s="110" t="s">
        <v>485</v>
      </c>
      <c r="S2619" s="94"/>
    </row>
    <row r="2620" spans="1:19" hidden="1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134</v>
      </c>
      <c r="R2620" s="110" t="s">
        <v>485</v>
      </c>
      <c r="S2620" s="94"/>
    </row>
    <row r="2621" spans="1:19" hidden="1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134</v>
      </c>
      <c r="R2621" s="110" t="s">
        <v>485</v>
      </c>
      <c r="S2621" s="94"/>
    </row>
    <row r="2622" spans="1:19" hidden="1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134</v>
      </c>
      <c r="R2622" s="110" t="s">
        <v>485</v>
      </c>
      <c r="S2622" s="94"/>
    </row>
    <row r="2623" spans="1:19" hidden="1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134</v>
      </c>
      <c r="R2623" s="110" t="s">
        <v>485</v>
      </c>
      <c r="S2623" s="94"/>
    </row>
    <row r="2624" spans="1:19" hidden="1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134</v>
      </c>
      <c r="R2624" s="110" t="s">
        <v>485</v>
      </c>
      <c r="S2624" s="94"/>
    </row>
    <row r="2625" spans="1:19" hidden="1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134</v>
      </c>
      <c r="R2625" s="110" t="s">
        <v>485</v>
      </c>
      <c r="S2625" s="94"/>
    </row>
    <row r="2626" spans="1:19" hidden="1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134</v>
      </c>
      <c r="R2626" s="110" t="s">
        <v>485</v>
      </c>
      <c r="S2626" s="94"/>
    </row>
    <row r="2627" spans="1:19" hidden="1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134</v>
      </c>
      <c r="R2627" s="110" t="s">
        <v>485</v>
      </c>
      <c r="S2627" s="94"/>
    </row>
    <row r="2628" spans="1:19" hidden="1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134</v>
      </c>
      <c r="R2628" s="110" t="s">
        <v>485</v>
      </c>
      <c r="S2628" s="94"/>
    </row>
    <row r="2629" spans="1:19" hidden="1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134</v>
      </c>
      <c r="R2629" s="110" t="s">
        <v>485</v>
      </c>
      <c r="S2629" s="94"/>
    </row>
    <row r="2630" spans="1:19" hidden="1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134</v>
      </c>
      <c r="R2630" s="110" t="s">
        <v>485</v>
      </c>
      <c r="S2630" s="94"/>
    </row>
    <row r="2631" spans="1:19" hidden="1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134</v>
      </c>
      <c r="R2631" s="110" t="s">
        <v>485</v>
      </c>
      <c r="S2631" s="94"/>
    </row>
    <row r="2632" spans="1:19" hidden="1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134</v>
      </c>
      <c r="R2632" s="110" t="s">
        <v>485</v>
      </c>
      <c r="S2632" s="94"/>
    </row>
    <row r="2633" spans="1:19" hidden="1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134</v>
      </c>
      <c r="R2633" s="110" t="s">
        <v>485</v>
      </c>
      <c r="S2633" s="94"/>
    </row>
    <row r="2634" spans="1:19" hidden="1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134</v>
      </c>
      <c r="R2634" s="110" t="s">
        <v>485</v>
      </c>
      <c r="S2634" s="94"/>
    </row>
    <row r="2635" spans="1:19" hidden="1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134</v>
      </c>
      <c r="R2635" s="110" t="s">
        <v>485</v>
      </c>
      <c r="S2635" s="94"/>
    </row>
    <row r="2636" spans="1:19" hidden="1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134</v>
      </c>
      <c r="R2636" s="110" t="s">
        <v>485</v>
      </c>
      <c r="S2636" s="94"/>
    </row>
    <row r="2637" spans="1:19" hidden="1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134</v>
      </c>
      <c r="R2637" s="110" t="s">
        <v>485</v>
      </c>
      <c r="S2637" s="94"/>
    </row>
    <row r="2638" spans="1:19" hidden="1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134</v>
      </c>
      <c r="R2638" s="110" t="s">
        <v>485</v>
      </c>
      <c r="S2638" s="94"/>
    </row>
    <row r="2639" spans="1:19" hidden="1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134</v>
      </c>
      <c r="R2639" s="110" t="s">
        <v>485</v>
      </c>
      <c r="S2639" s="94"/>
    </row>
    <row r="2640" spans="1:19" hidden="1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134</v>
      </c>
      <c r="R2640" s="110" t="s">
        <v>485</v>
      </c>
      <c r="S2640" s="94"/>
    </row>
    <row r="2641" spans="1:19" hidden="1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134</v>
      </c>
      <c r="R2641" s="110" t="s">
        <v>485</v>
      </c>
      <c r="S2641" s="94"/>
    </row>
    <row r="2642" spans="1:19" hidden="1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134</v>
      </c>
      <c r="R2642" s="110" t="s">
        <v>485</v>
      </c>
      <c r="S2642" s="94"/>
    </row>
    <row r="2643" spans="1:19" hidden="1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134</v>
      </c>
      <c r="R2643" s="110" t="s">
        <v>485</v>
      </c>
      <c r="S2643" s="94"/>
    </row>
    <row r="2644" spans="1:19" hidden="1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134</v>
      </c>
      <c r="R2644" s="110" t="s">
        <v>485</v>
      </c>
      <c r="S2644" s="94"/>
    </row>
    <row r="2645" spans="1:19" hidden="1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134</v>
      </c>
      <c r="R2645" s="110" t="s">
        <v>485</v>
      </c>
      <c r="S2645" s="94"/>
    </row>
    <row r="2646" spans="1:19" hidden="1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134</v>
      </c>
      <c r="R2646" s="110" t="s">
        <v>485</v>
      </c>
      <c r="S2646" s="94"/>
    </row>
    <row r="2647" spans="1:19" hidden="1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134</v>
      </c>
      <c r="R2647" s="110" t="s">
        <v>485</v>
      </c>
      <c r="S2647" s="94"/>
    </row>
    <row r="2648" spans="1:19" hidden="1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134</v>
      </c>
      <c r="R2648" s="110" t="s">
        <v>485</v>
      </c>
      <c r="S2648" s="94"/>
    </row>
    <row r="2649" spans="1:19" hidden="1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134</v>
      </c>
      <c r="R2649" s="110" t="s">
        <v>485</v>
      </c>
      <c r="S2649" s="94"/>
    </row>
    <row r="2650" spans="1:19" hidden="1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134</v>
      </c>
      <c r="R2650" s="110" t="s">
        <v>485</v>
      </c>
      <c r="S2650" s="94"/>
    </row>
    <row r="2651" spans="1:19" hidden="1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134</v>
      </c>
      <c r="R2651" s="110" t="s">
        <v>485</v>
      </c>
      <c r="S2651" s="94"/>
    </row>
    <row r="2652" spans="1:19" hidden="1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134</v>
      </c>
      <c r="R2652" s="110" t="s">
        <v>485</v>
      </c>
      <c r="S2652" s="94"/>
    </row>
    <row r="2653" spans="1:19" hidden="1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134</v>
      </c>
      <c r="R2653" s="110" t="s">
        <v>485</v>
      </c>
      <c r="S2653" s="94"/>
    </row>
    <row r="2654" spans="1:19" hidden="1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134</v>
      </c>
      <c r="R2654" s="110" t="s">
        <v>485</v>
      </c>
      <c r="S2654" s="94"/>
    </row>
    <row r="2655" spans="1:19" hidden="1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134</v>
      </c>
      <c r="R2655" s="110" t="s">
        <v>485</v>
      </c>
      <c r="S2655" s="94"/>
    </row>
    <row r="2656" spans="1:19" hidden="1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134</v>
      </c>
      <c r="R2656" s="110" t="s">
        <v>485</v>
      </c>
      <c r="S2656" s="94"/>
    </row>
    <row r="2657" spans="1:19" hidden="1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134</v>
      </c>
      <c r="R2657" s="110" t="s">
        <v>485</v>
      </c>
      <c r="S2657" s="94"/>
    </row>
    <row r="2658" spans="1:19" hidden="1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134</v>
      </c>
      <c r="R2658" s="110" t="s">
        <v>485</v>
      </c>
      <c r="S2658" s="94"/>
    </row>
    <row r="2659" spans="1:19" hidden="1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134</v>
      </c>
      <c r="R2659" s="110" t="s">
        <v>485</v>
      </c>
      <c r="S2659" s="94"/>
    </row>
    <row r="2660" spans="1:19" hidden="1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134</v>
      </c>
      <c r="R2660" s="110" t="s">
        <v>485</v>
      </c>
      <c r="S2660" s="94"/>
    </row>
    <row r="2661" spans="1:19" hidden="1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134</v>
      </c>
      <c r="R2661" s="110" t="s">
        <v>485</v>
      </c>
      <c r="S2661" s="94"/>
    </row>
    <row r="2662" spans="1:19" hidden="1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134</v>
      </c>
      <c r="R2662" s="110" t="s">
        <v>485</v>
      </c>
      <c r="S2662" s="94"/>
    </row>
    <row r="2663" spans="1:19" hidden="1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134</v>
      </c>
      <c r="R2663" s="110" t="s">
        <v>485</v>
      </c>
      <c r="S2663" s="94"/>
    </row>
    <row r="2664" spans="1:19" hidden="1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134</v>
      </c>
      <c r="R2664" s="110" t="s">
        <v>485</v>
      </c>
      <c r="S2664" s="94"/>
    </row>
    <row r="2665" spans="1:19" hidden="1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134</v>
      </c>
      <c r="R2665" s="110" t="s">
        <v>485</v>
      </c>
      <c r="S2665" s="94"/>
    </row>
    <row r="2666" spans="1:19" hidden="1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134</v>
      </c>
      <c r="R2666" s="110" t="s">
        <v>485</v>
      </c>
      <c r="S2666" s="94"/>
    </row>
    <row r="2667" spans="1:19" hidden="1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134</v>
      </c>
      <c r="R2667" s="110" t="s">
        <v>485</v>
      </c>
      <c r="S2667" s="94"/>
    </row>
    <row r="2668" spans="1:19" hidden="1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134</v>
      </c>
      <c r="R2668" s="110" t="s">
        <v>485</v>
      </c>
      <c r="S2668" s="94"/>
    </row>
    <row r="2669" spans="1:19" hidden="1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134</v>
      </c>
      <c r="R2669" s="110" t="s">
        <v>485</v>
      </c>
      <c r="S2669" s="94"/>
    </row>
    <row r="2670" spans="1:19" hidden="1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134</v>
      </c>
      <c r="R2670" s="110" t="s">
        <v>485</v>
      </c>
      <c r="S2670" s="94"/>
    </row>
    <row r="2671" spans="1:19" hidden="1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134</v>
      </c>
      <c r="R2671" s="110" t="s">
        <v>485</v>
      </c>
      <c r="S2671" s="94"/>
    </row>
    <row r="2672" spans="1:19" hidden="1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134</v>
      </c>
      <c r="R2672" s="110" t="s">
        <v>485</v>
      </c>
      <c r="S2672" s="94"/>
    </row>
    <row r="2673" spans="1:19" hidden="1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134</v>
      </c>
      <c r="R2673" s="110" t="s">
        <v>485</v>
      </c>
      <c r="S2673" s="94"/>
    </row>
    <row r="2674" spans="1:19" hidden="1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134</v>
      </c>
      <c r="R2674" s="110" t="s">
        <v>485</v>
      </c>
      <c r="S2674" s="94"/>
    </row>
    <row r="2675" spans="1:19" hidden="1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134</v>
      </c>
      <c r="R2675" s="110" t="s">
        <v>485</v>
      </c>
      <c r="S2675" s="94"/>
    </row>
    <row r="2676" spans="1:19" hidden="1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134</v>
      </c>
      <c r="R2676" s="110" t="s">
        <v>485</v>
      </c>
      <c r="S2676" s="94"/>
    </row>
    <row r="2677" spans="1:19" hidden="1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134</v>
      </c>
      <c r="R2677" s="110" t="s">
        <v>485</v>
      </c>
      <c r="S2677" s="94"/>
    </row>
    <row r="2678" spans="1:19" hidden="1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134</v>
      </c>
      <c r="R2678" s="110" t="s">
        <v>485</v>
      </c>
      <c r="S2678" s="94"/>
    </row>
    <row r="2679" spans="1:19" hidden="1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134</v>
      </c>
      <c r="R2679" s="110" t="s">
        <v>485</v>
      </c>
      <c r="S2679" s="94"/>
    </row>
    <row r="2680" spans="1:19" hidden="1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134</v>
      </c>
      <c r="R2680" s="110" t="s">
        <v>485</v>
      </c>
      <c r="S2680" s="94"/>
    </row>
    <row r="2681" spans="1:19" hidden="1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134</v>
      </c>
      <c r="R2681" s="110" t="s">
        <v>485</v>
      </c>
      <c r="S2681" s="94"/>
    </row>
    <row r="2682" spans="1:19" hidden="1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134</v>
      </c>
      <c r="R2682" s="110" t="s">
        <v>485</v>
      </c>
      <c r="S2682" s="94"/>
    </row>
    <row r="2683" spans="1:19" hidden="1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134</v>
      </c>
      <c r="R2683" s="110" t="s">
        <v>485</v>
      </c>
      <c r="S2683" s="94"/>
    </row>
    <row r="2684" spans="1:19" hidden="1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134</v>
      </c>
      <c r="R2684" s="110" t="s">
        <v>485</v>
      </c>
      <c r="S2684" s="94"/>
    </row>
    <row r="2685" spans="1:19" hidden="1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134</v>
      </c>
      <c r="R2685" s="110" t="s">
        <v>485</v>
      </c>
      <c r="S2685" s="94"/>
    </row>
    <row r="2686" spans="1:19" hidden="1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134</v>
      </c>
      <c r="R2686" s="110" t="s">
        <v>485</v>
      </c>
      <c r="S2686" s="94"/>
    </row>
    <row r="2687" spans="1:19" hidden="1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134</v>
      </c>
      <c r="R2687" s="110" t="s">
        <v>485</v>
      </c>
      <c r="S2687" s="94"/>
    </row>
    <row r="2688" spans="1:19" hidden="1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134</v>
      </c>
      <c r="R2688" s="110" t="s">
        <v>485</v>
      </c>
      <c r="S2688" s="94"/>
    </row>
    <row r="2689" spans="1:19" hidden="1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134</v>
      </c>
      <c r="R2689" s="110" t="s">
        <v>485</v>
      </c>
      <c r="S2689" s="94"/>
    </row>
    <row r="2690" spans="1:19" hidden="1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134</v>
      </c>
      <c r="R2690" s="110" t="s">
        <v>485</v>
      </c>
      <c r="S2690" s="94"/>
    </row>
    <row r="2691" spans="1:19" hidden="1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134</v>
      </c>
      <c r="R2691" s="110" t="s">
        <v>485</v>
      </c>
      <c r="S2691" s="94"/>
    </row>
    <row r="2692" spans="1:19" hidden="1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134</v>
      </c>
      <c r="R2692" s="110" t="s">
        <v>485</v>
      </c>
      <c r="S2692" s="94"/>
    </row>
    <row r="2693" spans="1:19" hidden="1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134</v>
      </c>
      <c r="R2693" s="110" t="s">
        <v>485</v>
      </c>
      <c r="S2693" s="94"/>
    </row>
    <row r="2694" spans="1:19" hidden="1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134</v>
      </c>
      <c r="R2694" s="110" t="s">
        <v>485</v>
      </c>
      <c r="S2694" s="94"/>
    </row>
    <row r="2695" spans="1:19" hidden="1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134</v>
      </c>
      <c r="R2695" s="110" t="s">
        <v>485</v>
      </c>
      <c r="S2695" s="94"/>
    </row>
    <row r="2696" spans="1:19" hidden="1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134</v>
      </c>
      <c r="R2696" s="110" t="s">
        <v>485</v>
      </c>
      <c r="S2696" s="94"/>
    </row>
    <row r="2697" spans="1:19" hidden="1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134</v>
      </c>
      <c r="R2697" s="110" t="s">
        <v>485</v>
      </c>
      <c r="S2697" s="94"/>
    </row>
    <row r="2698" spans="1:19" hidden="1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134</v>
      </c>
      <c r="R2698" s="110" t="s">
        <v>485</v>
      </c>
      <c r="S2698" s="94"/>
    </row>
    <row r="2699" spans="1:19" hidden="1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134</v>
      </c>
      <c r="R2699" s="110" t="s">
        <v>485</v>
      </c>
      <c r="S2699" s="94"/>
    </row>
    <row r="2700" spans="1:19" hidden="1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134</v>
      </c>
      <c r="R2700" s="110" t="s">
        <v>485</v>
      </c>
      <c r="S2700" s="94"/>
    </row>
    <row r="2701" spans="1:19" hidden="1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134</v>
      </c>
      <c r="R2701" s="110" t="s">
        <v>485</v>
      </c>
      <c r="S2701" s="94"/>
    </row>
    <row r="2702" spans="1:19" hidden="1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134</v>
      </c>
      <c r="R2702" s="110" t="s">
        <v>485</v>
      </c>
      <c r="S2702" s="94"/>
    </row>
    <row r="2703" spans="1:19" hidden="1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134</v>
      </c>
      <c r="R2703" s="110" t="s">
        <v>485</v>
      </c>
      <c r="S2703" s="94"/>
    </row>
    <row r="2704" spans="1:19" hidden="1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134</v>
      </c>
      <c r="R2704" s="110" t="s">
        <v>485</v>
      </c>
      <c r="S2704" s="94"/>
    </row>
    <row r="2705" spans="1:19" hidden="1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134</v>
      </c>
      <c r="R2705" s="110" t="s">
        <v>485</v>
      </c>
      <c r="S2705" s="94"/>
    </row>
    <row r="2706" spans="1:19" hidden="1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134</v>
      </c>
      <c r="R2706" s="110" t="s">
        <v>485</v>
      </c>
      <c r="S2706" s="94"/>
    </row>
    <row r="2707" spans="1:19" hidden="1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134</v>
      </c>
      <c r="R2707" s="110" t="s">
        <v>485</v>
      </c>
      <c r="S2707" s="94"/>
    </row>
    <row r="2708" spans="1:19" hidden="1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134</v>
      </c>
      <c r="R2708" s="110" t="s">
        <v>485</v>
      </c>
      <c r="S2708" s="94"/>
    </row>
    <row r="2709" spans="1:19" hidden="1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134</v>
      </c>
      <c r="R2709" s="110" t="s">
        <v>485</v>
      </c>
      <c r="S2709" s="94"/>
    </row>
    <row r="2710" spans="1:19" hidden="1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134</v>
      </c>
      <c r="R2710" s="110" t="s">
        <v>485</v>
      </c>
      <c r="S2710" s="94"/>
    </row>
    <row r="2711" spans="1:19" hidden="1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134</v>
      </c>
      <c r="R2711" s="110" t="s">
        <v>485</v>
      </c>
      <c r="S2711" s="94"/>
    </row>
    <row r="2712" spans="1:19" hidden="1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134</v>
      </c>
      <c r="R2712" s="110" t="s">
        <v>485</v>
      </c>
      <c r="S2712" s="94"/>
    </row>
    <row r="2713" spans="1:19" hidden="1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134</v>
      </c>
      <c r="R2713" s="110" t="s">
        <v>485</v>
      </c>
      <c r="S2713" s="94"/>
    </row>
    <row r="2714" spans="1:19" hidden="1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134</v>
      </c>
      <c r="R2714" s="110" t="s">
        <v>485</v>
      </c>
      <c r="S2714" s="94"/>
    </row>
    <row r="2715" spans="1:19" hidden="1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134</v>
      </c>
      <c r="R2715" s="110" t="s">
        <v>485</v>
      </c>
      <c r="S2715" s="94"/>
    </row>
    <row r="2716" spans="1:19" hidden="1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134</v>
      </c>
      <c r="R2716" s="110" t="s">
        <v>485</v>
      </c>
      <c r="S2716" s="94"/>
    </row>
    <row r="2717" spans="1:19" hidden="1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134</v>
      </c>
      <c r="R2717" s="110" t="s">
        <v>485</v>
      </c>
      <c r="S2717" s="94"/>
    </row>
    <row r="2718" spans="1:19" hidden="1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134</v>
      </c>
      <c r="R2718" s="110" t="s">
        <v>485</v>
      </c>
      <c r="S2718" s="94"/>
    </row>
    <row r="2719" spans="1:19" hidden="1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134</v>
      </c>
      <c r="R2719" s="110" t="s">
        <v>485</v>
      </c>
      <c r="S2719" s="94"/>
    </row>
    <row r="2720" spans="1:19" hidden="1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134</v>
      </c>
      <c r="R2720" s="110" t="s">
        <v>485</v>
      </c>
      <c r="S2720" s="94"/>
    </row>
    <row r="2721" spans="1:19" hidden="1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134</v>
      </c>
      <c r="R2721" s="110" t="s">
        <v>485</v>
      </c>
      <c r="S2721" s="94"/>
    </row>
    <row r="2722" spans="1:19" hidden="1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134</v>
      </c>
      <c r="R2722" s="110" t="s">
        <v>485</v>
      </c>
      <c r="S2722" s="94"/>
    </row>
    <row r="2723" spans="1:19" hidden="1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134</v>
      </c>
      <c r="R2723" s="110" t="s">
        <v>485</v>
      </c>
      <c r="S2723" s="94"/>
    </row>
    <row r="2724" spans="1:19" hidden="1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134</v>
      </c>
      <c r="R2724" s="110" t="s">
        <v>485</v>
      </c>
      <c r="S2724" s="94"/>
    </row>
    <row r="2725" spans="1:19" hidden="1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134</v>
      </c>
      <c r="R2725" s="110" t="s">
        <v>485</v>
      </c>
      <c r="S2725" s="94"/>
    </row>
    <row r="2726" spans="1:19" hidden="1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134</v>
      </c>
      <c r="R2726" s="110" t="s">
        <v>485</v>
      </c>
      <c r="S2726" s="94"/>
    </row>
    <row r="2727" spans="1:19" hidden="1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134</v>
      </c>
      <c r="R2727" s="110" t="s">
        <v>485</v>
      </c>
      <c r="S2727" s="94"/>
    </row>
    <row r="2728" spans="1:19" hidden="1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134</v>
      </c>
      <c r="R2728" s="110" t="s">
        <v>485</v>
      </c>
      <c r="S2728" s="94"/>
    </row>
    <row r="2729" spans="1:19" hidden="1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134</v>
      </c>
      <c r="R2729" s="110" t="s">
        <v>485</v>
      </c>
      <c r="S2729" s="94"/>
    </row>
    <row r="2730" spans="1:19" hidden="1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134</v>
      </c>
      <c r="R2730" s="110" t="s">
        <v>485</v>
      </c>
      <c r="S2730" s="94"/>
    </row>
    <row r="2731" spans="1:19" hidden="1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134</v>
      </c>
      <c r="R2731" s="110" t="s">
        <v>485</v>
      </c>
      <c r="S2731" s="94"/>
    </row>
    <row r="2732" spans="1:19" hidden="1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134</v>
      </c>
      <c r="R2732" s="110" t="s">
        <v>485</v>
      </c>
      <c r="S2732" s="94"/>
    </row>
    <row r="2733" spans="1:19" hidden="1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134</v>
      </c>
      <c r="R2733" s="110" t="s">
        <v>485</v>
      </c>
      <c r="S2733" s="94"/>
    </row>
    <row r="2734" spans="1:19" hidden="1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134</v>
      </c>
      <c r="R2734" s="110" t="s">
        <v>485</v>
      </c>
      <c r="S2734" s="94"/>
    </row>
    <row r="2735" spans="1:19" hidden="1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134</v>
      </c>
      <c r="R2735" s="110" t="s">
        <v>485</v>
      </c>
      <c r="S2735" s="94"/>
    </row>
    <row r="2736" spans="1:19" hidden="1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134</v>
      </c>
      <c r="R2736" s="110" t="s">
        <v>485</v>
      </c>
      <c r="S2736" s="94"/>
    </row>
    <row r="2737" spans="1:19" hidden="1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134</v>
      </c>
      <c r="R2737" s="110" t="s">
        <v>485</v>
      </c>
      <c r="S2737" s="94"/>
    </row>
    <row r="2738" spans="1:19" hidden="1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134</v>
      </c>
      <c r="R2738" s="110" t="s">
        <v>485</v>
      </c>
      <c r="S2738" s="94"/>
    </row>
    <row r="2739" spans="1:19" hidden="1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134</v>
      </c>
      <c r="R2739" s="110" t="s">
        <v>485</v>
      </c>
      <c r="S2739" s="94"/>
    </row>
    <row r="2740" spans="1:19" hidden="1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134</v>
      </c>
      <c r="R2740" s="110" t="s">
        <v>485</v>
      </c>
      <c r="S2740" s="94"/>
    </row>
    <row r="2741" spans="1:19" hidden="1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134</v>
      </c>
      <c r="R2741" s="110" t="s">
        <v>485</v>
      </c>
      <c r="S2741" s="94"/>
    </row>
    <row r="2742" spans="1:19" hidden="1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134</v>
      </c>
      <c r="R2742" s="110" t="s">
        <v>485</v>
      </c>
      <c r="S2742" s="94"/>
    </row>
    <row r="2743" spans="1:19" hidden="1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134</v>
      </c>
      <c r="R2743" s="110" t="s">
        <v>485</v>
      </c>
      <c r="S2743" s="94"/>
    </row>
    <row r="2744" spans="1:19" hidden="1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134</v>
      </c>
      <c r="R2744" s="110" t="s">
        <v>485</v>
      </c>
      <c r="S2744" s="94"/>
    </row>
    <row r="2745" spans="1:19" hidden="1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134</v>
      </c>
      <c r="R2745" s="110" t="s">
        <v>485</v>
      </c>
      <c r="S2745" s="94"/>
    </row>
    <row r="2746" spans="1:19" hidden="1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134</v>
      </c>
      <c r="R2746" s="110" t="s">
        <v>485</v>
      </c>
      <c r="S2746" s="94"/>
    </row>
    <row r="2747" spans="1:19" hidden="1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134</v>
      </c>
      <c r="R2747" s="110" t="s">
        <v>485</v>
      </c>
      <c r="S2747" s="94"/>
    </row>
    <row r="2748" spans="1:19" hidden="1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134</v>
      </c>
      <c r="R2748" s="110" t="s">
        <v>485</v>
      </c>
      <c r="S2748" s="94"/>
    </row>
    <row r="2749" spans="1:19" hidden="1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134</v>
      </c>
      <c r="R2749" s="110" t="s">
        <v>485</v>
      </c>
      <c r="S2749" s="94"/>
    </row>
    <row r="2750" spans="1:19" hidden="1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134</v>
      </c>
      <c r="R2750" s="110" t="s">
        <v>485</v>
      </c>
      <c r="S2750" s="94"/>
    </row>
    <row r="2751" spans="1:19" hidden="1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134</v>
      </c>
      <c r="R2751" s="110" t="s">
        <v>485</v>
      </c>
      <c r="S2751" s="94"/>
    </row>
    <row r="2752" spans="1:19" hidden="1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134</v>
      </c>
      <c r="R2752" s="110" t="s">
        <v>485</v>
      </c>
      <c r="S2752" s="94"/>
    </row>
    <row r="2753" spans="1:19" hidden="1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134</v>
      </c>
      <c r="R2753" s="110" t="s">
        <v>485</v>
      </c>
      <c r="S2753" s="94"/>
    </row>
    <row r="2754" spans="1:19" hidden="1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134</v>
      </c>
      <c r="R2754" s="110" t="s">
        <v>485</v>
      </c>
      <c r="S2754" s="94"/>
    </row>
    <row r="2755" spans="1:19" hidden="1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134</v>
      </c>
      <c r="R2755" s="110" t="s">
        <v>485</v>
      </c>
      <c r="S2755" s="94"/>
    </row>
    <row r="2756" spans="1:19" hidden="1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134</v>
      </c>
      <c r="R2756" s="110" t="s">
        <v>485</v>
      </c>
      <c r="S2756" s="94"/>
    </row>
    <row r="2757" spans="1:19" hidden="1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134</v>
      </c>
      <c r="R2757" s="110" t="s">
        <v>485</v>
      </c>
      <c r="S2757" s="94"/>
    </row>
    <row r="2758" spans="1:19" hidden="1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134</v>
      </c>
      <c r="R2758" s="110" t="s">
        <v>485</v>
      </c>
      <c r="S2758" s="94"/>
    </row>
    <row r="2759" spans="1:19" hidden="1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134</v>
      </c>
      <c r="R2759" s="110" t="s">
        <v>485</v>
      </c>
      <c r="S2759" s="94"/>
    </row>
    <row r="2760" spans="1:19" hidden="1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134</v>
      </c>
      <c r="R2760" s="110" t="s">
        <v>485</v>
      </c>
      <c r="S2760" s="94"/>
    </row>
    <row r="2761" spans="1:19" hidden="1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134</v>
      </c>
      <c r="R2761" s="110" t="s">
        <v>485</v>
      </c>
      <c r="S2761" s="94"/>
    </row>
    <row r="2762" spans="1:19" hidden="1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134</v>
      </c>
      <c r="R2762" s="110" t="s">
        <v>485</v>
      </c>
      <c r="S2762" s="94"/>
    </row>
    <row r="2763" spans="1:19" hidden="1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134</v>
      </c>
      <c r="R2763" s="110" t="s">
        <v>485</v>
      </c>
      <c r="S2763" s="94"/>
    </row>
    <row r="2764" spans="1:19" hidden="1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134</v>
      </c>
      <c r="R2764" s="110" t="s">
        <v>485</v>
      </c>
      <c r="S2764" s="94"/>
    </row>
    <row r="2765" spans="1:19" hidden="1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134</v>
      </c>
      <c r="R2765" s="110" t="s">
        <v>485</v>
      </c>
      <c r="S2765" s="94"/>
    </row>
    <row r="2766" spans="1:19" hidden="1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134</v>
      </c>
      <c r="R2766" s="110" t="s">
        <v>485</v>
      </c>
      <c r="S2766" s="94"/>
    </row>
    <row r="2767" spans="1:19" hidden="1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134</v>
      </c>
      <c r="R2767" s="110" t="s">
        <v>485</v>
      </c>
      <c r="S2767" s="94"/>
    </row>
    <row r="2768" spans="1:19" hidden="1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134</v>
      </c>
      <c r="R2768" s="110" t="s">
        <v>485</v>
      </c>
      <c r="S2768" s="94"/>
    </row>
    <row r="2769" spans="1:19" hidden="1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134</v>
      </c>
      <c r="R2769" s="110" t="s">
        <v>485</v>
      </c>
      <c r="S2769" s="94"/>
    </row>
    <row r="2770" spans="1:19" hidden="1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134</v>
      </c>
      <c r="R2770" s="110" t="s">
        <v>485</v>
      </c>
      <c r="S2770" s="94"/>
    </row>
    <row r="2771" spans="1:19" hidden="1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134</v>
      </c>
      <c r="R2771" s="110" t="s">
        <v>485</v>
      </c>
      <c r="S2771" s="94"/>
    </row>
    <row r="2772" spans="1:19" hidden="1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134</v>
      </c>
      <c r="R2772" s="110" t="s">
        <v>485</v>
      </c>
      <c r="S2772" s="94"/>
    </row>
    <row r="2773" spans="1:19" hidden="1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134</v>
      </c>
      <c r="R2773" s="110" t="s">
        <v>485</v>
      </c>
      <c r="S2773" s="94"/>
    </row>
    <row r="2774" spans="1:19" hidden="1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134</v>
      </c>
      <c r="R2774" s="110" t="s">
        <v>485</v>
      </c>
      <c r="S2774" s="94"/>
    </row>
    <row r="2775" spans="1:19" hidden="1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134</v>
      </c>
      <c r="R2775" s="110" t="s">
        <v>485</v>
      </c>
      <c r="S2775" s="94"/>
    </row>
    <row r="2776" spans="1:19" hidden="1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134</v>
      </c>
      <c r="R2776" s="110" t="s">
        <v>485</v>
      </c>
      <c r="S2776" s="94"/>
    </row>
    <row r="2777" spans="1:19" hidden="1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134</v>
      </c>
      <c r="R2777" s="110" t="s">
        <v>485</v>
      </c>
      <c r="S2777" s="94"/>
    </row>
    <row r="2778" spans="1:19" hidden="1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134</v>
      </c>
      <c r="R2778" s="110" t="s">
        <v>485</v>
      </c>
      <c r="S2778" s="94"/>
    </row>
    <row r="2779" spans="1:19" hidden="1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134</v>
      </c>
      <c r="R2779" s="110" t="s">
        <v>485</v>
      </c>
      <c r="S2779" s="94"/>
    </row>
    <row r="2780" spans="1:19" hidden="1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134</v>
      </c>
      <c r="R2780" s="110" t="s">
        <v>485</v>
      </c>
      <c r="S2780" s="94"/>
    </row>
    <row r="2781" spans="1:19" hidden="1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134</v>
      </c>
      <c r="R2781" s="110" t="s">
        <v>485</v>
      </c>
      <c r="S2781" s="94"/>
    </row>
    <row r="2782" spans="1:19" hidden="1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134</v>
      </c>
      <c r="R2782" s="110" t="s">
        <v>485</v>
      </c>
      <c r="S2782" s="94"/>
    </row>
    <row r="2783" spans="1:19" hidden="1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134</v>
      </c>
      <c r="R2783" s="110" t="s">
        <v>485</v>
      </c>
      <c r="S2783" s="94"/>
    </row>
    <row r="2784" spans="1:19" hidden="1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134</v>
      </c>
      <c r="R2784" s="110" t="s">
        <v>485</v>
      </c>
      <c r="S2784" s="94"/>
    </row>
    <row r="2785" spans="1:19" hidden="1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134</v>
      </c>
      <c r="R2785" s="110" t="s">
        <v>485</v>
      </c>
      <c r="S2785" s="94"/>
    </row>
    <row r="2786" spans="1:19" hidden="1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134</v>
      </c>
      <c r="R2786" s="110" t="s">
        <v>485</v>
      </c>
      <c r="S2786" s="94"/>
    </row>
    <row r="2787" spans="1:19" hidden="1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134</v>
      </c>
      <c r="R2787" s="110" t="s">
        <v>485</v>
      </c>
      <c r="S2787" s="94"/>
    </row>
    <row r="2788" spans="1:19" hidden="1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134</v>
      </c>
      <c r="R2788" s="110" t="s">
        <v>485</v>
      </c>
      <c r="S2788" s="94"/>
    </row>
    <row r="2789" spans="1:19" hidden="1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134</v>
      </c>
      <c r="R2789" s="110" t="s">
        <v>485</v>
      </c>
      <c r="S2789" s="94"/>
    </row>
    <row r="2790" spans="1:19" hidden="1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134</v>
      </c>
      <c r="R2790" s="110" t="s">
        <v>485</v>
      </c>
      <c r="S2790" s="94"/>
    </row>
    <row r="2791" spans="1:19" hidden="1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134</v>
      </c>
      <c r="R2791" s="110" t="s">
        <v>485</v>
      </c>
      <c r="S2791" s="94"/>
    </row>
    <row r="2792" spans="1:19" hidden="1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134</v>
      </c>
      <c r="R2792" s="110" t="s">
        <v>485</v>
      </c>
      <c r="S2792" s="94"/>
    </row>
    <row r="2793" spans="1:19" hidden="1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134</v>
      </c>
      <c r="R2793" s="110" t="s">
        <v>485</v>
      </c>
      <c r="S2793" s="94"/>
    </row>
    <row r="2794" spans="1:19" hidden="1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134</v>
      </c>
      <c r="R2794" s="110" t="s">
        <v>485</v>
      </c>
      <c r="S2794" s="94"/>
    </row>
    <row r="2795" spans="1:19" hidden="1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134</v>
      </c>
      <c r="R2795" s="110" t="s">
        <v>485</v>
      </c>
      <c r="S2795" s="94"/>
    </row>
    <row r="2796" spans="1:19" hidden="1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134</v>
      </c>
      <c r="R2796" s="110" t="s">
        <v>485</v>
      </c>
      <c r="S2796" s="94"/>
    </row>
    <row r="2797" spans="1:19" hidden="1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134</v>
      </c>
      <c r="R2797" s="110" t="s">
        <v>485</v>
      </c>
      <c r="S2797" s="94"/>
    </row>
    <row r="2798" spans="1:19" hidden="1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134</v>
      </c>
      <c r="R2798" s="110" t="s">
        <v>485</v>
      </c>
      <c r="S2798" s="94"/>
    </row>
    <row r="2799" spans="1:19" hidden="1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134</v>
      </c>
      <c r="R2799" s="110" t="s">
        <v>485</v>
      </c>
      <c r="S2799" s="94"/>
    </row>
    <row r="2800" spans="1:19" hidden="1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134</v>
      </c>
      <c r="R2800" s="110" t="s">
        <v>485</v>
      </c>
      <c r="S2800" s="94"/>
    </row>
    <row r="2801" spans="1:19" hidden="1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134</v>
      </c>
      <c r="R2801" s="110" t="s">
        <v>485</v>
      </c>
      <c r="S2801" s="94"/>
    </row>
    <row r="2802" spans="1:19" hidden="1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134</v>
      </c>
      <c r="R2802" s="110" t="s">
        <v>485</v>
      </c>
      <c r="S2802" s="94"/>
    </row>
    <row r="2803" spans="1:19" hidden="1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134</v>
      </c>
      <c r="R2803" s="110" t="s">
        <v>485</v>
      </c>
      <c r="S2803" s="94"/>
    </row>
    <row r="2804" spans="1:19" hidden="1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134</v>
      </c>
      <c r="R2804" s="110" t="s">
        <v>485</v>
      </c>
      <c r="S2804" s="94"/>
    </row>
    <row r="2805" spans="1:19" hidden="1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134</v>
      </c>
      <c r="R2805" s="110" t="s">
        <v>485</v>
      </c>
      <c r="S2805" s="94"/>
    </row>
    <row r="2806" spans="1:19" hidden="1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134</v>
      </c>
      <c r="R2806" s="110" t="s">
        <v>485</v>
      </c>
      <c r="S2806" s="94"/>
    </row>
    <row r="2807" spans="1:19" hidden="1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134</v>
      </c>
      <c r="R2807" s="110" t="s">
        <v>485</v>
      </c>
      <c r="S2807" s="94"/>
    </row>
    <row r="2808" spans="1:19" hidden="1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134</v>
      </c>
      <c r="R2808" s="110" t="s">
        <v>485</v>
      </c>
      <c r="S2808" s="94"/>
    </row>
    <row r="2809" spans="1:19" hidden="1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134</v>
      </c>
      <c r="R2809" s="110" t="s">
        <v>485</v>
      </c>
      <c r="S2809" s="94"/>
    </row>
    <row r="2810" spans="1:19" hidden="1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134</v>
      </c>
      <c r="R2810" s="110" t="s">
        <v>485</v>
      </c>
      <c r="S2810" s="94"/>
    </row>
    <row r="2811" spans="1:19" hidden="1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134</v>
      </c>
      <c r="R2811" s="110" t="s">
        <v>485</v>
      </c>
      <c r="S2811" s="94"/>
    </row>
    <row r="2812" spans="1:19" hidden="1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134</v>
      </c>
      <c r="R2812" s="110" t="s">
        <v>485</v>
      </c>
      <c r="S2812" s="94"/>
    </row>
    <row r="2813" spans="1:19" hidden="1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134</v>
      </c>
      <c r="R2813" s="110" t="s">
        <v>410</v>
      </c>
      <c r="S2813" s="94"/>
    </row>
    <row r="2814" spans="1:19" hidden="1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134</v>
      </c>
      <c r="R2814" s="110" t="s">
        <v>410</v>
      </c>
      <c r="S2814" s="94"/>
    </row>
    <row r="2815" spans="1:19" hidden="1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134</v>
      </c>
      <c r="R2815" s="110" t="s">
        <v>410</v>
      </c>
      <c r="S2815" s="94"/>
    </row>
    <row r="2816" spans="1:19" hidden="1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134</v>
      </c>
      <c r="R2816" s="110" t="s">
        <v>410</v>
      </c>
      <c r="S2816" s="94"/>
    </row>
    <row r="2817" spans="1:19" hidden="1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134</v>
      </c>
      <c r="R2817" s="110" t="s">
        <v>410</v>
      </c>
      <c r="S2817" s="94"/>
    </row>
    <row r="2818" spans="1:19" hidden="1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134</v>
      </c>
      <c r="R2818" s="110" t="s">
        <v>410</v>
      </c>
      <c r="S2818" s="94"/>
    </row>
    <row r="2819" spans="1:19" hidden="1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134</v>
      </c>
      <c r="R2819" s="110" t="s">
        <v>410</v>
      </c>
      <c r="S2819" s="94"/>
    </row>
    <row r="2820" spans="1:19" hidden="1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134</v>
      </c>
      <c r="R2820" s="110" t="s">
        <v>410</v>
      </c>
      <c r="S2820" s="94"/>
    </row>
    <row r="2821" spans="1:19" hidden="1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134</v>
      </c>
      <c r="R2821" s="94" t="s">
        <v>515</v>
      </c>
      <c r="S2821" s="94"/>
    </row>
    <row r="2822" spans="1:19" hidden="1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134</v>
      </c>
      <c r="R2822" s="94" t="s">
        <v>515</v>
      </c>
      <c r="S2822" s="94"/>
    </row>
    <row r="2823" spans="1:19" hidden="1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134</v>
      </c>
      <c r="R2823" s="94" t="s">
        <v>515</v>
      </c>
      <c r="S2823" s="94"/>
    </row>
    <row r="2824" spans="1:19" hidden="1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134</v>
      </c>
      <c r="R2824" s="94" t="s">
        <v>515</v>
      </c>
      <c r="S2824" s="94"/>
    </row>
    <row r="2825" spans="1:19" hidden="1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134</v>
      </c>
      <c r="R2825" s="94" t="s">
        <v>515</v>
      </c>
      <c r="S2825" s="94"/>
    </row>
    <row r="2826" spans="1:19" hidden="1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134</v>
      </c>
      <c r="R2826" s="94" t="s">
        <v>515</v>
      </c>
      <c r="S2826" s="94"/>
    </row>
    <row r="2827" spans="1:19" hidden="1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134</v>
      </c>
      <c r="R2827" s="94" t="s">
        <v>515</v>
      </c>
      <c r="S2827" s="94"/>
    </row>
    <row r="2828" spans="1:19" hidden="1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134</v>
      </c>
      <c r="R2828" s="94" t="s">
        <v>515</v>
      </c>
      <c r="S2828" s="94"/>
    </row>
    <row r="2829" spans="1:19" hidden="1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134</v>
      </c>
      <c r="R2829" s="94" t="s">
        <v>515</v>
      </c>
      <c r="S2829" s="94"/>
    </row>
    <row r="2830" spans="1:19" hidden="1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134</v>
      </c>
      <c r="R2830" s="94" t="s">
        <v>515</v>
      </c>
      <c r="S2830" s="94"/>
    </row>
    <row r="2831" spans="1:19" hidden="1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134</v>
      </c>
      <c r="R2831" s="94" t="s">
        <v>515</v>
      </c>
      <c r="S2831" s="94"/>
    </row>
    <row r="2832" spans="1:19" hidden="1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134</v>
      </c>
      <c r="R2832" s="94" t="s">
        <v>515</v>
      </c>
      <c r="S2832" s="94"/>
    </row>
    <row r="2833" spans="1:19" hidden="1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134</v>
      </c>
      <c r="R2833" s="110" t="s">
        <v>780</v>
      </c>
      <c r="S2833" s="94"/>
    </row>
    <row r="2834" spans="1:19" hidden="1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134</v>
      </c>
      <c r="R2834" s="110" t="s">
        <v>780</v>
      </c>
      <c r="S2834" s="94"/>
    </row>
    <row r="2835" spans="1:19" hidden="1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132</v>
      </c>
      <c r="R2835" s="110" t="s">
        <v>1459</v>
      </c>
      <c r="S2835" s="94"/>
    </row>
    <row r="2836" spans="1:19" hidden="1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132</v>
      </c>
      <c r="R2836" s="115" t="s">
        <v>489</v>
      </c>
      <c r="S2836" s="94"/>
    </row>
    <row r="2837" spans="1:19" hidden="1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132</v>
      </c>
      <c r="R2837" s="115" t="s">
        <v>489</v>
      </c>
      <c r="S2837" s="94"/>
    </row>
    <row r="2838" spans="1:19" hidden="1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132</v>
      </c>
      <c r="R2838" s="115" t="s">
        <v>489</v>
      </c>
      <c r="S2838" s="94"/>
    </row>
    <row r="2839" spans="1:19" hidden="1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132</v>
      </c>
      <c r="R2839" s="115" t="s">
        <v>489</v>
      </c>
      <c r="S2839" s="94"/>
    </row>
    <row r="2840" spans="1:19" hidden="1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132</v>
      </c>
      <c r="R2840" s="115" t="s">
        <v>489</v>
      </c>
      <c r="S2840" s="94"/>
    </row>
    <row r="2841" spans="1:19" hidden="1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132</v>
      </c>
      <c r="R2841" s="115" t="s">
        <v>489</v>
      </c>
      <c r="S2841" s="94"/>
    </row>
    <row r="2842" spans="1:19" hidden="1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132</v>
      </c>
      <c r="R2842" s="115" t="s">
        <v>489</v>
      </c>
      <c r="S2842" s="94"/>
    </row>
    <row r="2843" spans="1:19" hidden="1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132</v>
      </c>
      <c r="R2843" s="115" t="s">
        <v>489</v>
      </c>
      <c r="S2843" s="94"/>
    </row>
    <row r="2844" spans="1:19" hidden="1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132</v>
      </c>
      <c r="R2844" s="115" t="s">
        <v>515</v>
      </c>
      <c r="S2844" s="94"/>
    </row>
    <row r="2845" spans="1:19" hidden="1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131</v>
      </c>
      <c r="R2845" s="115" t="s">
        <v>489</v>
      </c>
      <c r="S2845" s="94"/>
    </row>
    <row r="2846" spans="1:19" hidden="1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131</v>
      </c>
      <c r="R2846" s="115" t="s">
        <v>489</v>
      </c>
      <c r="S2846" s="94"/>
    </row>
    <row r="2847" spans="1:19" hidden="1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131</v>
      </c>
      <c r="R2847" s="115" t="s">
        <v>489</v>
      </c>
      <c r="S2847" s="94"/>
    </row>
    <row r="2848" spans="1:19" hidden="1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130</v>
      </c>
      <c r="R2848" s="115" t="s">
        <v>4820</v>
      </c>
      <c r="S2848" s="94"/>
    </row>
    <row r="2849" spans="1:19" hidden="1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130</v>
      </c>
      <c r="R2849" s="115" t="s">
        <v>4819</v>
      </c>
      <c r="S2849" s="94"/>
    </row>
    <row r="2850" spans="1:19" hidden="1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130</v>
      </c>
      <c r="R2850" s="115" t="s">
        <v>4819</v>
      </c>
      <c r="S2850" s="94"/>
    </row>
    <row r="2851" spans="1:19" hidden="1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130</v>
      </c>
      <c r="R2851" s="115" t="s">
        <v>4819</v>
      </c>
      <c r="S2851" s="94"/>
    </row>
    <row r="2852" spans="1:19" hidden="1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130</v>
      </c>
      <c r="R2852" s="115" t="s">
        <v>481</v>
      </c>
      <c r="S2852" s="94"/>
    </row>
    <row r="2853" spans="1:19" hidden="1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130</v>
      </c>
      <c r="R2853" s="115" t="s">
        <v>481</v>
      </c>
      <c r="S2853" s="94"/>
    </row>
    <row r="2854" spans="1:19" hidden="1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129</v>
      </c>
      <c r="R2854" s="115" t="s">
        <v>410</v>
      </c>
      <c r="S2854" s="94"/>
    </row>
    <row r="2855" spans="1:19" hidden="1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129</v>
      </c>
      <c r="R2855" s="115" t="s">
        <v>4819</v>
      </c>
      <c r="S2855" s="94"/>
    </row>
    <row r="2856" spans="1:19" hidden="1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127</v>
      </c>
      <c r="R2856" s="115" t="s">
        <v>410</v>
      </c>
      <c r="S2856" s="94"/>
    </row>
    <row r="2857" spans="1:19" hidden="1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126</v>
      </c>
      <c r="R2857" s="115" t="s">
        <v>410</v>
      </c>
      <c r="S2857" s="120"/>
    </row>
    <row r="2858" spans="1:19" hidden="1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126</v>
      </c>
      <c r="R2858" s="115" t="s">
        <v>780</v>
      </c>
      <c r="S2858" s="120"/>
    </row>
    <row r="2859" spans="1:19" hidden="1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126</v>
      </c>
      <c r="R2859" s="115" t="s">
        <v>780</v>
      </c>
      <c r="S2859" s="120"/>
    </row>
    <row r="2860" spans="1:19" hidden="1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125</v>
      </c>
      <c r="R2860" s="115" t="s">
        <v>856</v>
      </c>
      <c r="S2860" s="120"/>
    </row>
    <row r="2861" spans="1:19" hidden="1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125</v>
      </c>
      <c r="R2861" s="115" t="s">
        <v>856</v>
      </c>
      <c r="S2861" s="120"/>
    </row>
    <row r="2862" spans="1:19" hidden="1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125</v>
      </c>
      <c r="R2862" s="115" t="s">
        <v>489</v>
      </c>
      <c r="S2862" s="120"/>
    </row>
    <row r="2863" spans="1:19" hidden="1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123</v>
      </c>
      <c r="R2864" s="115" t="s">
        <v>515</v>
      </c>
      <c r="S2864" s="120"/>
    </row>
    <row r="2865" spans="1:19" hidden="1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123</v>
      </c>
      <c r="R2865" s="115" t="s">
        <v>515</v>
      </c>
      <c r="S2865" s="120"/>
    </row>
    <row r="2866" spans="1:19" hidden="1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123</v>
      </c>
      <c r="R2866" s="115" t="s">
        <v>515</v>
      </c>
      <c r="S2866" s="120"/>
    </row>
    <row r="2867" spans="1:19" hidden="1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123</v>
      </c>
      <c r="R2867" s="115" t="s">
        <v>515</v>
      </c>
      <c r="S2867" s="120"/>
    </row>
    <row r="2868" spans="1:19" hidden="1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123</v>
      </c>
      <c r="R2868" s="115" t="s">
        <v>415</v>
      </c>
      <c r="S2868" s="120"/>
    </row>
    <row r="2869" spans="1:19" hidden="1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123</v>
      </c>
      <c r="R2869" s="115" t="s">
        <v>410</v>
      </c>
      <c r="S2869" s="123"/>
    </row>
    <row r="2870" spans="1:19" hidden="1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123</v>
      </c>
      <c r="R2870" s="115" t="s">
        <v>856</v>
      </c>
      <c r="S2870" s="125"/>
    </row>
    <row r="2871" spans="1:19" hidden="1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120</v>
      </c>
      <c r="R2871" s="115" t="s">
        <v>415</v>
      </c>
      <c r="S2871" s="125"/>
    </row>
    <row r="2872" spans="1:19" hidden="1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120</v>
      </c>
      <c r="R2872" s="115" t="s">
        <v>515</v>
      </c>
      <c r="S2872" s="125"/>
    </row>
    <row r="2873" spans="1:19" hidden="1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120</v>
      </c>
      <c r="R2873" s="115" t="s">
        <v>515</v>
      </c>
      <c r="S2873" s="125"/>
    </row>
    <row r="2874" spans="1:19" hidden="1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120</v>
      </c>
      <c r="R2874" s="115" t="s">
        <v>515</v>
      </c>
      <c r="S2874" s="125"/>
    </row>
    <row r="2875" spans="1:19" hidden="1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120</v>
      </c>
      <c r="R2875" s="115" t="s">
        <v>515</v>
      </c>
      <c r="S2875" s="125"/>
    </row>
    <row r="2876" spans="1:19" hidden="1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120</v>
      </c>
      <c r="R2876" s="115" t="s">
        <v>515</v>
      </c>
      <c r="S2876" s="125"/>
    </row>
    <row r="2877" spans="1:19" hidden="1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120</v>
      </c>
      <c r="R2877" s="115" t="s">
        <v>515</v>
      </c>
      <c r="S2877" s="125"/>
    </row>
    <row r="2878" spans="1:19" hidden="1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120</v>
      </c>
      <c r="R2878" s="115" t="s">
        <v>515</v>
      </c>
      <c r="S2878" s="125"/>
    </row>
    <row r="2879" spans="1:19" hidden="1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120</v>
      </c>
      <c r="R2879" s="115" t="s">
        <v>515</v>
      </c>
      <c r="S2879" s="125"/>
    </row>
    <row r="2880" spans="1:19" hidden="1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120</v>
      </c>
      <c r="R2880" s="115" t="s">
        <v>515</v>
      </c>
      <c r="S2880" s="125"/>
    </row>
    <row r="2881" spans="1:19" hidden="1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120</v>
      </c>
      <c r="R2881" s="115" t="s">
        <v>515</v>
      </c>
      <c r="S2881" s="125"/>
    </row>
    <row r="2882" spans="1:19" hidden="1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120</v>
      </c>
      <c r="R2882" s="115" t="s">
        <v>515</v>
      </c>
      <c r="S2882" s="125"/>
    </row>
    <row r="2883" spans="1:19" hidden="1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120</v>
      </c>
      <c r="R2883" s="115" t="s">
        <v>515</v>
      </c>
      <c r="S2883" s="125"/>
    </row>
    <row r="2884" spans="1:19" hidden="1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120</v>
      </c>
      <c r="R2884" s="115" t="s">
        <v>515</v>
      </c>
      <c r="S2884" s="125"/>
    </row>
    <row r="2885" spans="1:19" hidden="1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120</v>
      </c>
      <c r="R2885" s="115" t="s">
        <v>515</v>
      </c>
      <c r="S2885" s="125"/>
    </row>
    <row r="2886" spans="1:19" hidden="1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120</v>
      </c>
      <c r="R2886" s="115" t="s">
        <v>515</v>
      </c>
      <c r="S2886" s="125"/>
    </row>
    <row r="2887" spans="1:19" hidden="1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120</v>
      </c>
      <c r="R2887" s="115" t="s">
        <v>515</v>
      </c>
      <c r="S2887" s="125"/>
    </row>
    <row r="2888" spans="1:19" hidden="1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120</v>
      </c>
      <c r="R2888" s="115" t="s">
        <v>515</v>
      </c>
      <c r="S2888" s="125"/>
    </row>
    <row r="2889" spans="1:19" hidden="1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120</v>
      </c>
      <c r="R2889" s="115" t="s">
        <v>515</v>
      </c>
      <c r="S2889" s="125"/>
    </row>
    <row r="2890" spans="1:19" hidden="1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120</v>
      </c>
      <c r="R2890" s="115" t="s">
        <v>489</v>
      </c>
      <c r="S2890" s="125"/>
    </row>
    <row r="2891" spans="1:19" hidden="1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120</v>
      </c>
      <c r="R2891" s="115" t="s">
        <v>489</v>
      </c>
      <c r="S2891" s="125"/>
    </row>
    <row r="2892" spans="1:19" hidden="1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120</v>
      </c>
      <c r="R2892" s="115" t="s">
        <v>489</v>
      </c>
      <c r="S2892" s="125"/>
    </row>
    <row r="2893" spans="1:19" hidden="1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120</v>
      </c>
      <c r="R2893" s="115" t="s">
        <v>489</v>
      </c>
      <c r="S2893" s="125"/>
    </row>
    <row r="2894" spans="1:19" hidden="1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120</v>
      </c>
      <c r="R2894" s="115" t="s">
        <v>489</v>
      </c>
      <c r="S2894" s="125"/>
    </row>
    <row r="2895" spans="1:19" hidden="1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120</v>
      </c>
      <c r="R2895" s="115" t="s">
        <v>489</v>
      </c>
      <c r="S2895" s="125"/>
    </row>
    <row r="2896" spans="1:19" hidden="1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120</v>
      </c>
      <c r="R2896" s="115" t="s">
        <v>489</v>
      </c>
      <c r="S2896" s="125"/>
    </row>
    <row r="2897" spans="1:19" hidden="1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120</v>
      </c>
      <c r="R2897" s="115" t="s">
        <v>972</v>
      </c>
      <c r="S2897" s="125"/>
    </row>
    <row r="2898" spans="1:19" hidden="1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120</v>
      </c>
      <c r="R2898" s="115" t="s">
        <v>972</v>
      </c>
      <c r="S2898" s="125"/>
    </row>
    <row r="2899" spans="1:19" hidden="1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120</v>
      </c>
      <c r="R2899" s="115" t="s">
        <v>972</v>
      </c>
      <c r="S2899" s="125"/>
    </row>
    <row r="2900" spans="1:19" hidden="1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119</v>
      </c>
      <c r="R2900" s="115" t="s">
        <v>515</v>
      </c>
      <c r="S2900" s="125"/>
    </row>
    <row r="2901" spans="1:19" hidden="1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119</v>
      </c>
      <c r="R2901" s="115" t="s">
        <v>515</v>
      </c>
      <c r="S2901" s="125"/>
    </row>
    <row r="2902" spans="1:19" hidden="1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117</v>
      </c>
      <c r="R2902" s="115" t="s">
        <v>515</v>
      </c>
      <c r="S2902" s="125"/>
    </row>
    <row r="2903" spans="1:19" hidden="1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117</v>
      </c>
      <c r="R2903" s="115" t="s">
        <v>515</v>
      </c>
      <c r="S2903" s="125"/>
    </row>
    <row r="2904" spans="1:19" hidden="1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117</v>
      </c>
      <c r="R2904" s="115" t="s">
        <v>515</v>
      </c>
      <c r="S2904" s="125"/>
    </row>
    <row r="2905" spans="1:19" hidden="1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117</v>
      </c>
      <c r="R2905" s="115" t="s">
        <v>489</v>
      </c>
      <c r="S2905" s="125"/>
    </row>
    <row r="2906" spans="1:19" hidden="1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117</v>
      </c>
      <c r="R2906" s="115" t="s">
        <v>489</v>
      </c>
      <c r="S2906" s="125"/>
    </row>
    <row r="2907" spans="1:19" hidden="1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117</v>
      </c>
      <c r="R2907" s="115" t="s">
        <v>972</v>
      </c>
      <c r="S2907" s="125"/>
    </row>
    <row r="2908" spans="1:19" hidden="1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117</v>
      </c>
      <c r="R2908" s="115" t="s">
        <v>764</v>
      </c>
      <c r="S2908" s="125"/>
    </row>
    <row r="2909" spans="1:19" hidden="1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117</v>
      </c>
      <c r="R2909" s="115" t="s">
        <v>764</v>
      </c>
      <c r="S2909" s="125"/>
    </row>
    <row r="2910" spans="1:19" hidden="1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117</v>
      </c>
      <c r="R2910" s="115" t="s">
        <v>764</v>
      </c>
      <c r="S2910" s="125"/>
    </row>
    <row r="2911" spans="1:19" hidden="1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117</v>
      </c>
      <c r="R2911" s="115" t="s">
        <v>410</v>
      </c>
      <c r="S2911" s="125"/>
    </row>
    <row r="2912" spans="1:19" hidden="1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115</v>
      </c>
      <c r="R2912" s="115" t="s">
        <v>972</v>
      </c>
      <c r="S2912" s="125"/>
    </row>
    <row r="2913" spans="1:19" hidden="1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115</v>
      </c>
      <c r="R2913" s="115" t="s">
        <v>972</v>
      </c>
      <c r="S2913" s="125"/>
    </row>
    <row r="2914" spans="1:19" hidden="1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115</v>
      </c>
      <c r="R2914" s="115" t="s">
        <v>972</v>
      </c>
      <c r="S2914" s="125"/>
    </row>
    <row r="2915" spans="1:19" hidden="1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115</v>
      </c>
      <c r="R2915" s="115" t="s">
        <v>972</v>
      </c>
      <c r="S2915" s="125"/>
    </row>
    <row r="2916" spans="1:19" hidden="1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115</v>
      </c>
      <c r="R2916" s="115" t="s">
        <v>972</v>
      </c>
      <c r="S2916" s="125"/>
    </row>
    <row r="2917" spans="1:19" hidden="1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115</v>
      </c>
      <c r="R2917" s="115" t="s">
        <v>972</v>
      </c>
      <c r="S2917" s="125"/>
    </row>
    <row r="2918" spans="1:19" hidden="1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115</v>
      </c>
      <c r="R2918" s="115" t="s">
        <v>972</v>
      </c>
      <c r="S2918" s="125"/>
    </row>
    <row r="2919" spans="1:19" hidden="1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115</v>
      </c>
      <c r="R2919" s="115" t="s">
        <v>515</v>
      </c>
      <c r="S2919" s="125"/>
    </row>
    <row r="2920" spans="1:19" hidden="1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114</v>
      </c>
      <c r="R2920" s="115" t="s">
        <v>415</v>
      </c>
      <c r="S2920" s="125"/>
    </row>
    <row r="2921" spans="1:19" hidden="1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114</v>
      </c>
      <c r="R2921" s="115" t="s">
        <v>415</v>
      </c>
      <c r="S2921" s="125"/>
    </row>
    <row r="2922" spans="1:19" hidden="1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114</v>
      </c>
      <c r="R2922" s="115" t="s">
        <v>415</v>
      </c>
      <c r="S2922" s="125"/>
    </row>
    <row r="2923" spans="1:19" hidden="1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114</v>
      </c>
      <c r="R2923" s="115" t="s">
        <v>415</v>
      </c>
      <c r="S2923" s="125"/>
    </row>
    <row r="2924" spans="1:19" hidden="1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114</v>
      </c>
      <c r="R2924" s="115" t="s">
        <v>415</v>
      </c>
      <c r="S2924" s="125"/>
    </row>
    <row r="2925" spans="1:19" hidden="1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114</v>
      </c>
      <c r="R2925" s="115" t="s">
        <v>415</v>
      </c>
      <c r="S2925" s="125"/>
    </row>
    <row r="2926" spans="1:19" hidden="1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114</v>
      </c>
      <c r="R2926" s="115" t="s">
        <v>415</v>
      </c>
      <c r="S2926" s="125"/>
    </row>
    <row r="2927" spans="1:19" hidden="1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114</v>
      </c>
      <c r="R2927" s="115" t="s">
        <v>415</v>
      </c>
      <c r="S2927" s="125"/>
    </row>
    <row r="2928" spans="1:19" hidden="1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114</v>
      </c>
      <c r="R2928" s="115" t="s">
        <v>415</v>
      </c>
      <c r="S2928" s="125"/>
    </row>
    <row r="2929" spans="1:19" hidden="1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114</v>
      </c>
      <c r="R2929" s="115" t="s">
        <v>415</v>
      </c>
      <c r="S2929" s="125"/>
    </row>
    <row r="2930" spans="1:19" hidden="1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114</v>
      </c>
      <c r="R2930" s="115" t="s">
        <v>415</v>
      </c>
      <c r="S2930" s="125"/>
    </row>
    <row r="2931" spans="1:19" hidden="1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114</v>
      </c>
      <c r="R2931" s="115" t="s">
        <v>415</v>
      </c>
      <c r="S2931" s="125"/>
    </row>
    <row r="2932" spans="1:19" hidden="1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114</v>
      </c>
      <c r="R2932" s="115" t="s">
        <v>415</v>
      </c>
      <c r="S2932" s="125"/>
    </row>
    <row r="2933" spans="1:19" hidden="1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114</v>
      </c>
      <c r="R2933" s="115" t="s">
        <v>415</v>
      </c>
      <c r="S2933" s="125"/>
    </row>
    <row r="2934" spans="1:19" hidden="1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114</v>
      </c>
      <c r="R2934" s="115" t="s">
        <v>415</v>
      </c>
      <c r="S2934" s="125"/>
    </row>
    <row r="2935" spans="1:19" hidden="1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114</v>
      </c>
      <c r="R2935" s="115" t="s">
        <v>415</v>
      </c>
      <c r="S2935" s="125"/>
    </row>
    <row r="2936" spans="1:19" hidden="1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114</v>
      </c>
      <c r="R2936" s="115" t="s">
        <v>415</v>
      </c>
      <c r="S2936" s="125"/>
    </row>
    <row r="2937" spans="1:19" hidden="1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112</v>
      </c>
      <c r="R2937" s="115" t="s">
        <v>1013</v>
      </c>
      <c r="S2937" s="125"/>
    </row>
    <row r="2938" spans="1:19" hidden="1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112</v>
      </c>
      <c r="R2938" s="115" t="s">
        <v>1013</v>
      </c>
      <c r="S2938" s="125"/>
    </row>
    <row r="2939" spans="1:19" hidden="1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112</v>
      </c>
      <c r="R2939" s="115" t="s">
        <v>1013</v>
      </c>
      <c r="S2939" s="125"/>
    </row>
    <row r="2940" spans="1:19" hidden="1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112</v>
      </c>
      <c r="R2940" s="115" t="s">
        <v>1013</v>
      </c>
      <c r="S2940" s="125"/>
    </row>
    <row r="2941" spans="1:19" hidden="1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112</v>
      </c>
      <c r="R2941" s="115" t="s">
        <v>1013</v>
      </c>
      <c r="S2941" s="125"/>
    </row>
    <row r="2942" spans="1:19" hidden="1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112</v>
      </c>
      <c r="R2942" s="115" t="s">
        <v>1013</v>
      </c>
      <c r="S2942" s="125"/>
    </row>
    <row r="2943" spans="1:19" hidden="1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112</v>
      </c>
      <c r="R2943" s="115" t="s">
        <v>1013</v>
      </c>
      <c r="S2943" s="125"/>
    </row>
    <row r="2944" spans="1:19" hidden="1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112</v>
      </c>
      <c r="R2944" s="115" t="s">
        <v>1013</v>
      </c>
      <c r="S2944" s="125"/>
    </row>
    <row r="2945" spans="1:19" hidden="1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112</v>
      </c>
      <c r="R2945" s="115" t="s">
        <v>1013</v>
      </c>
      <c r="S2945" s="125"/>
    </row>
    <row r="2946" spans="1:19" hidden="1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112</v>
      </c>
      <c r="R2946" s="115" t="s">
        <v>1013</v>
      </c>
      <c r="S2946" s="125"/>
    </row>
    <row r="2947" spans="1:19" hidden="1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112</v>
      </c>
      <c r="R2947" s="115" t="s">
        <v>1013</v>
      </c>
      <c r="S2947" s="125"/>
    </row>
    <row r="2948" spans="1:19" hidden="1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112</v>
      </c>
      <c r="R2948" s="115" t="s">
        <v>1013</v>
      </c>
      <c r="S2948" s="125"/>
    </row>
    <row r="2949" spans="1:19" hidden="1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112</v>
      </c>
      <c r="R2949" s="115" t="s">
        <v>1013</v>
      </c>
      <c r="S2949" s="125"/>
    </row>
    <row r="2950" spans="1:19" hidden="1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112</v>
      </c>
      <c r="R2950" s="115" t="s">
        <v>1013</v>
      </c>
      <c r="S2950" s="125"/>
    </row>
    <row r="2951" spans="1:19" hidden="1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112</v>
      </c>
      <c r="R2951" s="115" t="s">
        <v>1013</v>
      </c>
      <c r="S2951" s="125"/>
    </row>
    <row r="2952" spans="1:19" hidden="1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112</v>
      </c>
      <c r="R2952" s="115" t="s">
        <v>1013</v>
      </c>
      <c r="S2952" s="125"/>
    </row>
    <row r="2953" spans="1:19" hidden="1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112</v>
      </c>
      <c r="R2953" s="115" t="s">
        <v>1013</v>
      </c>
      <c r="S2953" s="125"/>
    </row>
    <row r="2954" spans="1:19" hidden="1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112</v>
      </c>
      <c r="R2954" s="115" t="s">
        <v>1013</v>
      </c>
      <c r="S2954" s="125"/>
    </row>
    <row r="2955" spans="1:19" hidden="1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112</v>
      </c>
      <c r="R2955" s="115" t="s">
        <v>1013</v>
      </c>
      <c r="S2955" s="125"/>
    </row>
    <row r="2956" spans="1:19" hidden="1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112</v>
      </c>
      <c r="R2956" s="115" t="s">
        <v>1013</v>
      </c>
      <c r="S2956" s="125"/>
    </row>
    <row r="2957" spans="1:19" hidden="1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112</v>
      </c>
      <c r="R2957" s="115" t="s">
        <v>1013</v>
      </c>
      <c r="S2957" s="125"/>
    </row>
    <row r="2958" spans="1:19" hidden="1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112</v>
      </c>
      <c r="R2958" s="115" t="s">
        <v>1013</v>
      </c>
      <c r="S2958" s="125"/>
    </row>
    <row r="2959" spans="1:19" hidden="1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112</v>
      </c>
      <c r="R2959" s="115" t="s">
        <v>1013</v>
      </c>
      <c r="S2959" s="125"/>
    </row>
    <row r="2960" spans="1:19" hidden="1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112</v>
      </c>
      <c r="R2960" s="115" t="s">
        <v>1013</v>
      </c>
      <c r="S2960" s="125"/>
    </row>
    <row r="2961" spans="1:19" hidden="1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112</v>
      </c>
      <c r="R2961" s="115" t="s">
        <v>1013</v>
      </c>
      <c r="S2961" s="125"/>
    </row>
    <row r="2962" spans="1:19" hidden="1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112</v>
      </c>
      <c r="R2962" s="115" t="s">
        <v>1013</v>
      </c>
      <c r="S2962" s="125"/>
    </row>
    <row r="2963" spans="1:19" hidden="1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112</v>
      </c>
      <c r="R2963" s="115" t="s">
        <v>1013</v>
      </c>
      <c r="S2963" s="125"/>
    </row>
    <row r="2964" spans="1:19" hidden="1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112</v>
      </c>
      <c r="R2964" s="115" t="s">
        <v>1013</v>
      </c>
      <c r="S2964" s="125"/>
    </row>
    <row r="2965" spans="1:19" hidden="1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112</v>
      </c>
      <c r="R2965" s="115" t="s">
        <v>1013</v>
      </c>
      <c r="S2965" s="125"/>
    </row>
    <row r="2966" spans="1:19" hidden="1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112</v>
      </c>
      <c r="R2966" s="115" t="s">
        <v>1013</v>
      </c>
      <c r="S2966" s="125"/>
    </row>
    <row r="2967" spans="1:19" hidden="1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112</v>
      </c>
      <c r="R2967" s="115" t="s">
        <v>1013</v>
      </c>
      <c r="S2967" s="125"/>
    </row>
    <row r="2968" spans="1:19" hidden="1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112</v>
      </c>
      <c r="R2968" s="115" t="s">
        <v>1013</v>
      </c>
      <c r="S2968" s="125"/>
    </row>
    <row r="2969" spans="1:19" hidden="1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112</v>
      </c>
      <c r="R2969" s="115" t="s">
        <v>1013</v>
      </c>
      <c r="S2969" s="125"/>
    </row>
    <row r="2970" spans="1:19" hidden="1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112</v>
      </c>
      <c r="R2970" s="115" t="s">
        <v>1013</v>
      </c>
      <c r="S2970" s="125"/>
    </row>
    <row r="2971" spans="1:19" hidden="1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112</v>
      </c>
      <c r="R2971" s="115" t="s">
        <v>1013</v>
      </c>
      <c r="S2971" s="125"/>
    </row>
    <row r="2972" spans="1:19" hidden="1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112</v>
      </c>
      <c r="R2972" s="115" t="s">
        <v>1013</v>
      </c>
      <c r="S2972" s="125"/>
    </row>
    <row r="2973" spans="1:19" hidden="1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112</v>
      </c>
      <c r="R2973" s="115" t="s">
        <v>1013</v>
      </c>
      <c r="S2973" s="125"/>
    </row>
    <row r="2974" spans="1:19" hidden="1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112</v>
      </c>
      <c r="R2974" s="115" t="s">
        <v>1013</v>
      </c>
      <c r="S2974" s="125"/>
    </row>
    <row r="2975" spans="1:19" hidden="1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112</v>
      </c>
      <c r="R2975" s="115" t="s">
        <v>1013</v>
      </c>
      <c r="S2975" s="125"/>
    </row>
    <row r="2976" spans="1:19" hidden="1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112</v>
      </c>
      <c r="R2976" s="115" t="s">
        <v>1013</v>
      </c>
      <c r="S2976" s="125"/>
    </row>
    <row r="2977" spans="1:19" hidden="1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112</v>
      </c>
      <c r="R2977" s="115" t="s">
        <v>1013</v>
      </c>
      <c r="S2977" s="125"/>
    </row>
    <row r="2978" spans="1:19" hidden="1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112</v>
      </c>
      <c r="R2978" s="115" t="s">
        <v>1013</v>
      </c>
      <c r="S2978" s="125"/>
    </row>
    <row r="2979" spans="1:19" hidden="1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112</v>
      </c>
      <c r="R2979" s="115" t="s">
        <v>1013</v>
      </c>
      <c r="S2979" s="125"/>
    </row>
    <row r="2980" spans="1:19" hidden="1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112</v>
      </c>
      <c r="R2980" s="115" t="s">
        <v>1013</v>
      </c>
      <c r="S2980" s="125"/>
    </row>
    <row r="2981" spans="1:19" hidden="1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112</v>
      </c>
      <c r="R2981" s="115" t="s">
        <v>1013</v>
      </c>
      <c r="S2981" s="125"/>
    </row>
    <row r="2982" spans="1:19" hidden="1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112</v>
      </c>
      <c r="R2982" s="115" t="s">
        <v>1013</v>
      </c>
      <c r="S2982" s="125"/>
    </row>
    <row r="2983" spans="1:19" hidden="1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112</v>
      </c>
      <c r="R2983" s="115" t="s">
        <v>1013</v>
      </c>
      <c r="S2983" s="125"/>
    </row>
    <row r="2984" spans="1:19" hidden="1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112</v>
      </c>
      <c r="R2984" s="115" t="s">
        <v>1013</v>
      </c>
      <c r="S2984" s="125"/>
    </row>
    <row r="2985" spans="1:19" hidden="1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112</v>
      </c>
      <c r="R2985" s="115" t="s">
        <v>1013</v>
      </c>
      <c r="S2985" s="125"/>
    </row>
    <row r="2986" spans="1:19" hidden="1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112</v>
      </c>
      <c r="R2986" s="115" t="s">
        <v>1013</v>
      </c>
      <c r="S2986" s="125"/>
    </row>
    <row r="2987" spans="1:19" hidden="1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112</v>
      </c>
      <c r="R2987" s="115" t="s">
        <v>1013</v>
      </c>
      <c r="S2987" s="125"/>
    </row>
    <row r="2988" spans="1:19" hidden="1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112</v>
      </c>
      <c r="R2988" s="115" t="s">
        <v>1013</v>
      </c>
      <c r="S2988" s="125"/>
    </row>
    <row r="2989" spans="1:19" hidden="1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112</v>
      </c>
      <c r="R2989" s="115" t="s">
        <v>1013</v>
      </c>
      <c r="S2989" s="125"/>
    </row>
    <row r="2990" spans="1:19" hidden="1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112</v>
      </c>
      <c r="R2990" s="115" t="s">
        <v>1013</v>
      </c>
      <c r="S2990" s="125"/>
    </row>
    <row r="2991" spans="1:19" hidden="1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112</v>
      </c>
      <c r="R2991" s="115" t="s">
        <v>1013</v>
      </c>
      <c r="S2991" s="125"/>
    </row>
    <row r="2992" spans="1:19" hidden="1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112</v>
      </c>
      <c r="R2992" s="115" t="s">
        <v>1013</v>
      </c>
      <c r="S2992" s="125"/>
    </row>
    <row r="2993" spans="1:19" hidden="1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112</v>
      </c>
      <c r="R2993" s="115" t="s">
        <v>1013</v>
      </c>
      <c r="S2993" s="125"/>
    </row>
    <row r="2994" spans="1:19" hidden="1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112</v>
      </c>
      <c r="R2994" s="115" t="s">
        <v>1013</v>
      </c>
      <c r="S2994" s="125"/>
    </row>
    <row r="2995" spans="1:19" hidden="1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112</v>
      </c>
      <c r="R2995" s="115" t="s">
        <v>1013</v>
      </c>
      <c r="S2995" s="125"/>
    </row>
    <row r="2996" spans="1:19" hidden="1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112</v>
      </c>
      <c r="R2996" s="115" t="s">
        <v>1013</v>
      </c>
      <c r="S2996" s="125"/>
    </row>
    <row r="2997" spans="1:19" hidden="1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112</v>
      </c>
      <c r="R2997" s="115" t="s">
        <v>1013</v>
      </c>
      <c r="S2997" s="125"/>
    </row>
    <row r="2998" spans="1:19" hidden="1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112</v>
      </c>
      <c r="R2998" s="115" t="s">
        <v>1013</v>
      </c>
      <c r="S2998" s="125"/>
    </row>
    <row r="2999" spans="1:19" hidden="1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112</v>
      </c>
      <c r="R2999" s="115" t="s">
        <v>1013</v>
      </c>
      <c r="S2999" s="125"/>
    </row>
    <row r="3000" spans="1:19" hidden="1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112</v>
      </c>
      <c r="R3000" s="115" t="s">
        <v>1013</v>
      </c>
      <c r="S3000" s="125"/>
    </row>
    <row r="3001" spans="1:19" hidden="1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112</v>
      </c>
      <c r="R3001" s="115" t="s">
        <v>1013</v>
      </c>
      <c r="S3001" s="125"/>
    </row>
    <row r="3002" spans="1:19" hidden="1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112</v>
      </c>
      <c r="R3002" s="115" t="s">
        <v>1013</v>
      </c>
      <c r="S3002" s="125"/>
    </row>
    <row r="3003" spans="1:19" hidden="1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112</v>
      </c>
      <c r="R3003" s="115" t="s">
        <v>1013</v>
      </c>
      <c r="S3003" s="125"/>
    </row>
    <row r="3004" spans="1:19" hidden="1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112</v>
      </c>
      <c r="R3004" s="115" t="s">
        <v>1013</v>
      </c>
      <c r="S3004" s="125"/>
    </row>
    <row r="3005" spans="1:19" hidden="1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112</v>
      </c>
      <c r="R3005" s="115" t="s">
        <v>1013</v>
      </c>
      <c r="S3005" s="125"/>
    </row>
    <row r="3006" spans="1:19" hidden="1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112</v>
      </c>
      <c r="R3006" s="115" t="s">
        <v>1013</v>
      </c>
      <c r="S3006" s="125"/>
    </row>
    <row r="3007" spans="1:19" hidden="1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112</v>
      </c>
      <c r="R3007" s="115" t="s">
        <v>1013</v>
      </c>
      <c r="S3007" s="125"/>
    </row>
    <row r="3008" spans="1:19" hidden="1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112</v>
      </c>
      <c r="R3008" s="115" t="s">
        <v>1013</v>
      </c>
      <c r="S3008" s="125"/>
    </row>
    <row r="3009" spans="1:19" hidden="1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112</v>
      </c>
      <c r="R3009" s="115" t="s">
        <v>1013</v>
      </c>
      <c r="S3009" s="125"/>
    </row>
    <row r="3010" spans="1:19" hidden="1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112</v>
      </c>
      <c r="R3010" s="115" t="s">
        <v>1013</v>
      </c>
      <c r="S3010" s="125"/>
    </row>
    <row r="3011" spans="1:19" hidden="1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112</v>
      </c>
      <c r="R3011" s="115" t="s">
        <v>1013</v>
      </c>
      <c r="S3011" s="125"/>
    </row>
    <row r="3012" spans="1:19" hidden="1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112</v>
      </c>
      <c r="R3012" s="115" t="s">
        <v>1013</v>
      </c>
      <c r="S3012" s="125"/>
    </row>
    <row r="3013" spans="1:19" hidden="1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112</v>
      </c>
      <c r="R3013" s="115" t="s">
        <v>1013</v>
      </c>
      <c r="S3013" s="125"/>
    </row>
    <row r="3014" spans="1:19" hidden="1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112</v>
      </c>
      <c r="R3014" s="115" t="s">
        <v>1013</v>
      </c>
      <c r="S3014" s="125"/>
    </row>
    <row r="3015" spans="1:19" hidden="1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112</v>
      </c>
      <c r="R3015" s="115" t="s">
        <v>1013</v>
      </c>
      <c r="S3015" s="125"/>
    </row>
    <row r="3016" spans="1:19" hidden="1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112</v>
      </c>
      <c r="R3016" s="115" t="s">
        <v>1013</v>
      </c>
      <c r="S3016" s="125"/>
    </row>
    <row r="3017" spans="1:19" hidden="1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112</v>
      </c>
      <c r="R3017" s="115" t="s">
        <v>1013</v>
      </c>
      <c r="S3017" s="125"/>
    </row>
    <row r="3018" spans="1:19" hidden="1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112</v>
      </c>
      <c r="R3018" s="115" t="s">
        <v>1013</v>
      </c>
      <c r="S3018" s="125"/>
    </row>
    <row r="3019" spans="1:19" hidden="1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112</v>
      </c>
      <c r="R3019" s="115" t="s">
        <v>1013</v>
      </c>
      <c r="S3019" s="125"/>
    </row>
    <row r="3020" spans="1:19" hidden="1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112</v>
      </c>
      <c r="R3020" s="115" t="s">
        <v>1013</v>
      </c>
      <c r="S3020" s="125"/>
    </row>
    <row r="3021" spans="1:19" hidden="1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112</v>
      </c>
      <c r="R3021" s="115" t="s">
        <v>1013</v>
      </c>
      <c r="S3021" s="125"/>
    </row>
    <row r="3022" spans="1:19" hidden="1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112</v>
      </c>
      <c r="R3022" s="115" t="s">
        <v>1013</v>
      </c>
      <c r="S3022" s="125"/>
    </row>
    <row r="3023" spans="1:19" hidden="1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112</v>
      </c>
      <c r="R3023" s="115" t="s">
        <v>1013</v>
      </c>
      <c r="S3023" s="125"/>
    </row>
    <row r="3024" spans="1:19" hidden="1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112</v>
      </c>
      <c r="R3024" s="115" t="s">
        <v>1013</v>
      </c>
      <c r="S3024" s="125"/>
    </row>
    <row r="3025" spans="1:19" hidden="1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112</v>
      </c>
      <c r="R3025" s="115" t="s">
        <v>1013</v>
      </c>
      <c r="S3025" s="125"/>
    </row>
    <row r="3026" spans="1:19" hidden="1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112</v>
      </c>
      <c r="R3026" s="115" t="s">
        <v>1013</v>
      </c>
      <c r="S3026" s="125"/>
    </row>
    <row r="3027" spans="1:19" hidden="1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112</v>
      </c>
      <c r="R3027" s="115" t="s">
        <v>1013</v>
      </c>
      <c r="S3027" s="125"/>
    </row>
    <row r="3028" spans="1:19" hidden="1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112</v>
      </c>
      <c r="R3028" s="115" t="s">
        <v>1013</v>
      </c>
      <c r="S3028" s="125"/>
    </row>
    <row r="3029" spans="1:19" hidden="1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112</v>
      </c>
      <c r="R3029" s="115" t="s">
        <v>1013</v>
      </c>
      <c r="S3029" s="125"/>
    </row>
    <row r="3030" spans="1:19" hidden="1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112</v>
      </c>
      <c r="R3030" s="115" t="s">
        <v>1013</v>
      </c>
      <c r="S3030" s="125"/>
    </row>
    <row r="3031" spans="1:19" hidden="1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112</v>
      </c>
      <c r="R3031" s="115" t="s">
        <v>1013</v>
      </c>
      <c r="S3031" s="125"/>
    </row>
    <row r="3032" spans="1:19" hidden="1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112</v>
      </c>
      <c r="R3032" s="115" t="s">
        <v>1013</v>
      </c>
      <c r="S3032" s="125"/>
    </row>
    <row r="3033" spans="1:19" hidden="1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112</v>
      </c>
      <c r="R3033" s="115" t="s">
        <v>1013</v>
      </c>
      <c r="S3033" s="125"/>
    </row>
    <row r="3034" spans="1:19" hidden="1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112</v>
      </c>
      <c r="R3034" s="115" t="s">
        <v>1013</v>
      </c>
      <c r="S3034" s="125"/>
    </row>
    <row r="3035" spans="1:19" hidden="1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112</v>
      </c>
      <c r="R3035" s="115" t="s">
        <v>1013</v>
      </c>
      <c r="S3035" s="125"/>
    </row>
    <row r="3036" spans="1:19" hidden="1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112</v>
      </c>
      <c r="R3036" s="115" t="s">
        <v>1013</v>
      </c>
      <c r="S3036" s="125"/>
    </row>
    <row r="3037" spans="1:19" hidden="1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112</v>
      </c>
      <c r="R3037" s="115" t="s">
        <v>1013</v>
      </c>
      <c r="S3037" s="125"/>
    </row>
    <row r="3038" spans="1:19" hidden="1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112</v>
      </c>
      <c r="R3038" s="115" t="s">
        <v>1013</v>
      </c>
      <c r="S3038" s="125"/>
    </row>
    <row r="3039" spans="1:19" hidden="1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112</v>
      </c>
      <c r="R3039" s="115" t="s">
        <v>1013</v>
      </c>
      <c r="S3039" s="125"/>
    </row>
    <row r="3040" spans="1:19" hidden="1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112</v>
      </c>
      <c r="R3040" s="115" t="s">
        <v>1013</v>
      </c>
      <c r="S3040" s="125"/>
    </row>
    <row r="3041" spans="1:19" hidden="1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112</v>
      </c>
      <c r="R3041" s="115" t="s">
        <v>1013</v>
      </c>
      <c r="S3041" s="125"/>
    </row>
    <row r="3042" spans="1:19" hidden="1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112</v>
      </c>
      <c r="R3042" s="115" t="s">
        <v>1013</v>
      </c>
      <c r="S3042" s="125"/>
    </row>
    <row r="3043" spans="1:19" hidden="1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112</v>
      </c>
      <c r="R3043" s="115" t="s">
        <v>1013</v>
      </c>
      <c r="S3043" s="125"/>
    </row>
    <row r="3044" spans="1:19" hidden="1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112</v>
      </c>
      <c r="R3044" s="115" t="s">
        <v>1013</v>
      </c>
      <c r="S3044" s="125"/>
    </row>
    <row r="3045" spans="1:19" hidden="1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112</v>
      </c>
      <c r="R3045" s="115" t="s">
        <v>1013</v>
      </c>
      <c r="S3045" s="125"/>
    </row>
    <row r="3046" spans="1:19" hidden="1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112</v>
      </c>
      <c r="R3046" s="115" t="s">
        <v>1013</v>
      </c>
      <c r="S3046" s="125"/>
    </row>
    <row r="3047" spans="1:19" hidden="1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112</v>
      </c>
      <c r="R3047" s="115" t="s">
        <v>1013</v>
      </c>
      <c r="S3047" s="125"/>
    </row>
    <row r="3048" spans="1:19" hidden="1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112</v>
      </c>
      <c r="R3048" s="115" t="s">
        <v>1013</v>
      </c>
      <c r="S3048" s="125"/>
    </row>
    <row r="3049" spans="1:19" hidden="1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112</v>
      </c>
      <c r="R3049" s="115" t="s">
        <v>1013</v>
      </c>
      <c r="S3049" s="125"/>
    </row>
    <row r="3050" spans="1:19" hidden="1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112</v>
      </c>
      <c r="R3050" s="115" t="s">
        <v>1013</v>
      </c>
      <c r="S3050" s="125"/>
    </row>
    <row r="3051" spans="1:19" hidden="1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112</v>
      </c>
      <c r="R3051" s="115" t="s">
        <v>1013</v>
      </c>
      <c r="S3051" s="125"/>
    </row>
    <row r="3052" spans="1:19" hidden="1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112</v>
      </c>
      <c r="R3052" s="115" t="s">
        <v>1013</v>
      </c>
      <c r="S3052" s="125"/>
    </row>
    <row r="3053" spans="1:19" hidden="1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112</v>
      </c>
      <c r="R3053" s="115" t="s">
        <v>1013</v>
      </c>
      <c r="S3053" s="125"/>
    </row>
    <row r="3054" spans="1:19" hidden="1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112</v>
      </c>
      <c r="R3054" s="115" t="s">
        <v>1013</v>
      </c>
      <c r="S3054" s="125"/>
    </row>
    <row r="3055" spans="1:19" hidden="1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112</v>
      </c>
      <c r="R3055" s="115" t="s">
        <v>1013</v>
      </c>
      <c r="S3055" s="125"/>
    </row>
    <row r="3056" spans="1:19" hidden="1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112</v>
      </c>
      <c r="R3056" s="115" t="s">
        <v>1013</v>
      </c>
      <c r="S3056" s="125"/>
    </row>
    <row r="3057" spans="1:19" hidden="1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112</v>
      </c>
      <c r="R3057" s="115" t="s">
        <v>1013</v>
      </c>
      <c r="S3057" s="125"/>
    </row>
    <row r="3058" spans="1:19" hidden="1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112</v>
      </c>
      <c r="R3058" s="115" t="s">
        <v>1013</v>
      </c>
      <c r="S3058" s="125"/>
    </row>
    <row r="3059" spans="1:19" hidden="1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112</v>
      </c>
      <c r="R3059" s="115" t="s">
        <v>1013</v>
      </c>
      <c r="S3059" s="125"/>
    </row>
    <row r="3060" spans="1:19" hidden="1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112</v>
      </c>
      <c r="R3060" s="115" t="s">
        <v>1013</v>
      </c>
      <c r="S3060" s="125"/>
    </row>
    <row r="3061" spans="1:19" hidden="1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112</v>
      </c>
      <c r="R3061" s="115" t="s">
        <v>1013</v>
      </c>
      <c r="S3061" s="125"/>
    </row>
    <row r="3062" spans="1:19" hidden="1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112</v>
      </c>
      <c r="R3062" s="115" t="s">
        <v>1013</v>
      </c>
      <c r="S3062" s="125"/>
    </row>
    <row r="3063" spans="1:19" hidden="1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112</v>
      </c>
      <c r="R3063" s="115" t="s">
        <v>1013</v>
      </c>
      <c r="S3063" s="125"/>
    </row>
    <row r="3064" spans="1:19" hidden="1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112</v>
      </c>
      <c r="R3064" s="115" t="s">
        <v>1013</v>
      </c>
      <c r="S3064" s="125"/>
    </row>
    <row r="3065" spans="1:19" hidden="1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112</v>
      </c>
      <c r="R3065" s="115" t="s">
        <v>1013</v>
      </c>
      <c r="S3065" s="125"/>
    </row>
    <row r="3066" spans="1:19" hidden="1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112</v>
      </c>
      <c r="R3066" s="115" t="s">
        <v>1013</v>
      </c>
      <c r="S3066" s="125"/>
    </row>
    <row r="3067" spans="1:19" hidden="1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112</v>
      </c>
      <c r="R3067" s="115" t="s">
        <v>1013</v>
      </c>
      <c r="S3067" s="125"/>
    </row>
    <row r="3068" spans="1:19" hidden="1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112</v>
      </c>
      <c r="R3068" s="115" t="s">
        <v>1013</v>
      </c>
      <c r="S3068" s="125"/>
    </row>
    <row r="3069" spans="1:19" hidden="1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112</v>
      </c>
      <c r="R3069" s="115" t="s">
        <v>1013</v>
      </c>
      <c r="S3069" s="125"/>
    </row>
    <row r="3070" spans="1:19" hidden="1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112</v>
      </c>
      <c r="R3070" s="115" t="s">
        <v>1013</v>
      </c>
      <c r="S3070" s="125"/>
    </row>
    <row r="3071" spans="1:19" hidden="1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112</v>
      </c>
      <c r="R3071" s="115" t="s">
        <v>1013</v>
      </c>
      <c r="S3071" s="125"/>
    </row>
    <row r="3072" spans="1:19" hidden="1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112</v>
      </c>
      <c r="R3072" s="115" t="s">
        <v>1013</v>
      </c>
      <c r="S3072" s="125"/>
    </row>
    <row r="3073" spans="1:19" hidden="1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112</v>
      </c>
      <c r="R3073" s="115" t="s">
        <v>1013</v>
      </c>
      <c r="S3073" s="125"/>
    </row>
    <row r="3074" spans="1:19" hidden="1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112</v>
      </c>
      <c r="R3074" s="115" t="s">
        <v>1013</v>
      </c>
      <c r="S3074" s="125"/>
    </row>
    <row r="3075" spans="1:19" hidden="1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112</v>
      </c>
      <c r="R3075" s="115" t="s">
        <v>1013</v>
      </c>
      <c r="S3075" s="125"/>
    </row>
    <row r="3076" spans="1:19" hidden="1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112</v>
      </c>
      <c r="R3076" s="115" t="s">
        <v>1013</v>
      </c>
      <c r="S3076" s="125"/>
    </row>
    <row r="3077" spans="1:19" hidden="1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112</v>
      </c>
      <c r="R3077" s="115" t="s">
        <v>1013</v>
      </c>
      <c r="S3077" s="125"/>
    </row>
    <row r="3078" spans="1:19" hidden="1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112</v>
      </c>
      <c r="R3078" s="115" t="s">
        <v>1013</v>
      </c>
      <c r="S3078" s="125"/>
    </row>
    <row r="3079" spans="1:19" hidden="1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112</v>
      </c>
      <c r="R3079" s="115" t="s">
        <v>1013</v>
      </c>
      <c r="S3079" s="125"/>
    </row>
    <row r="3080" spans="1:19" hidden="1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112</v>
      </c>
      <c r="R3080" s="115" t="s">
        <v>1013</v>
      </c>
      <c r="S3080" s="125"/>
    </row>
    <row r="3081" spans="1:19" hidden="1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112</v>
      </c>
      <c r="R3081" s="115" t="s">
        <v>1013</v>
      </c>
      <c r="S3081" s="125"/>
    </row>
    <row r="3082" spans="1:19" hidden="1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112</v>
      </c>
      <c r="R3082" s="115" t="s">
        <v>1013</v>
      </c>
      <c r="S3082" s="125"/>
    </row>
    <row r="3083" spans="1:19" hidden="1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112</v>
      </c>
      <c r="R3083" s="115" t="s">
        <v>1013</v>
      </c>
      <c r="S3083" s="125"/>
    </row>
    <row r="3084" spans="1:19" hidden="1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112</v>
      </c>
      <c r="R3084" s="115" t="s">
        <v>1013</v>
      </c>
      <c r="S3084" s="125"/>
    </row>
    <row r="3085" spans="1:19" hidden="1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112</v>
      </c>
      <c r="R3085" s="115" t="s">
        <v>1013</v>
      </c>
      <c r="S3085" s="125"/>
    </row>
    <row r="3086" spans="1:19" hidden="1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112</v>
      </c>
      <c r="R3086" s="115" t="s">
        <v>1013</v>
      </c>
      <c r="S3086" s="125"/>
    </row>
    <row r="3087" spans="1:19" hidden="1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112</v>
      </c>
      <c r="R3087" s="115" t="s">
        <v>1013</v>
      </c>
      <c r="S3087" s="125"/>
    </row>
    <row r="3088" spans="1:19" hidden="1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112</v>
      </c>
      <c r="R3088" s="115" t="s">
        <v>1013</v>
      </c>
      <c r="S3088" s="125"/>
    </row>
    <row r="3089" spans="1:19" hidden="1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112</v>
      </c>
      <c r="R3089" s="115" t="s">
        <v>1013</v>
      </c>
      <c r="S3089" s="125"/>
    </row>
    <row r="3090" spans="1:19" hidden="1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112</v>
      </c>
      <c r="R3090" s="115" t="s">
        <v>1013</v>
      </c>
      <c r="S3090" s="125"/>
    </row>
    <row r="3091" spans="1:19" hidden="1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112</v>
      </c>
      <c r="R3091" s="115" t="s">
        <v>1013</v>
      </c>
      <c r="S3091" s="125"/>
    </row>
    <row r="3092" spans="1:19" hidden="1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112</v>
      </c>
      <c r="R3092" s="115" t="s">
        <v>1013</v>
      </c>
      <c r="S3092" s="125"/>
    </row>
    <row r="3093" spans="1:19" hidden="1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112</v>
      </c>
      <c r="R3093" s="115" t="s">
        <v>1013</v>
      </c>
      <c r="S3093" s="125"/>
    </row>
    <row r="3094" spans="1:19" hidden="1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112</v>
      </c>
      <c r="R3094" s="115" t="s">
        <v>1013</v>
      </c>
      <c r="S3094" s="125"/>
    </row>
    <row r="3095" spans="1:19" hidden="1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112</v>
      </c>
      <c r="R3095" s="115" t="s">
        <v>1013</v>
      </c>
      <c r="S3095" s="125"/>
    </row>
    <row r="3096" spans="1:19" hidden="1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112</v>
      </c>
      <c r="R3096" s="115" t="s">
        <v>1013</v>
      </c>
      <c r="S3096" s="125"/>
    </row>
    <row r="3097" spans="1:19" hidden="1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112</v>
      </c>
      <c r="R3097" s="115" t="s">
        <v>1013</v>
      </c>
      <c r="S3097" s="125"/>
    </row>
    <row r="3098" spans="1:19" hidden="1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112</v>
      </c>
      <c r="R3098" s="115" t="s">
        <v>1013</v>
      </c>
      <c r="S3098" s="125"/>
    </row>
    <row r="3099" spans="1:19" hidden="1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112</v>
      </c>
      <c r="R3099" s="115" t="s">
        <v>1013</v>
      </c>
      <c r="S3099" s="125"/>
    </row>
    <row r="3100" spans="1:19" hidden="1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112</v>
      </c>
      <c r="R3100" s="115" t="s">
        <v>1013</v>
      </c>
      <c r="S3100" s="125"/>
    </row>
    <row r="3101" spans="1:19" hidden="1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112</v>
      </c>
      <c r="R3101" s="115" t="s">
        <v>1013</v>
      </c>
      <c r="S3101" s="125"/>
    </row>
    <row r="3102" spans="1:19" hidden="1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112</v>
      </c>
      <c r="R3102" s="115" t="s">
        <v>1013</v>
      </c>
      <c r="S3102" s="125"/>
    </row>
    <row r="3103" spans="1:19" hidden="1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112</v>
      </c>
      <c r="R3103" s="115" t="s">
        <v>1013</v>
      </c>
      <c r="S3103" s="125"/>
    </row>
    <row r="3104" spans="1:19" hidden="1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112</v>
      </c>
      <c r="R3104" s="115" t="s">
        <v>1013</v>
      </c>
      <c r="S3104" s="125"/>
    </row>
    <row r="3105" spans="1:19" hidden="1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112</v>
      </c>
      <c r="R3105" s="115" t="s">
        <v>1013</v>
      </c>
      <c r="S3105" s="125"/>
    </row>
    <row r="3106" spans="1:19" hidden="1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112</v>
      </c>
      <c r="R3106" s="115" t="s">
        <v>1013</v>
      </c>
      <c r="S3106" s="125"/>
    </row>
    <row r="3107" spans="1:19" hidden="1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112</v>
      </c>
      <c r="R3107" s="115" t="s">
        <v>1013</v>
      </c>
      <c r="S3107" s="125"/>
    </row>
    <row r="3108" spans="1:19" hidden="1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112</v>
      </c>
      <c r="R3108" s="115" t="s">
        <v>1013</v>
      </c>
      <c r="S3108" s="125"/>
    </row>
    <row r="3109" spans="1:19" hidden="1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112</v>
      </c>
      <c r="R3109" s="115" t="s">
        <v>1013</v>
      </c>
      <c r="S3109" s="125"/>
    </row>
    <row r="3110" spans="1:19" hidden="1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112</v>
      </c>
      <c r="R3110" s="115" t="s">
        <v>1013</v>
      </c>
      <c r="S3110" s="125"/>
    </row>
    <row r="3111" spans="1:19" hidden="1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112</v>
      </c>
      <c r="R3111" s="115" t="s">
        <v>1013</v>
      </c>
      <c r="S3111" s="125"/>
    </row>
    <row r="3112" spans="1:19" hidden="1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112</v>
      </c>
      <c r="R3112" s="115" t="s">
        <v>1013</v>
      </c>
      <c r="S3112" s="125"/>
    </row>
    <row r="3113" spans="1:19" hidden="1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112</v>
      </c>
      <c r="R3113" s="115" t="s">
        <v>1013</v>
      </c>
      <c r="S3113" s="125"/>
    </row>
    <row r="3114" spans="1:19" hidden="1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112</v>
      </c>
      <c r="R3114" s="115" t="s">
        <v>1013</v>
      </c>
      <c r="S3114" s="125"/>
    </row>
    <row r="3115" spans="1:19" hidden="1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112</v>
      </c>
      <c r="R3115" s="115" t="s">
        <v>1013</v>
      </c>
      <c r="S3115" s="125"/>
    </row>
    <row r="3116" spans="1:19" hidden="1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112</v>
      </c>
      <c r="R3116" s="115" t="s">
        <v>1013</v>
      </c>
      <c r="S3116" s="125"/>
    </row>
    <row r="3117" spans="1:19" hidden="1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112</v>
      </c>
      <c r="R3117" s="115" t="s">
        <v>1013</v>
      </c>
      <c r="S3117" s="125"/>
    </row>
    <row r="3118" spans="1:19" hidden="1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112</v>
      </c>
      <c r="R3118" s="115" t="s">
        <v>1013</v>
      </c>
      <c r="S3118" s="125"/>
    </row>
    <row r="3119" spans="1:19" hidden="1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112</v>
      </c>
      <c r="R3119" s="115" t="s">
        <v>1013</v>
      </c>
      <c r="S3119" s="125"/>
    </row>
    <row r="3120" spans="1:19" hidden="1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112</v>
      </c>
      <c r="R3120" s="115" t="s">
        <v>1013</v>
      </c>
      <c r="S3120" s="125"/>
    </row>
    <row r="3121" spans="1:19" hidden="1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112</v>
      </c>
      <c r="R3121" s="115" t="s">
        <v>1013</v>
      </c>
      <c r="S3121" s="125"/>
    </row>
    <row r="3122" spans="1:19" hidden="1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112</v>
      </c>
      <c r="R3122" s="115" t="s">
        <v>1013</v>
      </c>
      <c r="S3122" s="125"/>
    </row>
    <row r="3123" spans="1:19" hidden="1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112</v>
      </c>
      <c r="R3123" s="115" t="s">
        <v>1013</v>
      </c>
      <c r="S3123" s="125"/>
    </row>
    <row r="3124" spans="1:19" hidden="1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112</v>
      </c>
      <c r="R3124" s="115" t="s">
        <v>1013</v>
      </c>
      <c r="S3124" s="125"/>
    </row>
    <row r="3125" spans="1:19" hidden="1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112</v>
      </c>
      <c r="R3125" s="115" t="s">
        <v>1013</v>
      </c>
      <c r="S3125" s="125"/>
    </row>
    <row r="3126" spans="1:19" hidden="1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112</v>
      </c>
      <c r="R3126" s="115" t="s">
        <v>1013</v>
      </c>
      <c r="S3126" s="125"/>
    </row>
    <row r="3127" spans="1:19" hidden="1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112</v>
      </c>
      <c r="R3127" s="115" t="s">
        <v>1013</v>
      </c>
      <c r="S3127" s="125"/>
    </row>
    <row r="3128" spans="1:19" hidden="1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112</v>
      </c>
      <c r="R3128" s="115" t="s">
        <v>1013</v>
      </c>
      <c r="S3128" s="125"/>
    </row>
    <row r="3129" spans="1:19" hidden="1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112</v>
      </c>
      <c r="R3129" s="115" t="s">
        <v>1013</v>
      </c>
      <c r="S3129" s="125"/>
    </row>
    <row r="3130" spans="1:19" hidden="1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112</v>
      </c>
      <c r="R3130" s="115" t="s">
        <v>1013</v>
      </c>
      <c r="S3130" s="125"/>
    </row>
    <row r="3131" spans="1:19" hidden="1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112</v>
      </c>
      <c r="R3131" s="115" t="s">
        <v>1013</v>
      </c>
      <c r="S3131" s="125"/>
    </row>
    <row r="3132" spans="1:19" hidden="1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112</v>
      </c>
      <c r="R3132" s="115" t="s">
        <v>1013</v>
      </c>
      <c r="S3132" s="125"/>
    </row>
    <row r="3133" spans="1:19" hidden="1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112</v>
      </c>
      <c r="R3133" s="115" t="s">
        <v>1013</v>
      </c>
      <c r="S3133" s="125"/>
    </row>
    <row r="3134" spans="1:19" hidden="1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112</v>
      </c>
      <c r="R3134" s="115" t="s">
        <v>1013</v>
      </c>
      <c r="S3134" s="125"/>
    </row>
    <row r="3135" spans="1:19" hidden="1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112</v>
      </c>
      <c r="R3135" s="115" t="s">
        <v>1013</v>
      </c>
      <c r="S3135" s="125"/>
    </row>
    <row r="3136" spans="1:19" hidden="1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112</v>
      </c>
      <c r="R3136" s="115" t="s">
        <v>1013</v>
      </c>
      <c r="S3136" s="125"/>
    </row>
    <row r="3137" spans="1:19" hidden="1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112</v>
      </c>
      <c r="R3137" s="115" t="s">
        <v>1013</v>
      </c>
      <c r="S3137" s="125"/>
    </row>
    <row r="3138" spans="1:19" hidden="1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112</v>
      </c>
      <c r="R3138" s="115" t="s">
        <v>1013</v>
      </c>
      <c r="S3138" s="125"/>
    </row>
    <row r="3139" spans="1:19" hidden="1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112</v>
      </c>
      <c r="R3139" s="115" t="s">
        <v>1013</v>
      </c>
      <c r="S3139" s="125"/>
    </row>
    <row r="3140" spans="1:19" hidden="1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112</v>
      </c>
      <c r="R3140" s="115" t="s">
        <v>1013</v>
      </c>
      <c r="S3140" s="125"/>
    </row>
    <row r="3141" spans="1:19" hidden="1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112</v>
      </c>
      <c r="R3141" s="115" t="s">
        <v>1013</v>
      </c>
      <c r="S3141" s="125"/>
    </row>
    <row r="3142" spans="1:19" hidden="1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112</v>
      </c>
      <c r="R3142" s="115" t="s">
        <v>1013</v>
      </c>
      <c r="S3142" s="125"/>
    </row>
    <row r="3143" spans="1:19" hidden="1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112</v>
      </c>
      <c r="R3143" s="115" t="s">
        <v>1013</v>
      </c>
      <c r="S3143" s="125"/>
    </row>
    <row r="3144" spans="1:19" hidden="1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112</v>
      </c>
      <c r="R3144" s="115" t="s">
        <v>1013</v>
      </c>
      <c r="S3144" s="125"/>
    </row>
    <row r="3145" spans="1:19" hidden="1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112</v>
      </c>
      <c r="R3145" s="115" t="s">
        <v>1013</v>
      </c>
      <c r="S3145" s="125"/>
    </row>
    <row r="3146" spans="1:19" hidden="1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112</v>
      </c>
      <c r="R3146" s="115" t="s">
        <v>1013</v>
      </c>
      <c r="S3146" s="125"/>
    </row>
    <row r="3147" spans="1:19" hidden="1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112</v>
      </c>
      <c r="R3147" s="115" t="s">
        <v>1013</v>
      </c>
      <c r="S3147" s="125"/>
    </row>
    <row r="3148" spans="1:19" hidden="1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112</v>
      </c>
      <c r="R3148" s="115" t="s">
        <v>1013</v>
      </c>
      <c r="S3148" s="125"/>
    </row>
    <row r="3149" spans="1:19" hidden="1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112</v>
      </c>
      <c r="R3149" s="115" t="s">
        <v>1013</v>
      </c>
      <c r="S3149" s="125"/>
    </row>
    <row r="3150" spans="1:19" hidden="1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112</v>
      </c>
      <c r="R3150" s="115" t="s">
        <v>1013</v>
      </c>
      <c r="S3150" s="125"/>
    </row>
    <row r="3151" spans="1:19" hidden="1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112</v>
      </c>
      <c r="R3151" s="115" t="s">
        <v>1013</v>
      </c>
      <c r="S3151" s="125"/>
    </row>
    <row r="3152" spans="1:19" hidden="1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112</v>
      </c>
      <c r="R3152" s="115" t="s">
        <v>1013</v>
      </c>
      <c r="S3152" s="125"/>
    </row>
    <row r="3153" spans="1:19" hidden="1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112</v>
      </c>
      <c r="R3153" s="115" t="s">
        <v>1013</v>
      </c>
      <c r="S3153" s="125"/>
    </row>
    <row r="3154" spans="1:19" hidden="1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112</v>
      </c>
      <c r="R3154" s="115" t="s">
        <v>1013</v>
      </c>
      <c r="S3154" s="125"/>
    </row>
    <row r="3155" spans="1:19" hidden="1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112</v>
      </c>
      <c r="R3155" s="115" t="s">
        <v>1013</v>
      </c>
      <c r="S3155" s="125"/>
    </row>
    <row r="3156" spans="1:19" hidden="1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112</v>
      </c>
      <c r="R3156" s="115" t="s">
        <v>1013</v>
      </c>
      <c r="S3156" s="125"/>
    </row>
    <row r="3157" spans="1:19" hidden="1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112</v>
      </c>
      <c r="R3157" s="115" t="s">
        <v>1013</v>
      </c>
      <c r="S3157" s="125"/>
    </row>
    <row r="3158" spans="1:19" hidden="1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112</v>
      </c>
      <c r="R3158" s="115" t="s">
        <v>1013</v>
      </c>
      <c r="S3158" s="125"/>
    </row>
    <row r="3159" spans="1:19" hidden="1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112</v>
      </c>
      <c r="R3159" s="115" t="s">
        <v>1013</v>
      </c>
      <c r="S3159" s="125"/>
    </row>
    <row r="3160" spans="1:19" hidden="1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112</v>
      </c>
      <c r="R3160" s="115" t="s">
        <v>1013</v>
      </c>
      <c r="S3160" s="125"/>
    </row>
    <row r="3161" spans="1:19" hidden="1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112</v>
      </c>
      <c r="R3161" s="115" t="s">
        <v>1013</v>
      </c>
      <c r="S3161" s="125"/>
    </row>
    <row r="3162" spans="1:19" hidden="1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112</v>
      </c>
      <c r="R3162" s="115" t="s">
        <v>1013</v>
      </c>
      <c r="S3162" s="125"/>
    </row>
    <row r="3163" spans="1:19" hidden="1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112</v>
      </c>
      <c r="R3163" s="115" t="s">
        <v>1013</v>
      </c>
      <c r="S3163" s="125"/>
    </row>
    <row r="3164" spans="1:19" hidden="1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112</v>
      </c>
      <c r="R3164" s="115" t="s">
        <v>1013</v>
      </c>
      <c r="S3164" s="125"/>
    </row>
    <row r="3165" spans="1:19" hidden="1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112</v>
      </c>
      <c r="R3165" s="115" t="s">
        <v>1013</v>
      </c>
      <c r="S3165" s="125"/>
    </row>
    <row r="3166" spans="1:19" hidden="1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112</v>
      </c>
      <c r="R3166" s="115" t="s">
        <v>1013</v>
      </c>
      <c r="S3166" s="125"/>
    </row>
    <row r="3167" spans="1:19" hidden="1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112</v>
      </c>
      <c r="R3167" s="115" t="s">
        <v>1013</v>
      </c>
      <c r="S3167" s="125"/>
    </row>
    <row r="3168" spans="1:19" hidden="1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112</v>
      </c>
      <c r="R3168" s="115" t="s">
        <v>1013</v>
      </c>
      <c r="S3168" s="125"/>
    </row>
    <row r="3169" spans="1:19" hidden="1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112</v>
      </c>
      <c r="R3169" s="115" t="s">
        <v>1013</v>
      </c>
      <c r="S3169" s="125"/>
    </row>
    <row r="3170" spans="1:19" hidden="1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112</v>
      </c>
      <c r="R3170" s="115" t="s">
        <v>1013</v>
      </c>
      <c r="S3170" s="125"/>
    </row>
    <row r="3171" spans="1:19" hidden="1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112</v>
      </c>
      <c r="R3171" s="115" t="s">
        <v>1013</v>
      </c>
      <c r="S3171" s="125"/>
    </row>
    <row r="3172" spans="1:19" hidden="1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112</v>
      </c>
      <c r="R3172" s="115" t="s">
        <v>1013</v>
      </c>
      <c r="S3172" s="125"/>
    </row>
    <row r="3173" spans="1:19" hidden="1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112</v>
      </c>
      <c r="R3173" s="115" t="s">
        <v>1013</v>
      </c>
      <c r="S3173" s="125"/>
    </row>
    <row r="3174" spans="1:19" hidden="1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112</v>
      </c>
      <c r="R3174" s="115" t="s">
        <v>1013</v>
      </c>
      <c r="S3174" s="125"/>
    </row>
    <row r="3175" spans="1:19" hidden="1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112</v>
      </c>
      <c r="R3175" s="115" t="s">
        <v>1013</v>
      </c>
      <c r="S3175" s="125"/>
    </row>
    <row r="3176" spans="1:19" hidden="1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112</v>
      </c>
      <c r="R3176" s="115" t="s">
        <v>1013</v>
      </c>
      <c r="S3176" s="125"/>
    </row>
    <row r="3177" spans="1:19" hidden="1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112</v>
      </c>
      <c r="R3177" s="115" t="s">
        <v>1013</v>
      </c>
      <c r="S3177" s="125"/>
    </row>
    <row r="3178" spans="1:19" hidden="1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112</v>
      </c>
      <c r="R3178" s="115" t="s">
        <v>1013</v>
      </c>
      <c r="S3178" s="125"/>
    </row>
    <row r="3179" spans="1:19" hidden="1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112</v>
      </c>
      <c r="R3179" s="115" t="s">
        <v>1013</v>
      </c>
      <c r="S3179" s="125"/>
    </row>
    <row r="3180" spans="1:19" hidden="1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112</v>
      </c>
      <c r="R3180" s="115" t="s">
        <v>1013</v>
      </c>
      <c r="S3180" s="125"/>
    </row>
    <row r="3181" spans="1:19" hidden="1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112</v>
      </c>
      <c r="R3181" s="115" t="s">
        <v>1013</v>
      </c>
      <c r="S3181" s="125"/>
    </row>
    <row r="3182" spans="1:19" hidden="1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112</v>
      </c>
      <c r="R3182" s="115" t="s">
        <v>1013</v>
      </c>
      <c r="S3182" s="125"/>
    </row>
    <row r="3183" spans="1:19" hidden="1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112</v>
      </c>
      <c r="R3183" s="115" t="s">
        <v>1013</v>
      </c>
      <c r="S3183" s="125"/>
    </row>
    <row r="3184" spans="1:19" hidden="1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112</v>
      </c>
      <c r="R3184" s="115" t="s">
        <v>1013</v>
      </c>
      <c r="S3184" s="125"/>
    </row>
    <row r="3185" spans="1:19" hidden="1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112</v>
      </c>
      <c r="R3185" s="115" t="s">
        <v>1013</v>
      </c>
      <c r="S3185" s="125"/>
    </row>
    <row r="3186" spans="1:19" hidden="1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112</v>
      </c>
      <c r="R3186" s="115" t="s">
        <v>1013</v>
      </c>
      <c r="S3186" s="125"/>
    </row>
    <row r="3187" spans="1:19" hidden="1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112</v>
      </c>
      <c r="R3187" s="115" t="s">
        <v>1013</v>
      </c>
      <c r="S3187" s="125"/>
    </row>
    <row r="3188" spans="1:19" hidden="1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112</v>
      </c>
      <c r="R3188" s="115" t="s">
        <v>1013</v>
      </c>
      <c r="S3188" s="125"/>
    </row>
    <row r="3189" spans="1:19" hidden="1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112</v>
      </c>
      <c r="R3189" s="115" t="s">
        <v>1013</v>
      </c>
      <c r="S3189" s="125"/>
    </row>
    <row r="3190" spans="1:19" hidden="1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112</v>
      </c>
      <c r="R3190" s="115" t="s">
        <v>1013</v>
      </c>
      <c r="S3190" s="125"/>
    </row>
    <row r="3191" spans="1:19" hidden="1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112</v>
      </c>
      <c r="R3191" s="115" t="s">
        <v>1013</v>
      </c>
      <c r="S3191" s="125"/>
    </row>
    <row r="3192" spans="1:19" hidden="1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112</v>
      </c>
      <c r="R3192" s="115" t="s">
        <v>1013</v>
      </c>
      <c r="S3192" s="125"/>
    </row>
    <row r="3193" spans="1:19" hidden="1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112</v>
      </c>
      <c r="R3193" s="115" t="s">
        <v>1013</v>
      </c>
      <c r="S3193" s="125"/>
    </row>
    <row r="3194" spans="1:19" hidden="1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112</v>
      </c>
      <c r="R3194" s="115" t="s">
        <v>1013</v>
      </c>
      <c r="S3194" s="125"/>
    </row>
    <row r="3195" spans="1:19" hidden="1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112</v>
      </c>
      <c r="R3195" s="115" t="s">
        <v>1013</v>
      </c>
      <c r="S3195" s="125"/>
    </row>
    <row r="3196" spans="1:19" hidden="1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112</v>
      </c>
      <c r="R3196" s="115" t="s">
        <v>1013</v>
      </c>
      <c r="S3196" s="125"/>
    </row>
    <row r="3197" spans="1:19" hidden="1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112</v>
      </c>
      <c r="R3197" s="115" t="s">
        <v>1013</v>
      </c>
      <c r="S3197" s="125"/>
    </row>
    <row r="3198" spans="1:19" hidden="1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112</v>
      </c>
      <c r="R3198" s="115" t="s">
        <v>1013</v>
      </c>
      <c r="S3198" s="125"/>
    </row>
    <row r="3199" spans="1:19" hidden="1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112</v>
      </c>
      <c r="R3199" s="115" t="s">
        <v>1013</v>
      </c>
      <c r="S3199" s="125"/>
    </row>
    <row r="3200" spans="1:19" hidden="1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112</v>
      </c>
      <c r="R3200" s="115" t="s">
        <v>1013</v>
      </c>
      <c r="S3200" s="125"/>
    </row>
    <row r="3201" spans="1:19" hidden="1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112</v>
      </c>
      <c r="R3201" s="115" t="s">
        <v>1013</v>
      </c>
      <c r="S3201" s="125"/>
    </row>
    <row r="3202" spans="1:19" hidden="1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112</v>
      </c>
      <c r="R3202" s="115" t="s">
        <v>1013</v>
      </c>
      <c r="S3202" s="125"/>
    </row>
    <row r="3203" spans="1:19" hidden="1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112</v>
      </c>
      <c r="R3203" s="115" t="s">
        <v>1013</v>
      </c>
      <c r="S3203" s="125"/>
    </row>
    <row r="3204" spans="1:19" hidden="1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112</v>
      </c>
      <c r="R3204" s="115" t="s">
        <v>1013</v>
      </c>
      <c r="S3204" s="125"/>
    </row>
    <row r="3205" spans="1:19" hidden="1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112</v>
      </c>
      <c r="R3205" s="115" t="s">
        <v>1013</v>
      </c>
      <c r="S3205" s="125"/>
    </row>
    <row r="3206" spans="1:19" hidden="1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112</v>
      </c>
      <c r="R3206" s="115" t="s">
        <v>1013</v>
      </c>
      <c r="S3206" s="125"/>
    </row>
    <row r="3207" spans="1:19" hidden="1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112</v>
      </c>
      <c r="R3207" s="115" t="s">
        <v>1013</v>
      </c>
      <c r="S3207" s="125"/>
    </row>
    <row r="3208" spans="1:19" hidden="1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112</v>
      </c>
      <c r="R3208" s="115" t="s">
        <v>1013</v>
      </c>
      <c r="S3208" s="125"/>
    </row>
    <row r="3209" spans="1:19" hidden="1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112</v>
      </c>
      <c r="R3209" s="115" t="s">
        <v>1013</v>
      </c>
      <c r="S3209" s="125"/>
    </row>
    <row r="3210" spans="1:19" hidden="1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112</v>
      </c>
      <c r="R3210" s="115" t="s">
        <v>1013</v>
      </c>
      <c r="S3210" s="125"/>
    </row>
    <row r="3211" spans="1:19" hidden="1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112</v>
      </c>
      <c r="R3211" s="115" t="s">
        <v>1013</v>
      </c>
      <c r="S3211" s="125"/>
    </row>
    <row r="3212" spans="1:19" hidden="1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112</v>
      </c>
      <c r="R3212" s="115" t="s">
        <v>1013</v>
      </c>
      <c r="S3212" s="125"/>
    </row>
    <row r="3213" spans="1:19" hidden="1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112</v>
      </c>
      <c r="R3213" s="115" t="s">
        <v>1013</v>
      </c>
      <c r="S3213" s="125"/>
    </row>
    <row r="3214" spans="1:19" hidden="1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112</v>
      </c>
      <c r="R3214" s="115" t="s">
        <v>1013</v>
      </c>
      <c r="S3214" s="125"/>
    </row>
    <row r="3215" spans="1:19" hidden="1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112</v>
      </c>
      <c r="R3215" s="115" t="s">
        <v>1013</v>
      </c>
      <c r="S3215" s="125"/>
    </row>
    <row r="3216" spans="1:19" hidden="1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112</v>
      </c>
      <c r="R3216" s="115" t="s">
        <v>1013</v>
      </c>
      <c r="S3216" s="125"/>
    </row>
    <row r="3217" spans="1:19" hidden="1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112</v>
      </c>
      <c r="R3217" s="115" t="s">
        <v>1013</v>
      </c>
      <c r="S3217" s="125"/>
    </row>
    <row r="3218" spans="1:19" hidden="1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112</v>
      </c>
      <c r="R3218" s="115" t="s">
        <v>1013</v>
      </c>
      <c r="S3218" s="125"/>
    </row>
    <row r="3219" spans="1:19" hidden="1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112</v>
      </c>
      <c r="R3219" s="115" t="s">
        <v>1013</v>
      </c>
      <c r="S3219" s="125"/>
    </row>
    <row r="3220" spans="1:19" hidden="1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112</v>
      </c>
      <c r="R3220" s="115" t="s">
        <v>1013</v>
      </c>
      <c r="S3220" s="125"/>
    </row>
    <row r="3221" spans="1:19" hidden="1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112</v>
      </c>
      <c r="R3221" s="115" t="s">
        <v>1013</v>
      </c>
      <c r="S3221" s="125"/>
    </row>
    <row r="3222" spans="1:19" hidden="1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112</v>
      </c>
      <c r="R3222" s="115" t="s">
        <v>1013</v>
      </c>
      <c r="S3222" s="125"/>
    </row>
    <row r="3223" spans="1:19" hidden="1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112</v>
      </c>
      <c r="R3223" s="115" t="s">
        <v>1013</v>
      </c>
      <c r="S3223" s="125"/>
    </row>
    <row r="3224" spans="1:19" hidden="1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112</v>
      </c>
      <c r="R3224" s="115" t="s">
        <v>1013</v>
      </c>
      <c r="S3224" s="125"/>
    </row>
    <row r="3225" spans="1:19" hidden="1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112</v>
      </c>
      <c r="R3225" s="115" t="s">
        <v>1013</v>
      </c>
      <c r="S3225" s="125"/>
    </row>
    <row r="3226" spans="1:19" hidden="1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112</v>
      </c>
      <c r="R3226" s="115" t="s">
        <v>1013</v>
      </c>
      <c r="S3226" s="125"/>
    </row>
    <row r="3227" spans="1:19" hidden="1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112</v>
      </c>
      <c r="R3227" s="115" t="s">
        <v>1013</v>
      </c>
      <c r="S3227" s="125"/>
    </row>
    <row r="3228" spans="1:19" hidden="1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112</v>
      </c>
      <c r="R3228" s="115" t="s">
        <v>1013</v>
      </c>
      <c r="S3228" s="125"/>
    </row>
    <row r="3229" spans="1:19" hidden="1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112</v>
      </c>
      <c r="R3229" s="115" t="s">
        <v>1013</v>
      </c>
      <c r="S3229" s="125"/>
    </row>
    <row r="3230" spans="1:19" hidden="1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112</v>
      </c>
      <c r="R3230" s="115" t="s">
        <v>1013</v>
      </c>
      <c r="S3230" s="125"/>
    </row>
    <row r="3231" spans="1:19" hidden="1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112</v>
      </c>
      <c r="R3231" s="115" t="s">
        <v>1013</v>
      </c>
      <c r="S3231" s="125"/>
    </row>
    <row r="3232" spans="1:19" hidden="1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111</v>
      </c>
      <c r="R3232" s="115" t="s">
        <v>489</v>
      </c>
      <c r="S3232" s="125"/>
    </row>
    <row r="3233" spans="1:19" hidden="1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111</v>
      </c>
      <c r="R3233" s="115" t="s">
        <v>489</v>
      </c>
      <c r="S3233" s="125"/>
    </row>
    <row r="3234" spans="1:19" hidden="1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111</v>
      </c>
      <c r="R3234" s="115" t="s">
        <v>489</v>
      </c>
      <c r="S3234" s="125"/>
    </row>
    <row r="3235" spans="1:19" hidden="1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111</v>
      </c>
      <c r="R3235" s="115" t="s">
        <v>489</v>
      </c>
      <c r="S3235" s="125"/>
    </row>
    <row r="3236" spans="1:19" hidden="1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111</v>
      </c>
      <c r="R3236" s="115" t="s">
        <v>489</v>
      </c>
      <c r="S3236" s="125"/>
    </row>
    <row r="3237" spans="1:19" hidden="1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111</v>
      </c>
      <c r="R3237" s="115" t="s">
        <v>489</v>
      </c>
      <c r="S3237" s="125"/>
    </row>
    <row r="3238" spans="1:19" hidden="1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111</v>
      </c>
      <c r="R3238" s="115" t="s">
        <v>489</v>
      </c>
      <c r="S3238" s="125"/>
    </row>
    <row r="3239" spans="1:19" hidden="1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111</v>
      </c>
      <c r="R3239" s="115" t="s">
        <v>489</v>
      </c>
      <c r="S3239" s="125"/>
    </row>
    <row r="3240" spans="1:19" hidden="1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111</v>
      </c>
      <c r="R3240" s="115" t="s">
        <v>489</v>
      </c>
      <c r="S3240" s="125"/>
    </row>
    <row r="3241" spans="1:19" hidden="1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111</v>
      </c>
      <c r="R3241" s="115" t="s">
        <v>489</v>
      </c>
      <c r="S3241" s="125"/>
    </row>
    <row r="3242" spans="1:19" hidden="1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111</v>
      </c>
      <c r="R3242" s="115" t="s">
        <v>489</v>
      </c>
      <c r="S3242" s="125"/>
    </row>
    <row r="3243" spans="1:19" hidden="1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111</v>
      </c>
      <c r="R3243" s="115" t="s">
        <v>1459</v>
      </c>
      <c r="S3243" s="125"/>
    </row>
    <row r="3244" spans="1:19" hidden="1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111</v>
      </c>
      <c r="R3244" s="115" t="s">
        <v>1459</v>
      </c>
      <c r="S3244" s="125"/>
    </row>
    <row r="3245" spans="1:19" hidden="1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111</v>
      </c>
      <c r="R3245" s="115" t="s">
        <v>1459</v>
      </c>
      <c r="S3245" s="125"/>
    </row>
    <row r="3246" spans="1:19" hidden="1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111</v>
      </c>
      <c r="R3246" s="115" t="s">
        <v>1459</v>
      </c>
      <c r="S3246" s="125"/>
    </row>
    <row r="3247" spans="1:19" hidden="1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111</v>
      </c>
      <c r="R3247" s="115" t="s">
        <v>1459</v>
      </c>
      <c r="S3247" s="125"/>
    </row>
    <row r="3248" spans="1:19" hidden="1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111</v>
      </c>
      <c r="R3248" s="115" t="s">
        <v>1459</v>
      </c>
      <c r="S3248" s="125"/>
    </row>
    <row r="3249" spans="1:19" hidden="1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111</v>
      </c>
      <c r="R3249" s="115" t="s">
        <v>1459</v>
      </c>
      <c r="S3249" s="125"/>
    </row>
    <row r="3250" spans="1:19" hidden="1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111</v>
      </c>
      <c r="R3250" s="115" t="s">
        <v>1459</v>
      </c>
      <c r="S3250" s="125"/>
    </row>
    <row r="3251" spans="1:19" hidden="1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111</v>
      </c>
      <c r="R3251" s="115" t="s">
        <v>1459</v>
      </c>
      <c r="S3251" s="125"/>
    </row>
    <row r="3252" spans="1:19" hidden="1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111</v>
      </c>
      <c r="R3252" s="115" t="s">
        <v>1459</v>
      </c>
      <c r="S3252" s="125"/>
    </row>
    <row r="3253" spans="1:19" hidden="1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111</v>
      </c>
      <c r="R3253" s="115" t="s">
        <v>1459</v>
      </c>
      <c r="S3253" s="125"/>
    </row>
    <row r="3254" spans="1:19" hidden="1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111</v>
      </c>
      <c r="R3254" s="115" t="s">
        <v>1459</v>
      </c>
      <c r="S3254" s="125"/>
    </row>
    <row r="3255" spans="1:19" hidden="1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111</v>
      </c>
      <c r="R3255" s="115" t="s">
        <v>1459</v>
      </c>
      <c r="S3255" s="125"/>
    </row>
    <row r="3256" spans="1:19" hidden="1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111</v>
      </c>
      <c r="R3256" s="115" t="s">
        <v>1459</v>
      </c>
      <c r="S3256" s="125"/>
    </row>
    <row r="3257" spans="1:19" hidden="1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111</v>
      </c>
      <c r="R3257" s="115" t="s">
        <v>1459</v>
      </c>
      <c r="S3257" s="125"/>
    </row>
    <row r="3258" spans="1:19" hidden="1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111</v>
      </c>
      <c r="R3258" s="115" t="s">
        <v>1459</v>
      </c>
      <c r="S3258" s="125"/>
    </row>
    <row r="3259" spans="1:19" hidden="1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111</v>
      </c>
      <c r="R3259" s="115" t="s">
        <v>1459</v>
      </c>
      <c r="S3259" s="125"/>
    </row>
    <row r="3260" spans="1:19" hidden="1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111</v>
      </c>
      <c r="R3260" s="115" t="s">
        <v>1459</v>
      </c>
      <c r="S3260" s="125"/>
    </row>
    <row r="3261" spans="1:19" hidden="1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111</v>
      </c>
      <c r="R3261" s="115" t="s">
        <v>1459</v>
      </c>
      <c r="S3261" s="125"/>
    </row>
    <row r="3262" spans="1:19" hidden="1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111</v>
      </c>
      <c r="R3262" s="115" t="s">
        <v>1459</v>
      </c>
      <c r="S3262" s="125"/>
    </row>
    <row r="3263" spans="1:19" hidden="1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111</v>
      </c>
      <c r="R3263" s="115" t="s">
        <v>1459</v>
      </c>
      <c r="S3263" s="125"/>
    </row>
    <row r="3264" spans="1:19" hidden="1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111</v>
      </c>
      <c r="R3264" s="115" t="s">
        <v>1459</v>
      </c>
      <c r="S3264" s="125"/>
    </row>
    <row r="3265" spans="1:19" hidden="1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111</v>
      </c>
      <c r="R3265" s="115" t="s">
        <v>1459</v>
      </c>
      <c r="S3265" s="125"/>
    </row>
    <row r="3266" spans="1:19" hidden="1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111</v>
      </c>
      <c r="R3266" s="115" t="s">
        <v>1459</v>
      </c>
      <c r="S3266" s="125"/>
    </row>
    <row r="3267" spans="1:19" hidden="1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111</v>
      </c>
      <c r="R3267" s="115" t="s">
        <v>1459</v>
      </c>
      <c r="S3267" s="125"/>
    </row>
    <row r="3268" spans="1:19" hidden="1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111</v>
      </c>
      <c r="R3268" s="115" t="s">
        <v>1459</v>
      </c>
      <c r="S3268" s="125"/>
    </row>
    <row r="3269" spans="1:19" hidden="1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111</v>
      </c>
      <c r="R3269" s="115" t="s">
        <v>1459</v>
      </c>
      <c r="S3269" s="125"/>
    </row>
    <row r="3270" spans="1:19" hidden="1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111</v>
      </c>
      <c r="R3270" s="115" t="s">
        <v>1459</v>
      </c>
      <c r="S3270" s="125"/>
    </row>
    <row r="3271" spans="1:19" hidden="1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111</v>
      </c>
      <c r="R3271" s="115" t="s">
        <v>1459</v>
      </c>
      <c r="S3271" s="125"/>
    </row>
    <row r="3272" spans="1:19" hidden="1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111</v>
      </c>
      <c r="R3272" s="115" t="s">
        <v>1459</v>
      </c>
      <c r="S3272" s="125"/>
    </row>
    <row r="3273" spans="1:19" hidden="1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111</v>
      </c>
      <c r="R3273" s="115" t="s">
        <v>1459</v>
      </c>
      <c r="S3273" s="125"/>
    </row>
    <row r="3274" spans="1:19" hidden="1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111</v>
      </c>
      <c r="R3274" s="115" t="s">
        <v>1459</v>
      </c>
      <c r="S3274" s="125"/>
    </row>
    <row r="3275" spans="1:19" hidden="1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111</v>
      </c>
      <c r="R3275" s="115" t="s">
        <v>1459</v>
      </c>
      <c r="S3275" s="125"/>
    </row>
    <row r="3276" spans="1:19" hidden="1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111</v>
      </c>
      <c r="R3276" s="115" t="s">
        <v>1459</v>
      </c>
      <c r="S3276" s="125"/>
    </row>
    <row r="3277" spans="1:19" hidden="1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111</v>
      </c>
      <c r="R3277" s="115" t="s">
        <v>1459</v>
      </c>
      <c r="S3277" s="125"/>
    </row>
    <row r="3278" spans="1:19" hidden="1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111</v>
      </c>
      <c r="R3278" s="115" t="s">
        <v>1459</v>
      </c>
      <c r="S3278" s="125"/>
    </row>
    <row r="3279" spans="1:19" hidden="1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111</v>
      </c>
      <c r="R3279" s="115" t="s">
        <v>1459</v>
      </c>
      <c r="S3279" s="125"/>
    </row>
    <row r="3280" spans="1:19" hidden="1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111</v>
      </c>
      <c r="R3280" s="115" t="s">
        <v>1459</v>
      </c>
      <c r="S3280" s="125"/>
    </row>
    <row r="3281" spans="1:19" hidden="1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111</v>
      </c>
      <c r="R3281" s="115" t="s">
        <v>1459</v>
      </c>
      <c r="S3281" s="125"/>
    </row>
    <row r="3282" spans="1:19" hidden="1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111</v>
      </c>
      <c r="R3282" s="115" t="s">
        <v>1459</v>
      </c>
      <c r="S3282" s="125"/>
    </row>
    <row r="3283" spans="1:19" hidden="1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111</v>
      </c>
      <c r="R3283" s="115" t="s">
        <v>1459</v>
      </c>
      <c r="S3283" s="125"/>
    </row>
    <row r="3284" spans="1:19" hidden="1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111</v>
      </c>
      <c r="R3284" s="115" t="s">
        <v>1459</v>
      </c>
      <c r="S3284" s="125"/>
    </row>
    <row r="3285" spans="1:19" hidden="1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111</v>
      </c>
      <c r="R3285" s="115" t="s">
        <v>1459</v>
      </c>
      <c r="S3285" s="125"/>
    </row>
    <row r="3286" spans="1:19" hidden="1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111</v>
      </c>
      <c r="R3286" s="115" t="s">
        <v>1459</v>
      </c>
      <c r="S3286" s="125"/>
    </row>
    <row r="3287" spans="1:19" hidden="1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111</v>
      </c>
      <c r="R3287" s="115" t="s">
        <v>1459</v>
      </c>
      <c r="S3287" s="125"/>
    </row>
    <row r="3288" spans="1:19" hidden="1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111</v>
      </c>
      <c r="R3288" s="115" t="s">
        <v>1459</v>
      </c>
      <c r="S3288" s="125"/>
    </row>
    <row r="3289" spans="1:19" hidden="1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111</v>
      </c>
      <c r="R3289" s="115" t="s">
        <v>1459</v>
      </c>
      <c r="S3289" s="125"/>
    </row>
    <row r="3290" spans="1:19" hidden="1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111</v>
      </c>
      <c r="R3290" s="115" t="s">
        <v>1459</v>
      </c>
      <c r="S3290" s="125"/>
    </row>
    <row r="3291" spans="1:19" hidden="1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111</v>
      </c>
      <c r="R3291" s="115" t="s">
        <v>1459</v>
      </c>
      <c r="S3291" s="125"/>
    </row>
    <row r="3292" spans="1:19" hidden="1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111</v>
      </c>
      <c r="R3292" s="115" t="s">
        <v>1459</v>
      </c>
      <c r="S3292" s="125"/>
    </row>
    <row r="3293" spans="1:19" hidden="1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111</v>
      </c>
      <c r="R3293" s="115" t="s">
        <v>1459</v>
      </c>
      <c r="S3293" s="125"/>
    </row>
    <row r="3294" spans="1:19" hidden="1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111</v>
      </c>
      <c r="R3294" s="115" t="s">
        <v>1459</v>
      </c>
      <c r="S3294" s="125"/>
    </row>
    <row r="3295" spans="1:19" hidden="1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111</v>
      </c>
      <c r="R3295" s="115" t="s">
        <v>1459</v>
      </c>
      <c r="S3295" s="125"/>
    </row>
    <row r="3296" spans="1:19" hidden="1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111</v>
      </c>
      <c r="R3296" s="115" t="s">
        <v>1459</v>
      </c>
      <c r="S3296" s="125"/>
    </row>
    <row r="3297" spans="1:19" hidden="1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111</v>
      </c>
      <c r="R3297" s="115" t="s">
        <v>1459</v>
      </c>
      <c r="S3297" s="125"/>
    </row>
    <row r="3298" spans="1:19" hidden="1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111</v>
      </c>
      <c r="R3298" s="115" t="s">
        <v>1459</v>
      </c>
      <c r="S3298" s="125"/>
    </row>
    <row r="3299" spans="1:19" hidden="1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111</v>
      </c>
      <c r="R3299" s="115" t="s">
        <v>1459</v>
      </c>
      <c r="S3299" s="125"/>
    </row>
    <row r="3300" spans="1:19" hidden="1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111</v>
      </c>
      <c r="R3300" s="115" t="s">
        <v>1459</v>
      </c>
      <c r="S3300" s="125"/>
    </row>
    <row r="3301" spans="1:19" hidden="1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111</v>
      </c>
      <c r="R3301" s="115" t="s">
        <v>1459</v>
      </c>
      <c r="S3301" s="125"/>
    </row>
    <row r="3302" spans="1:19" hidden="1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111</v>
      </c>
      <c r="R3302" s="115" t="s">
        <v>1459</v>
      </c>
      <c r="S3302" s="125"/>
    </row>
    <row r="3303" spans="1:19" hidden="1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111</v>
      </c>
      <c r="R3303" s="115" t="s">
        <v>1459</v>
      </c>
      <c r="S3303" s="125"/>
    </row>
    <row r="3304" spans="1:19" hidden="1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111</v>
      </c>
      <c r="R3304" s="115" t="s">
        <v>1459</v>
      </c>
      <c r="S3304" s="125"/>
    </row>
    <row r="3305" spans="1:19" hidden="1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111</v>
      </c>
      <c r="R3305" s="115" t="s">
        <v>1459</v>
      </c>
      <c r="S3305" s="125"/>
    </row>
    <row r="3306" spans="1:19" hidden="1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111</v>
      </c>
      <c r="R3306" s="115" t="s">
        <v>1459</v>
      </c>
      <c r="S3306" s="125"/>
    </row>
    <row r="3307" spans="1:19" hidden="1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111</v>
      </c>
      <c r="R3307" s="115" t="s">
        <v>1459</v>
      </c>
      <c r="S3307" s="125"/>
    </row>
    <row r="3308" spans="1:19" hidden="1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111</v>
      </c>
      <c r="R3308" s="115" t="s">
        <v>1459</v>
      </c>
      <c r="S3308" s="125"/>
    </row>
    <row r="3309" spans="1:19" hidden="1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111</v>
      </c>
      <c r="R3309" s="115" t="s">
        <v>1459</v>
      </c>
      <c r="S3309" s="125"/>
    </row>
    <row r="3310" spans="1:19" hidden="1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111</v>
      </c>
      <c r="R3310" s="115" t="s">
        <v>1459</v>
      </c>
      <c r="S3310" s="125"/>
    </row>
    <row r="3311" spans="1:19" hidden="1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111</v>
      </c>
      <c r="R3311" s="115" t="s">
        <v>1459</v>
      </c>
      <c r="S3311" s="125"/>
    </row>
    <row r="3312" spans="1:19" hidden="1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111</v>
      </c>
      <c r="R3312" s="115" t="s">
        <v>1459</v>
      </c>
      <c r="S3312" s="125"/>
    </row>
    <row r="3313" spans="1:19" hidden="1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111</v>
      </c>
      <c r="R3313" s="115" t="s">
        <v>1459</v>
      </c>
      <c r="S3313" s="125"/>
    </row>
    <row r="3314" spans="1:19" hidden="1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111</v>
      </c>
      <c r="R3314" s="115" t="s">
        <v>1459</v>
      </c>
      <c r="S3314" s="125"/>
    </row>
    <row r="3315" spans="1:19" hidden="1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111</v>
      </c>
      <c r="R3315" s="115" t="s">
        <v>1459</v>
      </c>
      <c r="S3315" s="125"/>
    </row>
    <row r="3316" spans="1:19" hidden="1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111</v>
      </c>
      <c r="R3316" s="115" t="s">
        <v>1459</v>
      </c>
      <c r="S3316" s="125"/>
    </row>
    <row r="3317" spans="1:19" hidden="1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111</v>
      </c>
      <c r="R3317" s="115" t="s">
        <v>1459</v>
      </c>
      <c r="S3317" s="125"/>
    </row>
    <row r="3318" spans="1:19" hidden="1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111</v>
      </c>
      <c r="R3318" s="115" t="s">
        <v>1459</v>
      </c>
      <c r="S3318" s="125"/>
    </row>
    <row r="3319" spans="1:19" hidden="1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111</v>
      </c>
      <c r="R3319" s="115" t="s">
        <v>1459</v>
      </c>
      <c r="S3319" s="125"/>
    </row>
    <row r="3320" spans="1:19" hidden="1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111</v>
      </c>
      <c r="R3320" s="115" t="s">
        <v>1459</v>
      </c>
      <c r="S3320" s="125"/>
    </row>
    <row r="3321" spans="1:19" hidden="1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111</v>
      </c>
      <c r="R3321" s="115" t="s">
        <v>1459</v>
      </c>
      <c r="S3321" s="125"/>
    </row>
    <row r="3322" spans="1:19" hidden="1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111</v>
      </c>
      <c r="R3322" s="115" t="s">
        <v>1459</v>
      </c>
      <c r="S3322" s="125"/>
    </row>
    <row r="3323" spans="1:19" hidden="1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111</v>
      </c>
      <c r="R3323" s="115" t="s">
        <v>1459</v>
      </c>
      <c r="S3323" s="125"/>
    </row>
    <row r="3324" spans="1:19" hidden="1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111</v>
      </c>
      <c r="R3324" s="115" t="s">
        <v>1459</v>
      </c>
      <c r="S3324" s="125"/>
    </row>
    <row r="3325" spans="1:19" hidden="1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111</v>
      </c>
      <c r="R3325" s="115" t="s">
        <v>1459</v>
      </c>
      <c r="S3325" s="125"/>
    </row>
    <row r="3326" spans="1:19" hidden="1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111</v>
      </c>
      <c r="R3326" s="115" t="s">
        <v>1459</v>
      </c>
      <c r="S3326" s="125"/>
    </row>
    <row r="3327" spans="1:19" hidden="1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111</v>
      </c>
      <c r="R3327" s="115" t="s">
        <v>1459</v>
      </c>
      <c r="S3327" s="125"/>
    </row>
    <row r="3328" spans="1:19" hidden="1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111</v>
      </c>
      <c r="R3328" s="115" t="s">
        <v>1459</v>
      </c>
      <c r="S3328" s="125"/>
    </row>
    <row r="3329" spans="1:19" hidden="1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111</v>
      </c>
      <c r="R3329" s="115" t="s">
        <v>1459</v>
      </c>
      <c r="S3329" s="125"/>
    </row>
    <row r="3330" spans="1:19" hidden="1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111</v>
      </c>
      <c r="R3330" s="115" t="s">
        <v>1459</v>
      </c>
      <c r="S3330" s="125"/>
    </row>
    <row r="3331" spans="1:19" hidden="1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111</v>
      </c>
      <c r="R3331" s="115" t="s">
        <v>1459</v>
      </c>
      <c r="S3331" s="125"/>
    </row>
    <row r="3332" spans="1:19" hidden="1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111</v>
      </c>
      <c r="R3332" s="115" t="s">
        <v>1459</v>
      </c>
      <c r="S3332" s="125"/>
    </row>
    <row r="3333" spans="1:19" hidden="1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111</v>
      </c>
      <c r="R3333" s="115" t="s">
        <v>1459</v>
      </c>
      <c r="S3333" s="125"/>
    </row>
    <row r="3334" spans="1:19" hidden="1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111</v>
      </c>
      <c r="R3334" s="115" t="s">
        <v>1459</v>
      </c>
      <c r="S3334" s="125"/>
    </row>
    <row r="3335" spans="1:19" hidden="1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111</v>
      </c>
      <c r="R3335" s="115" t="s">
        <v>1459</v>
      </c>
      <c r="S3335" s="125"/>
    </row>
    <row r="3336" spans="1:19" hidden="1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111</v>
      </c>
      <c r="R3336" s="115" t="s">
        <v>1459</v>
      </c>
      <c r="S3336" s="125"/>
    </row>
    <row r="3337" spans="1:19" hidden="1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111</v>
      </c>
      <c r="R3337" s="115" t="s">
        <v>1459</v>
      </c>
      <c r="S3337" s="125"/>
    </row>
    <row r="3338" spans="1:19" hidden="1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111</v>
      </c>
      <c r="R3338" s="115" t="s">
        <v>1459</v>
      </c>
      <c r="S3338" s="125"/>
    </row>
    <row r="3339" spans="1:19" hidden="1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111</v>
      </c>
      <c r="R3339" s="115" t="s">
        <v>1459</v>
      </c>
      <c r="S3339" s="125"/>
    </row>
    <row r="3340" spans="1:19" hidden="1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111</v>
      </c>
      <c r="R3340" s="115" t="s">
        <v>1459</v>
      </c>
      <c r="S3340" s="125"/>
    </row>
    <row r="3341" spans="1:19" hidden="1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111</v>
      </c>
      <c r="R3341" s="115" t="s">
        <v>1459</v>
      </c>
      <c r="S3341" s="125"/>
    </row>
    <row r="3342" spans="1:19" hidden="1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111</v>
      </c>
      <c r="R3342" s="115" t="s">
        <v>1459</v>
      </c>
      <c r="S3342" s="125"/>
    </row>
    <row r="3343" spans="1:19" hidden="1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111</v>
      </c>
      <c r="R3343" s="115" t="s">
        <v>1459</v>
      </c>
      <c r="S3343" s="125"/>
    </row>
    <row r="3344" spans="1:19" hidden="1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111</v>
      </c>
      <c r="R3344" s="115" t="s">
        <v>1459</v>
      </c>
      <c r="S3344" s="125"/>
    </row>
    <row r="3345" spans="1:19" hidden="1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111</v>
      </c>
      <c r="R3345" s="115" t="s">
        <v>1459</v>
      </c>
      <c r="S3345" s="125"/>
    </row>
    <row r="3346" spans="1:19" hidden="1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111</v>
      </c>
      <c r="R3346" s="115" t="s">
        <v>1459</v>
      </c>
      <c r="S3346" s="125"/>
    </row>
    <row r="3347" spans="1:19" hidden="1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111</v>
      </c>
      <c r="R3347" s="115" t="s">
        <v>1459</v>
      </c>
      <c r="S3347" s="125"/>
    </row>
    <row r="3348" spans="1:19" hidden="1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111</v>
      </c>
      <c r="R3348" s="115" t="s">
        <v>1459</v>
      </c>
      <c r="S3348" s="125"/>
    </row>
    <row r="3349" spans="1:19" hidden="1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111</v>
      </c>
      <c r="R3349" s="115" t="s">
        <v>1459</v>
      </c>
      <c r="S3349" s="125"/>
    </row>
    <row r="3350" spans="1:19" hidden="1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111</v>
      </c>
      <c r="R3350" s="115" t="s">
        <v>1459</v>
      </c>
      <c r="S3350" s="125"/>
    </row>
    <row r="3351" spans="1:19" hidden="1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111</v>
      </c>
      <c r="R3351" s="115" t="s">
        <v>1459</v>
      </c>
      <c r="S3351" s="125"/>
    </row>
    <row r="3352" spans="1:19" hidden="1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111</v>
      </c>
      <c r="R3352" s="115" t="s">
        <v>1459</v>
      </c>
      <c r="S3352" s="125"/>
    </row>
    <row r="3353" spans="1:19" hidden="1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111</v>
      </c>
      <c r="R3353" s="115" t="s">
        <v>1459</v>
      </c>
      <c r="S3353" s="125"/>
    </row>
    <row r="3354" spans="1:19" hidden="1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111</v>
      </c>
      <c r="R3354" s="115" t="s">
        <v>1459</v>
      </c>
      <c r="S3354" s="125"/>
    </row>
    <row r="3355" spans="1:19" hidden="1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111</v>
      </c>
      <c r="R3355" s="115" t="s">
        <v>1459</v>
      </c>
      <c r="S3355" s="125"/>
    </row>
    <row r="3356" spans="1:19" hidden="1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111</v>
      </c>
      <c r="R3356" s="115" t="s">
        <v>1459</v>
      </c>
      <c r="S3356" s="125"/>
    </row>
    <row r="3357" spans="1:19" hidden="1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111</v>
      </c>
      <c r="R3357" s="115" t="s">
        <v>1459</v>
      </c>
      <c r="S3357" s="125"/>
    </row>
    <row r="3358" spans="1:19" hidden="1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111</v>
      </c>
      <c r="R3358" s="115" t="s">
        <v>1459</v>
      </c>
      <c r="S3358" s="125"/>
    </row>
    <row r="3359" spans="1:19" hidden="1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111</v>
      </c>
      <c r="R3359" s="115" t="s">
        <v>1459</v>
      </c>
      <c r="S3359" s="125"/>
    </row>
    <row r="3360" spans="1:19" hidden="1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111</v>
      </c>
      <c r="R3360" s="115" t="s">
        <v>1459</v>
      </c>
      <c r="S3360" s="125"/>
    </row>
    <row r="3361" spans="1:19" hidden="1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111</v>
      </c>
      <c r="R3361" s="115" t="s">
        <v>1459</v>
      </c>
      <c r="S3361" s="125"/>
    </row>
    <row r="3362" spans="1:19" hidden="1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111</v>
      </c>
      <c r="R3362" s="115" t="s">
        <v>1459</v>
      </c>
      <c r="S3362" s="125"/>
    </row>
    <row r="3363" spans="1:19" hidden="1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111</v>
      </c>
      <c r="R3363" s="115" t="s">
        <v>1459</v>
      </c>
      <c r="S3363" s="125"/>
    </row>
    <row r="3364" spans="1:19" hidden="1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111</v>
      </c>
      <c r="R3364" s="115" t="s">
        <v>1459</v>
      </c>
      <c r="S3364" s="125"/>
    </row>
    <row r="3365" spans="1:19" hidden="1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111</v>
      </c>
      <c r="R3365" s="115" t="s">
        <v>1459</v>
      </c>
      <c r="S3365" s="125"/>
    </row>
    <row r="3366" spans="1:19" hidden="1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111</v>
      </c>
      <c r="R3366" s="115" t="s">
        <v>1459</v>
      </c>
      <c r="S3366" s="125"/>
    </row>
    <row r="3367" spans="1:19" hidden="1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111</v>
      </c>
      <c r="R3367" s="115" t="s">
        <v>1459</v>
      </c>
      <c r="S3367" s="125"/>
    </row>
    <row r="3368" spans="1:19" hidden="1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111</v>
      </c>
      <c r="R3368" s="115" t="s">
        <v>1459</v>
      </c>
      <c r="S3368" s="125"/>
    </row>
    <row r="3369" spans="1:19" hidden="1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111</v>
      </c>
      <c r="R3369" s="115" t="s">
        <v>1459</v>
      </c>
      <c r="S3369" s="125"/>
    </row>
    <row r="3370" spans="1:19" hidden="1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111</v>
      </c>
      <c r="R3370" s="115" t="s">
        <v>1459</v>
      </c>
      <c r="S3370" s="125"/>
    </row>
    <row r="3371" spans="1:19" hidden="1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111</v>
      </c>
      <c r="R3371" s="115" t="s">
        <v>1459</v>
      </c>
      <c r="S3371" s="125"/>
    </row>
    <row r="3372" spans="1:19" hidden="1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111</v>
      </c>
      <c r="R3372" s="115" t="s">
        <v>1459</v>
      </c>
      <c r="S3372" s="125"/>
    </row>
    <row r="3373" spans="1:19" hidden="1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111</v>
      </c>
      <c r="R3373" s="115" t="s">
        <v>1459</v>
      </c>
      <c r="S3373" s="125"/>
    </row>
    <row r="3374" spans="1:19" hidden="1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111</v>
      </c>
      <c r="R3374" s="115" t="s">
        <v>1459</v>
      </c>
      <c r="S3374" s="125"/>
    </row>
    <row r="3375" spans="1:19" hidden="1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111</v>
      </c>
      <c r="R3375" s="115" t="s">
        <v>1459</v>
      </c>
      <c r="S3375" s="125"/>
    </row>
    <row r="3376" spans="1:19" hidden="1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111</v>
      </c>
      <c r="R3376" s="115" t="s">
        <v>1459</v>
      </c>
      <c r="S3376" s="125"/>
    </row>
    <row r="3377" spans="1:19" hidden="1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111</v>
      </c>
      <c r="R3377" s="115" t="s">
        <v>1459</v>
      </c>
      <c r="S3377" s="125"/>
    </row>
    <row r="3378" spans="1:19" hidden="1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111</v>
      </c>
      <c r="R3378" s="115" t="s">
        <v>1459</v>
      </c>
      <c r="S3378" s="125"/>
    </row>
    <row r="3379" spans="1:19" hidden="1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111</v>
      </c>
      <c r="R3379" s="115" t="s">
        <v>1459</v>
      </c>
      <c r="S3379" s="125"/>
    </row>
    <row r="3380" spans="1:19" hidden="1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111</v>
      </c>
      <c r="R3380" s="115" t="s">
        <v>1459</v>
      </c>
      <c r="S3380" s="125"/>
    </row>
    <row r="3381" spans="1:19" hidden="1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111</v>
      </c>
      <c r="R3381" s="115" t="s">
        <v>1459</v>
      </c>
      <c r="S3381" s="125"/>
    </row>
    <row r="3382" spans="1:19" hidden="1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111</v>
      </c>
      <c r="R3382" s="115" t="s">
        <v>1459</v>
      </c>
      <c r="S3382" s="125"/>
    </row>
    <row r="3383" spans="1:19" hidden="1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111</v>
      </c>
      <c r="R3383" s="115" t="s">
        <v>1459</v>
      </c>
      <c r="S3383" s="125"/>
    </row>
    <row r="3384" spans="1:19" hidden="1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111</v>
      </c>
      <c r="R3384" s="115" t="s">
        <v>1459</v>
      </c>
      <c r="S3384" s="125"/>
    </row>
    <row r="3385" spans="1:19" hidden="1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111</v>
      </c>
      <c r="R3385" s="115" t="s">
        <v>1459</v>
      </c>
      <c r="S3385" s="125"/>
    </row>
    <row r="3386" spans="1:19" hidden="1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111</v>
      </c>
      <c r="R3386" s="115" t="s">
        <v>1459</v>
      </c>
      <c r="S3386" s="125"/>
    </row>
    <row r="3387" spans="1:19" hidden="1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111</v>
      </c>
      <c r="R3387" s="115" t="s">
        <v>1459</v>
      </c>
      <c r="S3387" s="125"/>
    </row>
    <row r="3388" spans="1:19" hidden="1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111</v>
      </c>
      <c r="R3388" s="115" t="s">
        <v>1459</v>
      </c>
      <c r="S3388" s="125"/>
    </row>
    <row r="3389" spans="1:19" hidden="1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111</v>
      </c>
      <c r="R3389" s="115" t="s">
        <v>1459</v>
      </c>
      <c r="S3389" s="125"/>
    </row>
    <row r="3390" spans="1:19" hidden="1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111</v>
      </c>
      <c r="R3390" s="115" t="s">
        <v>1459</v>
      </c>
      <c r="S3390" s="125"/>
    </row>
    <row r="3391" spans="1:19" hidden="1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111</v>
      </c>
      <c r="R3391" s="115" t="s">
        <v>1459</v>
      </c>
      <c r="S3391" s="125"/>
    </row>
    <row r="3392" spans="1:19" hidden="1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111</v>
      </c>
      <c r="R3392" s="115" t="s">
        <v>1459</v>
      </c>
      <c r="S3392" s="125"/>
    </row>
    <row r="3393" spans="1:19" hidden="1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111</v>
      </c>
      <c r="R3393" s="115" t="s">
        <v>1459</v>
      </c>
      <c r="S3393" s="125"/>
    </row>
    <row r="3394" spans="1:19" hidden="1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111</v>
      </c>
      <c r="R3394" s="115" t="s">
        <v>1459</v>
      </c>
      <c r="S3394" s="125"/>
    </row>
    <row r="3395" spans="1:19" hidden="1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111</v>
      </c>
      <c r="R3395" s="115" t="s">
        <v>1459</v>
      </c>
      <c r="S3395" s="125"/>
    </row>
    <row r="3396" spans="1:19" hidden="1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111</v>
      </c>
      <c r="R3396" s="115" t="s">
        <v>1459</v>
      </c>
      <c r="S3396" s="125"/>
    </row>
    <row r="3397" spans="1:19" hidden="1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111</v>
      </c>
      <c r="R3397" s="115" t="s">
        <v>1459</v>
      </c>
      <c r="S3397" s="125"/>
    </row>
    <row r="3398" spans="1:19" hidden="1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111</v>
      </c>
      <c r="R3398" s="115" t="s">
        <v>1459</v>
      </c>
      <c r="S3398" s="125"/>
    </row>
    <row r="3399" spans="1:19" hidden="1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111</v>
      </c>
      <c r="R3399" s="115" t="s">
        <v>1459</v>
      </c>
      <c r="S3399" s="125"/>
    </row>
    <row r="3400" spans="1:19" hidden="1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111</v>
      </c>
      <c r="R3400" s="115" t="s">
        <v>1459</v>
      </c>
      <c r="S3400" s="125"/>
    </row>
    <row r="3401" spans="1:19" hidden="1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111</v>
      </c>
      <c r="R3401" s="115" t="s">
        <v>1459</v>
      </c>
      <c r="S3401" s="125"/>
    </row>
    <row r="3402" spans="1:19" hidden="1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111</v>
      </c>
      <c r="R3402" s="115" t="s">
        <v>1459</v>
      </c>
      <c r="S3402" s="125"/>
    </row>
    <row r="3403" spans="1:19" hidden="1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111</v>
      </c>
      <c r="R3403" s="115" t="s">
        <v>1459</v>
      </c>
      <c r="S3403" s="125"/>
    </row>
    <row r="3404" spans="1:19" hidden="1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111</v>
      </c>
      <c r="R3404" s="115" t="s">
        <v>1459</v>
      </c>
      <c r="S3404" s="125"/>
    </row>
    <row r="3405" spans="1:19" hidden="1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111</v>
      </c>
      <c r="R3405" s="115" t="s">
        <v>1459</v>
      </c>
      <c r="S3405" s="125"/>
    </row>
    <row r="3406" spans="1:19" hidden="1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111</v>
      </c>
      <c r="R3406" s="115" t="s">
        <v>1459</v>
      </c>
      <c r="S3406" s="125"/>
    </row>
    <row r="3407" spans="1:19" hidden="1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111</v>
      </c>
      <c r="R3407" s="115" t="s">
        <v>1459</v>
      </c>
      <c r="S3407" s="125"/>
    </row>
    <row r="3408" spans="1:19" hidden="1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111</v>
      </c>
      <c r="R3408" s="115" t="s">
        <v>1459</v>
      </c>
      <c r="S3408" s="125"/>
    </row>
    <row r="3409" spans="1:19" hidden="1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111</v>
      </c>
      <c r="R3409" s="115" t="s">
        <v>1459</v>
      </c>
      <c r="S3409" s="125"/>
    </row>
    <row r="3410" spans="1:19" hidden="1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111</v>
      </c>
      <c r="R3410" s="115" t="s">
        <v>1459</v>
      </c>
      <c r="S3410" s="125"/>
    </row>
    <row r="3411" spans="1:19" hidden="1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111</v>
      </c>
      <c r="R3411" s="115" t="s">
        <v>1459</v>
      </c>
      <c r="S3411" s="125"/>
    </row>
    <row r="3412" spans="1:19" hidden="1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111</v>
      </c>
      <c r="R3412" s="115" t="s">
        <v>1459</v>
      </c>
      <c r="S3412" s="125"/>
    </row>
    <row r="3413" spans="1:19" hidden="1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111</v>
      </c>
      <c r="R3413" s="115" t="s">
        <v>1459</v>
      </c>
      <c r="S3413" s="125"/>
    </row>
    <row r="3414" spans="1:19" hidden="1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111</v>
      </c>
      <c r="R3414" s="115" t="s">
        <v>1459</v>
      </c>
      <c r="S3414" s="125"/>
    </row>
    <row r="3415" spans="1:19" hidden="1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111</v>
      </c>
      <c r="R3415" s="115" t="s">
        <v>1459</v>
      </c>
      <c r="S3415" s="125"/>
    </row>
    <row r="3416" spans="1:19" hidden="1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111</v>
      </c>
      <c r="R3416" s="115" t="s">
        <v>1459</v>
      </c>
      <c r="S3416" s="125"/>
    </row>
    <row r="3417" spans="1:19" hidden="1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111</v>
      </c>
      <c r="R3417" s="115" t="s">
        <v>1459</v>
      </c>
      <c r="S3417" s="125"/>
    </row>
    <row r="3418" spans="1:19" hidden="1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111</v>
      </c>
      <c r="R3418" s="115" t="s">
        <v>1459</v>
      </c>
      <c r="S3418" s="125"/>
    </row>
    <row r="3419" spans="1:19" hidden="1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111</v>
      </c>
      <c r="R3419" s="115" t="s">
        <v>1459</v>
      </c>
      <c r="S3419" s="125"/>
    </row>
    <row r="3420" spans="1:19" hidden="1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111</v>
      </c>
      <c r="R3420" s="115" t="s">
        <v>1459</v>
      </c>
      <c r="S3420" s="125"/>
    </row>
    <row r="3421" spans="1:19" hidden="1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111</v>
      </c>
      <c r="R3421" s="115" t="s">
        <v>1013</v>
      </c>
      <c r="S3421" s="125"/>
    </row>
    <row r="3422" spans="1:19" hidden="1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111</v>
      </c>
      <c r="R3422" s="115" t="s">
        <v>1013</v>
      </c>
      <c r="S3422" s="125"/>
    </row>
    <row r="3423" spans="1:19" hidden="1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111</v>
      </c>
      <c r="R3423" s="115" t="s">
        <v>1013</v>
      </c>
      <c r="S3423" s="125"/>
    </row>
    <row r="3424" spans="1:19" hidden="1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111</v>
      </c>
      <c r="R3424" s="115" t="s">
        <v>1013</v>
      </c>
      <c r="S3424" s="125"/>
    </row>
    <row r="3425" spans="1:19" hidden="1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111</v>
      </c>
      <c r="R3425" s="115" t="s">
        <v>1013</v>
      </c>
      <c r="S3425" s="125"/>
    </row>
    <row r="3426" spans="1:19" hidden="1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111</v>
      </c>
      <c r="R3426" s="115" t="s">
        <v>1013</v>
      </c>
      <c r="S3426" s="125"/>
    </row>
    <row r="3427" spans="1:19" hidden="1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111</v>
      </c>
      <c r="R3427" s="115" t="s">
        <v>1013</v>
      </c>
      <c r="S3427" s="125"/>
    </row>
    <row r="3428" spans="1:19" hidden="1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111</v>
      </c>
      <c r="R3428" s="115" t="s">
        <v>1013</v>
      </c>
      <c r="S3428" s="125"/>
    </row>
    <row r="3429" spans="1:19" hidden="1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111</v>
      </c>
      <c r="R3429" s="115" t="s">
        <v>1013</v>
      </c>
      <c r="S3429" s="125"/>
    </row>
    <row r="3430" spans="1:19" hidden="1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111</v>
      </c>
      <c r="R3430" s="115" t="s">
        <v>1013</v>
      </c>
      <c r="S3430" s="125"/>
    </row>
    <row r="3431" spans="1:19" hidden="1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111</v>
      </c>
      <c r="R3431" s="115" t="s">
        <v>1013</v>
      </c>
      <c r="S3431" s="125"/>
    </row>
    <row r="3432" spans="1:19" hidden="1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111</v>
      </c>
      <c r="R3432" s="115" t="s">
        <v>1013</v>
      </c>
      <c r="S3432" s="125"/>
    </row>
    <row r="3433" spans="1:19" hidden="1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111</v>
      </c>
      <c r="R3433" s="115" t="s">
        <v>1013</v>
      </c>
      <c r="S3433" s="125"/>
    </row>
    <row r="3434" spans="1:19" hidden="1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108</v>
      </c>
      <c r="R3434" s="115" t="s">
        <v>5501</v>
      </c>
      <c r="S3434" s="125"/>
    </row>
    <row r="3435" spans="1:19" hidden="1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108</v>
      </c>
      <c r="R3435" s="115" t="s">
        <v>5501</v>
      </c>
      <c r="S3435" s="125"/>
    </row>
    <row r="3436" spans="1:19" hidden="1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108</v>
      </c>
      <c r="R3436" s="115" t="s">
        <v>489</v>
      </c>
      <c r="S3436" s="125"/>
    </row>
    <row r="3437" spans="1:19" hidden="1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108</v>
      </c>
      <c r="R3437" s="115" t="s">
        <v>489</v>
      </c>
      <c r="S3437" s="125"/>
    </row>
    <row r="3438" spans="1:19" hidden="1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108</v>
      </c>
      <c r="R3438" s="115" t="s">
        <v>489</v>
      </c>
      <c r="S3438" s="125"/>
    </row>
    <row r="3439" spans="1:19" hidden="1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108</v>
      </c>
      <c r="R3439" s="115" t="s">
        <v>489</v>
      </c>
      <c r="S3439" s="125"/>
    </row>
    <row r="3440" spans="1:19" hidden="1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108</v>
      </c>
      <c r="R3440" s="115" t="s">
        <v>489</v>
      </c>
      <c r="S3440" s="125"/>
    </row>
    <row r="3441" spans="1:19" hidden="1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108</v>
      </c>
      <c r="R3441" s="115" t="s">
        <v>489</v>
      </c>
      <c r="S3441" s="125"/>
    </row>
    <row r="3442" spans="1:19" hidden="1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108</v>
      </c>
      <c r="R3442" s="115" t="s">
        <v>489</v>
      </c>
      <c r="S3442" s="125"/>
    </row>
    <row r="3443" spans="1:19" hidden="1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108</v>
      </c>
      <c r="R3443" s="115" t="s">
        <v>489</v>
      </c>
      <c r="S3443" s="125"/>
    </row>
    <row r="3444" spans="1:19" hidden="1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108</v>
      </c>
      <c r="R3444" s="115" t="s">
        <v>489</v>
      </c>
      <c r="S3444" s="125"/>
    </row>
    <row r="3445" spans="1:19" hidden="1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108</v>
      </c>
      <c r="R3445" s="115" t="s">
        <v>489</v>
      </c>
      <c r="S3445" s="125"/>
    </row>
    <row r="3446" spans="1:19" hidden="1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108</v>
      </c>
      <c r="R3446" s="115" t="s">
        <v>489</v>
      </c>
      <c r="S3446" s="125"/>
    </row>
    <row r="3447" spans="1:19" hidden="1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108</v>
      </c>
      <c r="R3447" s="115" t="s">
        <v>489</v>
      </c>
      <c r="S3447" s="125"/>
    </row>
    <row r="3448" spans="1:19" hidden="1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108</v>
      </c>
      <c r="R3448" s="115" t="s">
        <v>489</v>
      </c>
      <c r="S3448" s="125"/>
    </row>
    <row r="3449" spans="1:19" hidden="1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108</v>
      </c>
      <c r="R3449" s="115" t="s">
        <v>489</v>
      </c>
      <c r="S3449" s="125"/>
    </row>
    <row r="3450" spans="1:19" hidden="1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108</v>
      </c>
      <c r="R3450" s="115" t="s">
        <v>489</v>
      </c>
      <c r="S3450" s="125"/>
    </row>
    <row r="3451" spans="1:19" hidden="1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108</v>
      </c>
      <c r="R3451" s="115" t="s">
        <v>489</v>
      </c>
      <c r="S3451" s="125"/>
    </row>
    <row r="3452" spans="1:19" hidden="1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108</v>
      </c>
      <c r="R3452" s="115" t="s">
        <v>489</v>
      </c>
      <c r="S3452" s="125"/>
    </row>
    <row r="3453" spans="1:19" hidden="1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108</v>
      </c>
      <c r="R3453" s="115" t="s">
        <v>489</v>
      </c>
      <c r="S3453" s="125"/>
    </row>
    <row r="3454" spans="1:19" hidden="1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108</v>
      </c>
      <c r="R3454" s="115" t="s">
        <v>489</v>
      </c>
      <c r="S3454" s="125"/>
    </row>
    <row r="3455" spans="1:19" hidden="1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108</v>
      </c>
      <c r="R3455" s="115" t="s">
        <v>1459</v>
      </c>
      <c r="S3455" s="125"/>
    </row>
    <row r="3456" spans="1:19" hidden="1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108</v>
      </c>
      <c r="R3456" s="115" t="s">
        <v>489</v>
      </c>
      <c r="S3456" s="125"/>
    </row>
    <row r="3457" spans="1:19" hidden="1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108</v>
      </c>
      <c r="R3457" s="115" t="s">
        <v>489</v>
      </c>
      <c r="S3457" s="125"/>
    </row>
    <row r="3458" spans="1:19" hidden="1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108</v>
      </c>
      <c r="R3458" s="115" t="s">
        <v>489</v>
      </c>
      <c r="S3458" s="125"/>
    </row>
    <row r="3459" spans="1:19" hidden="1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108</v>
      </c>
      <c r="R3459" s="115" t="s">
        <v>489</v>
      </c>
      <c r="S3459" s="125"/>
    </row>
    <row r="3460" spans="1:19" hidden="1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108</v>
      </c>
      <c r="R3460" s="115" t="s">
        <v>489</v>
      </c>
      <c r="S3460" s="125"/>
    </row>
    <row r="3461" spans="1:19" hidden="1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108</v>
      </c>
      <c r="R3461" s="115" t="s">
        <v>489</v>
      </c>
      <c r="S3461" s="125"/>
    </row>
    <row r="3462" spans="1:19" hidden="1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108</v>
      </c>
      <c r="R3462" s="115" t="s">
        <v>489</v>
      </c>
      <c r="S3462" s="125"/>
    </row>
    <row r="3463" spans="1:19" hidden="1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108</v>
      </c>
      <c r="R3463" s="115" t="s">
        <v>489</v>
      </c>
      <c r="S3463" s="125"/>
    </row>
    <row r="3464" spans="1:19" hidden="1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108</v>
      </c>
      <c r="R3464" s="115" t="s">
        <v>489</v>
      </c>
      <c r="S3464" s="125"/>
    </row>
    <row r="3465" spans="1:19" hidden="1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108</v>
      </c>
      <c r="R3465" s="115" t="s">
        <v>489</v>
      </c>
      <c r="S3465" s="125"/>
    </row>
    <row r="3466" spans="1:19" hidden="1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108</v>
      </c>
      <c r="R3466" s="115" t="s">
        <v>489</v>
      </c>
      <c r="S3466" s="125"/>
    </row>
    <row r="3467" spans="1:19" hidden="1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108</v>
      </c>
      <c r="R3467" s="115" t="s">
        <v>415</v>
      </c>
      <c r="S3467" s="125"/>
    </row>
    <row r="3468" spans="1:19" hidden="1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108</v>
      </c>
      <c r="R3468" s="115" t="s">
        <v>415</v>
      </c>
      <c r="S3468" s="125"/>
    </row>
    <row r="3469" spans="1:19" hidden="1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108</v>
      </c>
      <c r="R3469" s="115" t="s">
        <v>415</v>
      </c>
      <c r="S3469" s="125"/>
    </row>
    <row r="3470" spans="1:19" hidden="1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108</v>
      </c>
      <c r="R3470" s="115" t="s">
        <v>415</v>
      </c>
      <c r="S3470" s="125"/>
    </row>
    <row r="3471" spans="1:19" hidden="1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108</v>
      </c>
      <c r="R3471" s="115" t="s">
        <v>415</v>
      </c>
      <c r="S3471" s="125"/>
    </row>
    <row r="3472" spans="1:19" hidden="1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108</v>
      </c>
      <c r="R3472" s="115" t="s">
        <v>415</v>
      </c>
      <c r="S3472" s="125"/>
    </row>
    <row r="3473" spans="1:19" hidden="1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108</v>
      </c>
      <c r="R3473" s="115" t="s">
        <v>415</v>
      </c>
      <c r="S3473" s="125"/>
    </row>
    <row r="3474" spans="1:19" hidden="1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108</v>
      </c>
      <c r="R3474" s="115" t="s">
        <v>415</v>
      </c>
      <c r="S3474" s="125"/>
    </row>
    <row r="3475" spans="1:19" hidden="1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108</v>
      </c>
      <c r="R3475" s="115" t="s">
        <v>415</v>
      </c>
      <c r="S3475" s="125"/>
    </row>
    <row r="3476" spans="1:19" hidden="1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108</v>
      </c>
      <c r="R3476" s="115" t="s">
        <v>415</v>
      </c>
      <c r="S3476" s="125"/>
    </row>
    <row r="3477" spans="1:19" hidden="1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107</v>
      </c>
      <c r="R3477" s="115" t="s">
        <v>410</v>
      </c>
      <c r="S3477" s="125"/>
    </row>
    <row r="3478" spans="1:19" hidden="1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107</v>
      </c>
      <c r="R3478" s="115" t="s">
        <v>515</v>
      </c>
      <c r="S3478" s="125"/>
    </row>
    <row r="3479" spans="1:19" hidden="1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106</v>
      </c>
      <c r="R3479" s="115" t="s">
        <v>410</v>
      </c>
      <c r="S3479" s="125"/>
    </row>
    <row r="3480" spans="1:19" hidden="1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106</v>
      </c>
      <c r="R3480" s="115" t="s">
        <v>410</v>
      </c>
      <c r="S3480" s="125"/>
    </row>
    <row r="3481" spans="1:19" hidden="1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106</v>
      </c>
      <c r="R3481" s="115" t="s">
        <v>410</v>
      </c>
      <c r="S3481" s="125"/>
    </row>
    <row r="3482" spans="1:19" hidden="1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106</v>
      </c>
      <c r="R3482" s="115" t="s">
        <v>410</v>
      </c>
      <c r="S3482" s="125"/>
    </row>
    <row r="3483" spans="1:19" hidden="1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106</v>
      </c>
      <c r="R3483" s="115" t="s">
        <v>410</v>
      </c>
      <c r="S3483" s="125"/>
    </row>
    <row r="3484" spans="1:19" hidden="1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106</v>
      </c>
      <c r="R3484" s="115" t="s">
        <v>410</v>
      </c>
      <c r="S3484" s="125"/>
    </row>
    <row r="3485" spans="1:19" hidden="1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106</v>
      </c>
      <c r="R3485" s="115" t="s">
        <v>410</v>
      </c>
      <c r="S3485" s="125"/>
    </row>
    <row r="3486" spans="1:19" hidden="1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105</v>
      </c>
      <c r="R3486" s="115" t="s">
        <v>1262</v>
      </c>
      <c r="S3486" s="125"/>
    </row>
    <row r="3487" spans="1:19" hidden="1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105</v>
      </c>
      <c r="R3487" s="115" t="s">
        <v>515</v>
      </c>
      <c r="S3487" s="129"/>
    </row>
    <row r="3488" spans="1:19" hidden="1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105</v>
      </c>
      <c r="R3488" s="115" t="s">
        <v>515</v>
      </c>
      <c r="S3488" s="129"/>
    </row>
    <row r="3489" spans="1:19" hidden="1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104</v>
      </c>
      <c r="R3489" s="115" t="s">
        <v>515</v>
      </c>
      <c r="S3489" s="129"/>
    </row>
    <row r="3490" spans="1:19" hidden="1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104</v>
      </c>
      <c r="R3490" s="115" t="s">
        <v>515</v>
      </c>
      <c r="S3490" s="129"/>
    </row>
    <row r="3491" spans="1:19" hidden="1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104</v>
      </c>
      <c r="R3491" s="115" t="s">
        <v>515</v>
      </c>
      <c r="S3491" s="129"/>
    </row>
    <row r="3492" spans="1:19" hidden="1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104</v>
      </c>
      <c r="R3492" s="115" t="s">
        <v>515</v>
      </c>
      <c r="S3492" s="129"/>
    </row>
    <row r="3493" spans="1:19" hidden="1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104</v>
      </c>
      <c r="R3493" s="115" t="s">
        <v>515</v>
      </c>
      <c r="S3493" s="129"/>
    </row>
    <row r="3494" spans="1:19" hidden="1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104</v>
      </c>
      <c r="R3494" s="115" t="s">
        <v>515</v>
      </c>
      <c r="S3494" s="129"/>
    </row>
    <row r="3495" spans="1:19" hidden="1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104</v>
      </c>
      <c r="R3495" s="115" t="s">
        <v>515</v>
      </c>
      <c r="S3495" s="129"/>
    </row>
    <row r="3496" spans="1:19" hidden="1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104</v>
      </c>
      <c r="R3496" s="115" t="s">
        <v>515</v>
      </c>
      <c r="S3496" s="129"/>
    </row>
    <row r="3497" spans="1:19" hidden="1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104</v>
      </c>
      <c r="R3497" s="115" t="s">
        <v>515</v>
      </c>
      <c r="S3497" s="129"/>
    </row>
    <row r="3498" spans="1:19" hidden="1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104</v>
      </c>
      <c r="R3498" s="115" t="s">
        <v>515</v>
      </c>
      <c r="S3498" s="129"/>
    </row>
    <row r="3499" spans="1:19" hidden="1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104</v>
      </c>
      <c r="R3499" s="115" t="s">
        <v>515</v>
      </c>
      <c r="S3499" s="129"/>
    </row>
    <row r="3500" spans="1:19" hidden="1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104</v>
      </c>
      <c r="R3500" s="115" t="s">
        <v>515</v>
      </c>
      <c r="S3500" s="129"/>
    </row>
    <row r="3501" spans="1:19" hidden="1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104</v>
      </c>
      <c r="R3501" s="115" t="s">
        <v>515</v>
      </c>
      <c r="S3501" s="129"/>
    </row>
    <row r="3502" spans="1:19" hidden="1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104</v>
      </c>
      <c r="R3502" s="115" t="s">
        <v>515</v>
      </c>
      <c r="S3502" s="129"/>
    </row>
    <row r="3503" spans="1:19" hidden="1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104</v>
      </c>
      <c r="R3503" s="115" t="s">
        <v>515</v>
      </c>
      <c r="S3503" s="129"/>
    </row>
    <row r="3504" spans="1:19" hidden="1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104</v>
      </c>
      <c r="R3504" s="115" t="s">
        <v>515</v>
      </c>
      <c r="S3504" s="129"/>
    </row>
    <row r="3505" spans="1:19" hidden="1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104</v>
      </c>
      <c r="R3505" s="115" t="s">
        <v>515</v>
      </c>
      <c r="S3505" s="129"/>
    </row>
    <row r="3506" spans="1:19" hidden="1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104</v>
      </c>
      <c r="R3506" s="115" t="s">
        <v>515</v>
      </c>
      <c r="S3506" s="129"/>
    </row>
    <row r="3507" spans="1:19" hidden="1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104</v>
      </c>
      <c r="R3507" s="115" t="s">
        <v>515</v>
      </c>
      <c r="S3507" s="129"/>
    </row>
    <row r="3508" spans="1:19" hidden="1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104</v>
      </c>
      <c r="R3508" s="115" t="s">
        <v>515</v>
      </c>
      <c r="S3508" s="129"/>
    </row>
    <row r="3509" spans="1:19" hidden="1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104</v>
      </c>
      <c r="R3509" s="115" t="s">
        <v>515</v>
      </c>
      <c r="S3509" s="129"/>
    </row>
    <row r="3510" spans="1:19" hidden="1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104</v>
      </c>
      <c r="R3510" s="115" t="s">
        <v>515</v>
      </c>
      <c r="S3510" s="129"/>
    </row>
    <row r="3511" spans="1:19" hidden="1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104</v>
      </c>
      <c r="R3511" s="115" t="s">
        <v>515</v>
      </c>
      <c r="S3511" s="129"/>
    </row>
    <row r="3512" spans="1:19" hidden="1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104</v>
      </c>
      <c r="R3512" s="115" t="s">
        <v>515</v>
      </c>
      <c r="S3512" s="129"/>
    </row>
    <row r="3513" spans="1:19" hidden="1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104</v>
      </c>
      <c r="R3513" s="115" t="s">
        <v>515</v>
      </c>
      <c r="S3513" s="129"/>
    </row>
    <row r="3514" spans="1:19" hidden="1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104</v>
      </c>
      <c r="R3514" s="115" t="s">
        <v>515</v>
      </c>
      <c r="S3514" s="129"/>
    </row>
    <row r="3515" spans="1:19" hidden="1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104</v>
      </c>
      <c r="R3515" s="115" t="s">
        <v>515</v>
      </c>
      <c r="S3515" s="129"/>
    </row>
    <row r="3516" spans="1:19" hidden="1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104</v>
      </c>
      <c r="R3516" s="115" t="s">
        <v>515</v>
      </c>
      <c r="S3516" s="129"/>
    </row>
    <row r="3517" spans="1:19" hidden="1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104</v>
      </c>
      <c r="R3517" s="115" t="s">
        <v>515</v>
      </c>
      <c r="S3517" s="129"/>
    </row>
    <row r="3518" spans="1:19" hidden="1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104</v>
      </c>
      <c r="R3518" s="115" t="s">
        <v>515</v>
      </c>
      <c r="S3518" s="129"/>
    </row>
    <row r="3519" spans="1:19" hidden="1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104</v>
      </c>
      <c r="R3519" s="115" t="s">
        <v>515</v>
      </c>
      <c r="S3519" s="129"/>
    </row>
    <row r="3520" spans="1:19" hidden="1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104</v>
      </c>
      <c r="R3520" s="115" t="s">
        <v>515</v>
      </c>
      <c r="S3520" s="129"/>
    </row>
    <row r="3521" spans="1:19" hidden="1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104</v>
      </c>
      <c r="R3521" s="115" t="s">
        <v>515</v>
      </c>
      <c r="S3521" s="129"/>
    </row>
    <row r="3522" spans="1:19" hidden="1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104</v>
      </c>
      <c r="R3522" s="115" t="s">
        <v>515</v>
      </c>
      <c r="S3522" s="129"/>
    </row>
    <row r="3523" spans="1:19" hidden="1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104</v>
      </c>
      <c r="R3523" s="115" t="s">
        <v>515</v>
      </c>
      <c r="S3523" s="129"/>
    </row>
    <row r="3524" spans="1:19" hidden="1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104</v>
      </c>
      <c r="R3524" s="115" t="s">
        <v>515</v>
      </c>
      <c r="S3524" s="129"/>
    </row>
    <row r="3525" spans="1:19" hidden="1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104</v>
      </c>
      <c r="R3525" s="115" t="s">
        <v>515</v>
      </c>
      <c r="S3525" s="129"/>
    </row>
    <row r="3526" spans="1:19" hidden="1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104</v>
      </c>
      <c r="R3526" s="115" t="s">
        <v>515</v>
      </c>
      <c r="S3526" s="129"/>
    </row>
    <row r="3527" spans="1:19" hidden="1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104</v>
      </c>
      <c r="R3527" s="115" t="s">
        <v>515</v>
      </c>
      <c r="S3527" s="129"/>
    </row>
    <row r="3528" spans="1:19" hidden="1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104</v>
      </c>
      <c r="R3528" s="115" t="s">
        <v>515</v>
      </c>
      <c r="S3528" s="129"/>
    </row>
    <row r="3529" spans="1:19" hidden="1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104</v>
      </c>
      <c r="R3529" s="115" t="s">
        <v>515</v>
      </c>
      <c r="S3529" s="129"/>
    </row>
    <row r="3530" spans="1:19" hidden="1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104</v>
      </c>
      <c r="R3530" s="115" t="s">
        <v>515</v>
      </c>
      <c r="S3530" s="129"/>
    </row>
    <row r="3531" spans="1:19" hidden="1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104</v>
      </c>
      <c r="R3531" s="115" t="s">
        <v>515</v>
      </c>
      <c r="S3531" s="129"/>
    </row>
    <row r="3532" spans="1:19" hidden="1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104</v>
      </c>
      <c r="R3532" s="115" t="s">
        <v>515</v>
      </c>
      <c r="S3532" s="129"/>
    </row>
    <row r="3533" spans="1:19" hidden="1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104</v>
      </c>
      <c r="R3533" s="115" t="s">
        <v>515</v>
      </c>
      <c r="S3533" s="129"/>
    </row>
    <row r="3534" spans="1:19" hidden="1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104</v>
      </c>
      <c r="R3534" s="115" t="s">
        <v>515</v>
      </c>
      <c r="S3534" s="129"/>
    </row>
    <row r="3535" spans="1:19" hidden="1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104</v>
      </c>
      <c r="R3535" s="115" t="s">
        <v>515</v>
      </c>
      <c r="S3535" s="129"/>
    </row>
    <row r="3536" spans="1:19" hidden="1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104</v>
      </c>
      <c r="R3536" s="115" t="s">
        <v>515</v>
      </c>
      <c r="S3536" s="129"/>
    </row>
    <row r="3537" spans="1:19" hidden="1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104</v>
      </c>
      <c r="R3537" s="115" t="s">
        <v>515</v>
      </c>
      <c r="S3537" s="129"/>
    </row>
    <row r="3538" spans="1:19" hidden="1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104</v>
      </c>
      <c r="R3538" s="115" t="s">
        <v>515</v>
      </c>
      <c r="S3538" s="129"/>
    </row>
    <row r="3539" spans="1:19" hidden="1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104</v>
      </c>
      <c r="R3539" s="115" t="s">
        <v>515</v>
      </c>
      <c r="S3539" s="129"/>
    </row>
    <row r="3540" spans="1:19" hidden="1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104</v>
      </c>
      <c r="R3540" s="115" t="s">
        <v>515</v>
      </c>
      <c r="S3540" s="129"/>
    </row>
    <row r="3541" spans="1:19" hidden="1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104</v>
      </c>
      <c r="R3541" s="115" t="s">
        <v>515</v>
      </c>
      <c r="S3541" s="129"/>
    </row>
    <row r="3542" spans="1:19" hidden="1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104</v>
      </c>
      <c r="R3542" s="115" t="s">
        <v>515</v>
      </c>
      <c r="S3542" s="129"/>
    </row>
    <row r="3543" spans="1:19" hidden="1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104</v>
      </c>
      <c r="R3543" s="115" t="s">
        <v>515</v>
      </c>
      <c r="S3543" s="129"/>
    </row>
    <row r="3544" spans="1:19" hidden="1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104</v>
      </c>
      <c r="R3544" s="115" t="s">
        <v>515</v>
      </c>
      <c r="S3544" s="129"/>
    </row>
    <row r="3545" spans="1:19" hidden="1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104</v>
      </c>
      <c r="R3545" s="115" t="s">
        <v>515</v>
      </c>
      <c r="S3545" s="129"/>
    </row>
    <row r="3546" spans="1:19" hidden="1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104</v>
      </c>
      <c r="R3546" s="115" t="s">
        <v>515</v>
      </c>
      <c r="S3546" s="129"/>
    </row>
    <row r="3547" spans="1:19" hidden="1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104</v>
      </c>
      <c r="R3547" s="115" t="s">
        <v>515</v>
      </c>
      <c r="S3547" s="129"/>
    </row>
    <row r="3548" spans="1:19" hidden="1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104</v>
      </c>
      <c r="R3548" s="115" t="s">
        <v>515</v>
      </c>
      <c r="S3548" s="129"/>
    </row>
    <row r="3549" spans="1:19" hidden="1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104</v>
      </c>
      <c r="R3549" s="115" t="s">
        <v>515</v>
      </c>
      <c r="S3549" s="129"/>
    </row>
    <row r="3550" spans="1:19" hidden="1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104</v>
      </c>
      <c r="R3550" s="115" t="s">
        <v>515</v>
      </c>
      <c r="S3550" s="129"/>
    </row>
    <row r="3551" spans="1:19" hidden="1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104</v>
      </c>
      <c r="R3551" s="115" t="s">
        <v>515</v>
      </c>
      <c r="S3551" s="129"/>
    </row>
    <row r="3552" spans="1:19" hidden="1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104</v>
      </c>
      <c r="R3552" s="115" t="s">
        <v>515</v>
      </c>
      <c r="S3552" s="129"/>
    </row>
    <row r="3553" spans="1:19" hidden="1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104</v>
      </c>
      <c r="R3553" s="115" t="s">
        <v>515</v>
      </c>
      <c r="S3553" s="129"/>
    </row>
    <row r="3554" spans="1:19" hidden="1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104</v>
      </c>
      <c r="R3554" s="115" t="s">
        <v>515</v>
      </c>
      <c r="S3554" s="129"/>
    </row>
    <row r="3555" spans="1:19" hidden="1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104</v>
      </c>
      <c r="R3555" s="115" t="s">
        <v>515</v>
      </c>
      <c r="S3555" s="129"/>
    </row>
    <row r="3556" spans="1:19" hidden="1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104</v>
      </c>
      <c r="R3556" s="115" t="s">
        <v>515</v>
      </c>
      <c r="S3556" s="129"/>
    </row>
    <row r="3557" spans="1:19" hidden="1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104</v>
      </c>
      <c r="R3557" s="115" t="s">
        <v>515</v>
      </c>
      <c r="S3557" s="129"/>
    </row>
    <row r="3558" spans="1:19" hidden="1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104</v>
      </c>
      <c r="R3558" s="115" t="s">
        <v>515</v>
      </c>
      <c r="S3558" s="129"/>
    </row>
    <row r="3559" spans="1:19" hidden="1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104</v>
      </c>
      <c r="R3559" s="115" t="s">
        <v>515</v>
      </c>
      <c r="S3559" s="129"/>
    </row>
    <row r="3560" spans="1:19" hidden="1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104</v>
      </c>
      <c r="R3560" s="115" t="s">
        <v>515</v>
      </c>
      <c r="S3560" s="129"/>
    </row>
    <row r="3561" spans="1:19" hidden="1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104</v>
      </c>
      <c r="R3561" s="115" t="s">
        <v>515</v>
      </c>
      <c r="S3561" s="129"/>
    </row>
    <row r="3562" spans="1:19" hidden="1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104</v>
      </c>
      <c r="R3562" s="115" t="s">
        <v>515</v>
      </c>
      <c r="S3562" s="129"/>
    </row>
    <row r="3563" spans="1:19" hidden="1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104</v>
      </c>
      <c r="R3563" s="115" t="s">
        <v>515</v>
      </c>
      <c r="S3563" s="129"/>
    </row>
    <row r="3564" spans="1:19" hidden="1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104</v>
      </c>
      <c r="R3564" s="115" t="s">
        <v>515</v>
      </c>
      <c r="S3564" s="129"/>
    </row>
    <row r="3565" spans="1:19" hidden="1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104</v>
      </c>
      <c r="R3565" s="115" t="s">
        <v>515</v>
      </c>
      <c r="S3565" s="129"/>
    </row>
    <row r="3566" spans="1:19" hidden="1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104</v>
      </c>
      <c r="R3566" s="115" t="s">
        <v>515</v>
      </c>
      <c r="S3566" s="129"/>
    </row>
    <row r="3567" spans="1:19" hidden="1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104</v>
      </c>
      <c r="R3567" s="115" t="s">
        <v>515</v>
      </c>
      <c r="S3567" s="129"/>
    </row>
    <row r="3568" spans="1:19" hidden="1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104</v>
      </c>
      <c r="R3568" s="115" t="s">
        <v>515</v>
      </c>
      <c r="S3568" s="129"/>
    </row>
    <row r="3569" spans="1:19" hidden="1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104</v>
      </c>
      <c r="R3569" s="115" t="s">
        <v>515</v>
      </c>
      <c r="S3569" s="129"/>
    </row>
    <row r="3570" spans="1:19" hidden="1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104</v>
      </c>
      <c r="R3570" s="115" t="s">
        <v>515</v>
      </c>
      <c r="S3570" s="129"/>
    </row>
    <row r="3571" spans="1:19" hidden="1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104</v>
      </c>
      <c r="R3571" s="115" t="s">
        <v>515</v>
      </c>
      <c r="S3571" s="129"/>
    </row>
    <row r="3572" spans="1:19" hidden="1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104</v>
      </c>
      <c r="R3572" s="115" t="s">
        <v>515</v>
      </c>
      <c r="S3572" s="129"/>
    </row>
    <row r="3573" spans="1:19" hidden="1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104</v>
      </c>
      <c r="R3573" s="115" t="s">
        <v>515</v>
      </c>
      <c r="S3573" s="129"/>
    </row>
    <row r="3574" spans="1:19" hidden="1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104</v>
      </c>
      <c r="R3574" s="115" t="s">
        <v>515</v>
      </c>
      <c r="S3574" s="129"/>
    </row>
    <row r="3575" spans="1:19" hidden="1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104</v>
      </c>
      <c r="R3575" s="115" t="s">
        <v>515</v>
      </c>
      <c r="S3575" s="129"/>
    </row>
    <row r="3576" spans="1:19" hidden="1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104</v>
      </c>
      <c r="R3576" s="115" t="s">
        <v>515</v>
      </c>
      <c r="S3576" s="129"/>
    </row>
    <row r="3577" spans="1:19" hidden="1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104</v>
      </c>
      <c r="R3577" s="115" t="s">
        <v>515</v>
      </c>
      <c r="S3577" s="129"/>
    </row>
    <row r="3578" spans="1:19" hidden="1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104</v>
      </c>
      <c r="R3578" s="115" t="s">
        <v>515</v>
      </c>
      <c r="S3578" s="129"/>
    </row>
    <row r="3579" spans="1:19" hidden="1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104</v>
      </c>
      <c r="R3579" s="115" t="s">
        <v>515</v>
      </c>
      <c r="S3579" s="129"/>
    </row>
    <row r="3580" spans="1:19" hidden="1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104</v>
      </c>
      <c r="R3580" s="115" t="s">
        <v>515</v>
      </c>
      <c r="S3580" s="129"/>
    </row>
    <row r="3581" spans="1:19" hidden="1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104</v>
      </c>
      <c r="R3581" s="115" t="s">
        <v>515</v>
      </c>
      <c r="S3581" s="129"/>
    </row>
    <row r="3582" spans="1:19" hidden="1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104</v>
      </c>
      <c r="R3582" s="115" t="s">
        <v>1262</v>
      </c>
      <c r="S3582" s="129"/>
    </row>
    <row r="3583" spans="1:19" hidden="1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103</v>
      </c>
      <c r="R3583" s="130" t="s">
        <v>5682</v>
      </c>
      <c r="S3583" s="129"/>
    </row>
    <row r="3584" spans="1:19" hidden="1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103</v>
      </c>
      <c r="R3584" s="130" t="s">
        <v>5682</v>
      </c>
      <c r="S3584" s="129"/>
    </row>
    <row r="3585" spans="1:19" hidden="1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103</v>
      </c>
      <c r="R3585" s="130" t="s">
        <v>5682</v>
      </c>
      <c r="S3585" s="129"/>
    </row>
    <row r="3586" spans="1:19" hidden="1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103</v>
      </c>
      <c r="R3586" s="130" t="s">
        <v>5682</v>
      </c>
      <c r="S3586" s="129"/>
    </row>
    <row r="3587" spans="1:19" hidden="1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103</v>
      </c>
      <c r="R3587" s="130" t="s">
        <v>5682</v>
      </c>
      <c r="S3587" s="129"/>
    </row>
    <row r="3588" spans="1:19" hidden="1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103</v>
      </c>
      <c r="R3588" s="130" t="s">
        <v>5682</v>
      </c>
      <c r="S3588" s="129"/>
    </row>
    <row r="3589" spans="1:19" hidden="1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103</v>
      </c>
      <c r="R3589" s="130" t="s">
        <v>5682</v>
      </c>
      <c r="S3589" s="129"/>
    </row>
    <row r="3590" spans="1:19" hidden="1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103</v>
      </c>
      <c r="R3590" s="130" t="s">
        <v>5682</v>
      </c>
      <c r="S3590" s="129"/>
    </row>
    <row r="3591" spans="1:19" hidden="1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103</v>
      </c>
      <c r="R3591" s="130" t="s">
        <v>5682</v>
      </c>
      <c r="S3591" s="129"/>
    </row>
    <row r="3592" spans="1:19" hidden="1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103</v>
      </c>
      <c r="R3592" s="130" t="s">
        <v>5682</v>
      </c>
      <c r="S3592" s="129"/>
    </row>
    <row r="3593" spans="1:19" hidden="1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103</v>
      </c>
      <c r="R3593" s="130" t="s">
        <v>5682</v>
      </c>
      <c r="S3593" s="129"/>
    </row>
    <row r="3594" spans="1:19" hidden="1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103</v>
      </c>
      <c r="R3594" s="130" t="s">
        <v>5682</v>
      </c>
      <c r="S3594" s="129"/>
    </row>
    <row r="3595" spans="1:19" hidden="1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103</v>
      </c>
      <c r="R3595" s="130" t="s">
        <v>5682</v>
      </c>
      <c r="S3595" s="129"/>
    </row>
    <row r="3596" spans="1:19" hidden="1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103</v>
      </c>
      <c r="R3596" s="130" t="s">
        <v>5682</v>
      </c>
      <c r="S3596" s="129"/>
    </row>
    <row r="3597" spans="1:19" hidden="1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103</v>
      </c>
      <c r="R3597" s="130" t="s">
        <v>5682</v>
      </c>
      <c r="S3597" s="129"/>
    </row>
    <row r="3598" spans="1:19" hidden="1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103</v>
      </c>
      <c r="R3598" s="130" t="s">
        <v>5682</v>
      </c>
      <c r="S3598" s="129"/>
    </row>
    <row r="3599" spans="1:19" hidden="1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103</v>
      </c>
      <c r="R3599" s="130" t="s">
        <v>5682</v>
      </c>
      <c r="S3599" s="129"/>
    </row>
    <row r="3600" spans="1:19" hidden="1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103</v>
      </c>
      <c r="R3600" s="130" t="s">
        <v>5682</v>
      </c>
      <c r="S3600" s="129"/>
    </row>
    <row r="3601" spans="1:19" hidden="1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103</v>
      </c>
      <c r="R3601" s="130" t="s">
        <v>5682</v>
      </c>
      <c r="S3601" s="129"/>
    </row>
    <row r="3602" spans="1:19" hidden="1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102</v>
      </c>
      <c r="R3602" s="130" t="s">
        <v>780</v>
      </c>
      <c r="S3602" s="129"/>
    </row>
    <row r="3603" spans="1:19" hidden="1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102</v>
      </c>
      <c r="R3603" s="130" t="s">
        <v>780</v>
      </c>
      <c r="S3603" s="129"/>
    </row>
    <row r="3604" spans="1:19" hidden="1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102</v>
      </c>
      <c r="R3604" s="130" t="s">
        <v>780</v>
      </c>
      <c r="S3604" s="129"/>
    </row>
    <row r="3605" spans="1:19" hidden="1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102</v>
      </c>
      <c r="R3605" s="130" t="s">
        <v>780</v>
      </c>
      <c r="S3605" s="129"/>
    </row>
    <row r="3606" spans="1:19" hidden="1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102</v>
      </c>
      <c r="R3606" s="130" t="s">
        <v>780</v>
      </c>
      <c r="S3606" s="129"/>
    </row>
    <row r="3607" spans="1:19" hidden="1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102</v>
      </c>
      <c r="R3607" s="130" t="s">
        <v>5709</v>
      </c>
      <c r="S3607" s="129"/>
    </row>
    <row r="3608" spans="1:19" hidden="1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102</v>
      </c>
      <c r="R3608" s="130" t="s">
        <v>738</v>
      </c>
      <c r="S3608" s="129"/>
    </row>
    <row r="3609" spans="1:19" hidden="1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102</v>
      </c>
      <c r="R3609" s="130" t="s">
        <v>738</v>
      </c>
      <c r="S3609" s="129"/>
    </row>
    <row r="3610" spans="1:19" hidden="1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102</v>
      </c>
      <c r="R3610" s="130" t="s">
        <v>738</v>
      </c>
      <c r="S3610" s="129"/>
    </row>
    <row r="3611" spans="1:19" hidden="1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102</v>
      </c>
      <c r="R3611" s="130" t="s">
        <v>738</v>
      </c>
      <c r="S3611" s="129"/>
    </row>
    <row r="3612" spans="1:19" hidden="1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102</v>
      </c>
      <c r="R3612" s="130" t="s">
        <v>738</v>
      </c>
      <c r="S3612" s="129"/>
    </row>
    <row r="3613" spans="1:19" hidden="1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102</v>
      </c>
      <c r="R3613" s="130" t="s">
        <v>738</v>
      </c>
      <c r="S3613" s="129"/>
    </row>
    <row r="3614" spans="1:19" hidden="1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102</v>
      </c>
      <c r="R3614" s="130" t="s">
        <v>738</v>
      </c>
      <c r="S3614" s="129"/>
    </row>
    <row r="3615" spans="1:19" hidden="1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102</v>
      </c>
      <c r="R3615" s="130" t="s">
        <v>738</v>
      </c>
      <c r="S3615" s="129"/>
    </row>
    <row r="3616" spans="1:19" hidden="1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102</v>
      </c>
      <c r="R3616" s="130" t="s">
        <v>738</v>
      </c>
      <c r="S3616" s="129"/>
    </row>
    <row r="3617" spans="1:19" hidden="1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102</v>
      </c>
      <c r="R3617" s="130" t="s">
        <v>738</v>
      </c>
      <c r="S3617" s="129"/>
    </row>
    <row r="3618" spans="1:19" hidden="1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102</v>
      </c>
      <c r="R3618" s="130" t="s">
        <v>738</v>
      </c>
      <c r="S3618" s="129"/>
    </row>
    <row r="3619" spans="1:19" hidden="1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102</v>
      </c>
      <c r="R3619" s="130" t="s">
        <v>738</v>
      </c>
      <c r="S3619" s="129"/>
    </row>
    <row r="3620" spans="1:19" hidden="1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101</v>
      </c>
      <c r="R3620" s="130" t="s">
        <v>738</v>
      </c>
      <c r="S3620" s="129"/>
    </row>
    <row r="3621" spans="1:19" hidden="1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101</v>
      </c>
      <c r="R3621" s="130" t="s">
        <v>738</v>
      </c>
      <c r="S3621" s="129"/>
    </row>
    <row r="3622" spans="1:19" hidden="1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101</v>
      </c>
      <c r="R3622" s="130" t="s">
        <v>738</v>
      </c>
      <c r="S3622" s="129"/>
    </row>
    <row r="3623" spans="1:19" hidden="1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101</v>
      </c>
      <c r="R3623" s="130" t="s">
        <v>738</v>
      </c>
      <c r="S3623" s="129"/>
    </row>
    <row r="3624" spans="1:19" hidden="1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101</v>
      </c>
      <c r="R3624" s="130" t="s">
        <v>738</v>
      </c>
      <c r="S3624" s="129"/>
    </row>
    <row r="3625" spans="1:19" hidden="1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101</v>
      </c>
      <c r="R3625" s="130" t="s">
        <v>738</v>
      </c>
      <c r="S3625" s="129"/>
    </row>
    <row r="3626" spans="1:19" hidden="1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101</v>
      </c>
      <c r="R3626" s="130" t="s">
        <v>738</v>
      </c>
      <c r="S3626" s="129"/>
    </row>
    <row r="3627" spans="1:19" hidden="1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101</v>
      </c>
      <c r="R3627" s="130" t="s">
        <v>738</v>
      </c>
      <c r="S3627" s="129"/>
    </row>
    <row r="3628" spans="1:19" hidden="1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101</v>
      </c>
      <c r="R3628" s="130" t="s">
        <v>489</v>
      </c>
      <c r="S3628" s="129"/>
    </row>
    <row r="3629" spans="1:19" hidden="1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101</v>
      </c>
      <c r="R3629" s="130" t="s">
        <v>489</v>
      </c>
      <c r="S3629" s="129"/>
    </row>
    <row r="3630" spans="1:19" hidden="1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101</v>
      </c>
      <c r="R3630" s="130" t="s">
        <v>1262</v>
      </c>
      <c r="S3630" s="129"/>
    </row>
    <row r="3631" spans="1:19" hidden="1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101</v>
      </c>
      <c r="R3631" s="130" t="s">
        <v>972</v>
      </c>
      <c r="S3631" s="129"/>
    </row>
    <row r="3632" spans="1:19" hidden="1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98</v>
      </c>
      <c r="R3632" s="130" t="s">
        <v>489</v>
      </c>
      <c r="S3632" s="129"/>
    </row>
    <row r="3633" spans="1:19" hidden="1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98</v>
      </c>
      <c r="R3633" s="130" t="s">
        <v>489</v>
      </c>
      <c r="S3633" s="129"/>
    </row>
    <row r="3634" spans="1:19" hidden="1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98</v>
      </c>
      <c r="R3634" s="130" t="s">
        <v>489</v>
      </c>
      <c r="S3634" s="129"/>
    </row>
    <row r="3635" spans="1:19" hidden="1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98</v>
      </c>
      <c r="R3635" s="130" t="s">
        <v>489</v>
      </c>
      <c r="S3635" s="129"/>
    </row>
    <row r="3636" spans="1:19" hidden="1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98</v>
      </c>
      <c r="R3636" s="130" t="s">
        <v>489</v>
      </c>
      <c r="S3636" s="129"/>
    </row>
    <row r="3637" spans="1:19" hidden="1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98</v>
      </c>
      <c r="R3637" s="130" t="s">
        <v>489</v>
      </c>
      <c r="S3637" s="129"/>
    </row>
    <row r="3638" spans="1:19" hidden="1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98</v>
      </c>
      <c r="R3638" s="130" t="s">
        <v>489</v>
      </c>
      <c r="S3638" s="129"/>
    </row>
    <row r="3639" spans="1:19" hidden="1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98</v>
      </c>
      <c r="R3639" s="130" t="s">
        <v>489</v>
      </c>
      <c r="S3639" s="129"/>
    </row>
    <row r="3640" spans="1:19" hidden="1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98</v>
      </c>
      <c r="R3640" s="130" t="s">
        <v>489</v>
      </c>
      <c r="S3640" s="129"/>
    </row>
    <row r="3641" spans="1:19" hidden="1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98</v>
      </c>
      <c r="R3641" s="130" t="s">
        <v>489</v>
      </c>
      <c r="S3641" s="129"/>
    </row>
    <row r="3642" spans="1:19" hidden="1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98</v>
      </c>
      <c r="R3642" s="130" t="s">
        <v>489</v>
      </c>
      <c r="S3642" s="129"/>
    </row>
    <row r="3643" spans="1:19" hidden="1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98</v>
      </c>
      <c r="R3643" s="130" t="s">
        <v>489</v>
      </c>
      <c r="S3643" s="129"/>
    </row>
    <row r="3644" spans="1:19" hidden="1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98</v>
      </c>
      <c r="R3644" s="130" t="s">
        <v>489</v>
      </c>
      <c r="S3644" s="129"/>
    </row>
    <row r="3645" spans="1:19" hidden="1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98</v>
      </c>
      <c r="R3645" s="130" t="s">
        <v>489</v>
      </c>
      <c r="S3645" s="129"/>
    </row>
    <row r="3646" spans="1:19" hidden="1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98</v>
      </c>
      <c r="R3646" s="130" t="s">
        <v>489</v>
      </c>
      <c r="S3646" s="129"/>
    </row>
    <row r="3647" spans="1:19" hidden="1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98</v>
      </c>
      <c r="R3647" s="130" t="s">
        <v>489</v>
      </c>
      <c r="S3647" s="129"/>
    </row>
    <row r="3648" spans="1:19" hidden="1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98</v>
      </c>
      <c r="R3648" s="130" t="s">
        <v>489</v>
      </c>
      <c r="S3648" s="129"/>
    </row>
    <row r="3649" spans="1:19" hidden="1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98</v>
      </c>
      <c r="R3649" s="130" t="s">
        <v>489</v>
      </c>
      <c r="S3649" s="129"/>
    </row>
    <row r="3650" spans="1:19" hidden="1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98</v>
      </c>
      <c r="R3650" s="130" t="s">
        <v>746</v>
      </c>
      <c r="S3650" s="129"/>
    </row>
    <row r="3651" spans="1:19" hidden="1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98</v>
      </c>
      <c r="R3651" s="130" t="s">
        <v>746</v>
      </c>
      <c r="S3651" s="129"/>
    </row>
    <row r="3652" spans="1:19" hidden="1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98</v>
      </c>
      <c r="R3652" s="130" t="s">
        <v>746</v>
      </c>
      <c r="S3652" s="129"/>
    </row>
    <row r="3653" spans="1:19" hidden="1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98</v>
      </c>
      <c r="R3653" s="130" t="s">
        <v>746</v>
      </c>
      <c r="S3653" s="129"/>
    </row>
    <row r="3654" spans="1:19" hidden="1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98</v>
      </c>
      <c r="R3654" s="130" t="s">
        <v>746</v>
      </c>
      <c r="S3654" s="129"/>
    </row>
    <row r="3655" spans="1:19" hidden="1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98</v>
      </c>
      <c r="R3655" s="130" t="s">
        <v>746</v>
      </c>
      <c r="S3655" s="129"/>
    </row>
    <row r="3656" spans="1:19" hidden="1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98</v>
      </c>
      <c r="R3656" s="130" t="s">
        <v>746</v>
      </c>
      <c r="S3656" s="129"/>
    </row>
    <row r="3657" spans="1:19" hidden="1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98</v>
      </c>
      <c r="R3657" s="130" t="s">
        <v>746</v>
      </c>
      <c r="S3657" s="129"/>
    </row>
    <row r="3658" spans="1:19" hidden="1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98</v>
      </c>
      <c r="R3658" s="130" t="s">
        <v>746</v>
      </c>
      <c r="S3658" s="129"/>
    </row>
    <row r="3659" spans="1:19" hidden="1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98</v>
      </c>
      <c r="R3659" s="130" t="s">
        <v>746</v>
      </c>
      <c r="S3659" s="129"/>
    </row>
    <row r="3660" spans="1:19" hidden="1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98</v>
      </c>
      <c r="R3660" s="130" t="s">
        <v>746</v>
      </c>
      <c r="S3660" s="129"/>
    </row>
    <row r="3661" spans="1:19" hidden="1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97</v>
      </c>
      <c r="R3661" s="130" t="s">
        <v>489</v>
      </c>
      <c r="S3661" s="129"/>
    </row>
    <row r="3662" spans="1:19" hidden="1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97</v>
      </c>
      <c r="R3662" s="131" t="s">
        <v>489</v>
      </c>
      <c r="S3662" s="129"/>
    </row>
    <row r="3663" spans="1:19" hidden="1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97</v>
      </c>
      <c r="R3663" s="131" t="s">
        <v>489</v>
      </c>
      <c r="S3663" s="129"/>
    </row>
    <row r="3664" spans="1:19" hidden="1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97</v>
      </c>
      <c r="R3664" s="131" t="s">
        <v>489</v>
      </c>
      <c r="S3664" s="129"/>
    </row>
    <row r="3665" spans="1:19" hidden="1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97</v>
      </c>
      <c r="R3665" s="131" t="s">
        <v>489</v>
      </c>
      <c r="S3665" s="129"/>
    </row>
    <row r="3666" spans="1:19" hidden="1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97</v>
      </c>
      <c r="R3666" s="131" t="s">
        <v>489</v>
      </c>
      <c r="S3666" s="129"/>
    </row>
    <row r="3667" spans="1:19" hidden="1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97</v>
      </c>
      <c r="R3667" s="131" t="s">
        <v>489</v>
      </c>
      <c r="S3667" s="129"/>
    </row>
    <row r="3668" spans="1:19" hidden="1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97</v>
      </c>
      <c r="R3668" s="131" t="s">
        <v>489</v>
      </c>
      <c r="S3668" s="129"/>
    </row>
    <row r="3669" spans="1:19" hidden="1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97</v>
      </c>
      <c r="R3669" s="131" t="s">
        <v>489</v>
      </c>
      <c r="S3669" s="129"/>
    </row>
    <row r="3670" spans="1:19" hidden="1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97</v>
      </c>
      <c r="R3670" s="131" t="s">
        <v>489</v>
      </c>
      <c r="S3670" s="129"/>
    </row>
    <row r="3671" spans="1:19" hidden="1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97</v>
      </c>
      <c r="R3671" s="131" t="s">
        <v>489</v>
      </c>
      <c r="S3671" s="129"/>
    </row>
    <row r="3672" spans="1:19" hidden="1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97</v>
      </c>
      <c r="R3672" s="131" t="s">
        <v>489</v>
      </c>
      <c r="S3672" s="129"/>
    </row>
    <row r="3673" spans="1:19" hidden="1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97</v>
      </c>
      <c r="R3673" s="131" t="s">
        <v>489</v>
      </c>
      <c r="S3673" s="129"/>
    </row>
    <row r="3674" spans="1:19" hidden="1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97</v>
      </c>
      <c r="R3674" s="131" t="s">
        <v>489</v>
      </c>
      <c r="S3674" s="129"/>
    </row>
    <row r="3675" spans="1:19" hidden="1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97</v>
      </c>
      <c r="R3675" s="131" t="s">
        <v>489</v>
      </c>
      <c r="S3675" s="129"/>
    </row>
    <row r="3676" spans="1:19" hidden="1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97</v>
      </c>
      <c r="R3676" s="131" t="s">
        <v>489</v>
      </c>
      <c r="S3676" s="129"/>
    </row>
    <row r="3677" spans="1:19" hidden="1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97</v>
      </c>
      <c r="R3677" s="131" t="s">
        <v>489</v>
      </c>
      <c r="S3677" s="129"/>
    </row>
    <row r="3678" spans="1:19" hidden="1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97</v>
      </c>
      <c r="R3678" s="131" t="s">
        <v>489</v>
      </c>
      <c r="S3678" s="129"/>
    </row>
    <row r="3679" spans="1:19" hidden="1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97</v>
      </c>
      <c r="R3679" s="131" t="s">
        <v>489</v>
      </c>
      <c r="S3679" s="129"/>
    </row>
    <row r="3680" spans="1:19" hidden="1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97</v>
      </c>
      <c r="R3680" s="131" t="s">
        <v>489</v>
      </c>
      <c r="S3680" s="129"/>
    </row>
    <row r="3681" spans="1:19" hidden="1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97</v>
      </c>
      <c r="R3681" s="131" t="s">
        <v>489</v>
      </c>
      <c r="S3681" s="129"/>
    </row>
    <row r="3682" spans="1:19" hidden="1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97</v>
      </c>
      <c r="R3682" s="131" t="s">
        <v>489</v>
      </c>
      <c r="S3682" s="129"/>
    </row>
    <row r="3683" spans="1:19" hidden="1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97</v>
      </c>
      <c r="R3683" s="131" t="s">
        <v>489</v>
      </c>
      <c r="S3683" s="129"/>
    </row>
    <row r="3684" spans="1:19" hidden="1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97</v>
      </c>
      <c r="R3684" s="131" t="s">
        <v>489</v>
      </c>
      <c r="S3684" s="129"/>
    </row>
    <row r="3685" spans="1:19" hidden="1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97</v>
      </c>
      <c r="R3685" s="131" t="s">
        <v>489</v>
      </c>
      <c r="S3685" s="129"/>
    </row>
    <row r="3686" spans="1:19" hidden="1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97</v>
      </c>
      <c r="R3686" s="131" t="s">
        <v>489</v>
      </c>
      <c r="S3686" s="129"/>
    </row>
    <row r="3687" spans="1:19" hidden="1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97</v>
      </c>
      <c r="R3687" s="131" t="s">
        <v>489</v>
      </c>
      <c r="S3687" s="129"/>
    </row>
    <row r="3688" spans="1:19" hidden="1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97</v>
      </c>
      <c r="R3688" s="131" t="s">
        <v>489</v>
      </c>
      <c r="S3688" s="129"/>
    </row>
    <row r="3689" spans="1:19" hidden="1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97</v>
      </c>
      <c r="R3689" s="131" t="s">
        <v>489</v>
      </c>
      <c r="S3689" s="129"/>
    </row>
    <row r="3690" spans="1:19" hidden="1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97</v>
      </c>
      <c r="R3690" s="131" t="s">
        <v>489</v>
      </c>
      <c r="S3690" s="129"/>
    </row>
    <row r="3691" spans="1:19" hidden="1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97</v>
      </c>
      <c r="R3691" s="131" t="s">
        <v>489</v>
      </c>
      <c r="S3691" s="129"/>
    </row>
    <row r="3692" spans="1:19" hidden="1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97</v>
      </c>
      <c r="R3692" s="131" t="s">
        <v>489</v>
      </c>
      <c r="S3692" s="129"/>
    </row>
    <row r="3693" spans="1:19" hidden="1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97</v>
      </c>
      <c r="R3693" s="131" t="s">
        <v>489</v>
      </c>
      <c r="S3693" s="129"/>
    </row>
    <row r="3694" spans="1:19" hidden="1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97</v>
      </c>
      <c r="R3694" s="131" t="s">
        <v>489</v>
      </c>
      <c r="S3694" s="129"/>
    </row>
    <row r="3695" spans="1:19" hidden="1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97</v>
      </c>
      <c r="R3695" s="131" t="s">
        <v>489</v>
      </c>
      <c r="S3695" s="129"/>
    </row>
    <row r="3696" spans="1:19" hidden="1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96</v>
      </c>
      <c r="R3696" s="131" t="s">
        <v>489</v>
      </c>
      <c r="S3696" s="129"/>
    </row>
    <row r="3697" spans="1:19" hidden="1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96</v>
      </c>
      <c r="R3697" s="131" t="s">
        <v>489</v>
      </c>
      <c r="S3697" s="129"/>
    </row>
    <row r="3698" spans="1:19" hidden="1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96</v>
      </c>
      <c r="R3698" s="131" t="s">
        <v>489</v>
      </c>
      <c r="S3698" s="129"/>
    </row>
    <row r="3699" spans="1:19" hidden="1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96</v>
      </c>
      <c r="R3699" s="131" t="s">
        <v>489</v>
      </c>
      <c r="S3699" s="129"/>
    </row>
    <row r="3700" spans="1:19" hidden="1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96</v>
      </c>
      <c r="R3700" s="131" t="s">
        <v>489</v>
      </c>
      <c r="S3700" s="129"/>
    </row>
    <row r="3701" spans="1:19" hidden="1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96</v>
      </c>
      <c r="R3701" s="131" t="s">
        <v>489</v>
      </c>
      <c r="S3701" s="129"/>
    </row>
    <row r="3702" spans="1:19" hidden="1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96</v>
      </c>
      <c r="R3702" s="131" t="s">
        <v>489</v>
      </c>
      <c r="S3702" s="129"/>
    </row>
    <row r="3703" spans="1:19" hidden="1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96</v>
      </c>
      <c r="R3703" s="131" t="s">
        <v>489</v>
      </c>
      <c r="S3703" s="129"/>
    </row>
    <row r="3704" spans="1:19" hidden="1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96</v>
      </c>
      <c r="R3704" s="131" t="s">
        <v>489</v>
      </c>
      <c r="S3704" s="129"/>
    </row>
    <row r="3705" spans="1:19" hidden="1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96</v>
      </c>
      <c r="R3705" s="131" t="s">
        <v>489</v>
      </c>
      <c r="S3705" s="129"/>
    </row>
    <row r="3706" spans="1:19" hidden="1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96</v>
      </c>
      <c r="R3706" s="131" t="s">
        <v>489</v>
      </c>
      <c r="S3706" s="129"/>
    </row>
    <row r="3707" spans="1:19" hidden="1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96</v>
      </c>
      <c r="R3707" s="131" t="s">
        <v>489</v>
      </c>
      <c r="S3707" s="129"/>
    </row>
    <row r="3708" spans="1:19" hidden="1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96</v>
      </c>
      <c r="R3708" s="131" t="s">
        <v>489</v>
      </c>
      <c r="S3708" s="129"/>
    </row>
    <row r="3709" spans="1:19" hidden="1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96</v>
      </c>
      <c r="R3709" s="131" t="s">
        <v>489</v>
      </c>
      <c r="S3709" s="129"/>
    </row>
    <row r="3710" spans="1:19" hidden="1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96</v>
      </c>
      <c r="R3710" s="131" t="s">
        <v>489</v>
      </c>
      <c r="S3710" s="129"/>
    </row>
    <row r="3711" spans="1:19" hidden="1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96</v>
      </c>
      <c r="R3711" s="131" t="s">
        <v>489</v>
      </c>
      <c r="S3711" s="129"/>
    </row>
    <row r="3712" spans="1:19" hidden="1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96</v>
      </c>
      <c r="R3712" s="131" t="s">
        <v>489</v>
      </c>
      <c r="S3712" s="129"/>
    </row>
    <row r="3713" spans="1:19" hidden="1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96</v>
      </c>
      <c r="R3713" s="131" t="s">
        <v>489</v>
      </c>
      <c r="S3713" s="129"/>
    </row>
    <row r="3714" spans="1:19" hidden="1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96</v>
      </c>
      <c r="R3714" s="131" t="s">
        <v>489</v>
      </c>
      <c r="S3714" s="129"/>
    </row>
    <row r="3715" spans="1:19" hidden="1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96</v>
      </c>
      <c r="R3715" s="131" t="s">
        <v>489</v>
      </c>
      <c r="S3715" s="129"/>
    </row>
    <row r="3716" spans="1:19" hidden="1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96</v>
      </c>
      <c r="R3716" s="131" t="s">
        <v>489</v>
      </c>
      <c r="S3716" s="129"/>
    </row>
    <row r="3717" spans="1:19" hidden="1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96</v>
      </c>
      <c r="R3717" s="131" t="s">
        <v>489</v>
      </c>
      <c r="S3717" s="129"/>
    </row>
    <row r="3718" spans="1:19" hidden="1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96</v>
      </c>
      <c r="R3718" s="131" t="s">
        <v>489</v>
      </c>
      <c r="S3718" s="129"/>
    </row>
    <row r="3719" spans="1:19" hidden="1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96</v>
      </c>
      <c r="R3719" s="131" t="s">
        <v>489</v>
      </c>
      <c r="S3719" s="129"/>
    </row>
    <row r="3720" spans="1:19" hidden="1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96</v>
      </c>
      <c r="R3720" s="131" t="s">
        <v>489</v>
      </c>
      <c r="S3720" s="129"/>
    </row>
    <row r="3721" spans="1:19" hidden="1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96</v>
      </c>
      <c r="R3721" s="131" t="s">
        <v>489</v>
      </c>
      <c r="S3721" s="129"/>
    </row>
    <row r="3722" spans="1:19" hidden="1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96</v>
      </c>
      <c r="R3722" s="131" t="s">
        <v>489</v>
      </c>
      <c r="S3722" s="129"/>
    </row>
    <row r="3723" spans="1:19" hidden="1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96</v>
      </c>
      <c r="R3723" s="131" t="s">
        <v>489</v>
      </c>
      <c r="S3723" s="129"/>
    </row>
    <row r="3724" spans="1:19" hidden="1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96</v>
      </c>
      <c r="R3724" s="131" t="s">
        <v>489</v>
      </c>
      <c r="S3724" s="129"/>
    </row>
    <row r="3725" spans="1:19" hidden="1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96</v>
      </c>
      <c r="R3725" s="131" t="s">
        <v>489</v>
      </c>
      <c r="S3725" s="129"/>
    </row>
    <row r="3726" spans="1:19" hidden="1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96</v>
      </c>
      <c r="R3726" s="131" t="s">
        <v>489</v>
      </c>
      <c r="S3726" s="129"/>
    </row>
    <row r="3727" spans="1:19" hidden="1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96</v>
      </c>
      <c r="R3727" s="131" t="s">
        <v>489</v>
      </c>
      <c r="S3727" s="129"/>
    </row>
    <row r="3728" spans="1:19" hidden="1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96</v>
      </c>
      <c r="R3728" s="131" t="s">
        <v>489</v>
      </c>
      <c r="S3728" s="129"/>
    </row>
    <row r="3729" spans="1:19" hidden="1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96</v>
      </c>
      <c r="R3729" s="131" t="s">
        <v>489</v>
      </c>
      <c r="S3729" s="129"/>
    </row>
    <row r="3730" spans="1:19" hidden="1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96</v>
      </c>
      <c r="R3730" s="131" t="s">
        <v>489</v>
      </c>
      <c r="S3730" s="129"/>
    </row>
    <row r="3731" spans="1:19" hidden="1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96</v>
      </c>
      <c r="R3731" s="131" t="s">
        <v>489</v>
      </c>
      <c r="S3731" s="129"/>
    </row>
    <row r="3732" spans="1:19" hidden="1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96</v>
      </c>
      <c r="R3732" s="131" t="s">
        <v>489</v>
      </c>
      <c r="S3732" s="129"/>
    </row>
    <row r="3733" spans="1:19" hidden="1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96</v>
      </c>
      <c r="R3733" s="131" t="s">
        <v>489</v>
      </c>
      <c r="S3733" s="129"/>
    </row>
    <row r="3734" spans="1:19" hidden="1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96</v>
      </c>
      <c r="R3734" s="136" t="s">
        <v>1013</v>
      </c>
      <c r="S3734" s="129"/>
    </row>
    <row r="3735" spans="1:19" hidden="1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96</v>
      </c>
      <c r="R3735" s="136" t="s">
        <v>1013</v>
      </c>
      <c r="S3735" s="129"/>
    </row>
    <row r="3736" spans="1:19" hidden="1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96</v>
      </c>
      <c r="R3736" s="136" t="s">
        <v>1013</v>
      </c>
      <c r="S3736" s="129"/>
    </row>
    <row r="3737" spans="1:19" hidden="1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96</v>
      </c>
      <c r="R3737" s="136" t="s">
        <v>1013</v>
      </c>
      <c r="S3737" s="129"/>
    </row>
    <row r="3738" spans="1:19" hidden="1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96</v>
      </c>
      <c r="R3738" s="136" t="s">
        <v>1013</v>
      </c>
      <c r="S3738" s="129"/>
    </row>
    <row r="3739" spans="1:19" hidden="1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96</v>
      </c>
      <c r="R3739" s="136" t="s">
        <v>1013</v>
      </c>
      <c r="S3739" s="129"/>
    </row>
    <row r="3740" spans="1:19" hidden="1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96</v>
      </c>
      <c r="R3740" s="136" t="s">
        <v>1013</v>
      </c>
      <c r="S3740" s="129"/>
    </row>
    <row r="3741" spans="1:19" hidden="1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96</v>
      </c>
      <c r="R3741" s="136" t="s">
        <v>1013</v>
      </c>
      <c r="S3741" s="129"/>
    </row>
    <row r="3742" spans="1:19" hidden="1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96</v>
      </c>
      <c r="R3742" s="136" t="s">
        <v>1013</v>
      </c>
      <c r="S3742" s="129"/>
    </row>
    <row r="3743" spans="1:19" hidden="1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96</v>
      </c>
      <c r="R3743" s="136" t="s">
        <v>1013</v>
      </c>
      <c r="S3743" s="129"/>
    </row>
    <row r="3744" spans="1:19" hidden="1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96</v>
      </c>
      <c r="R3744" s="136" t="s">
        <v>1013</v>
      </c>
      <c r="S3744" s="129"/>
    </row>
    <row r="3745" spans="1:19" hidden="1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96</v>
      </c>
      <c r="R3745" s="136" t="s">
        <v>1013</v>
      </c>
      <c r="S3745" s="129"/>
    </row>
    <row r="3746" spans="1:19" hidden="1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96</v>
      </c>
      <c r="R3746" s="136" t="s">
        <v>1013</v>
      </c>
      <c r="S3746" s="129"/>
    </row>
    <row r="3747" spans="1:19" hidden="1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96</v>
      </c>
      <c r="R3747" s="136" t="s">
        <v>1013</v>
      </c>
      <c r="S3747" s="129"/>
    </row>
    <row r="3748" spans="1:19" hidden="1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96</v>
      </c>
      <c r="R3748" s="136" t="s">
        <v>1013</v>
      </c>
      <c r="S3748" s="129"/>
    </row>
    <row r="3749" spans="1:19" hidden="1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96</v>
      </c>
      <c r="R3749" s="136" t="s">
        <v>1013</v>
      </c>
      <c r="S3749" s="129"/>
    </row>
    <row r="3750" spans="1:19" hidden="1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96</v>
      </c>
      <c r="R3750" s="136" t="s">
        <v>1013</v>
      </c>
      <c r="S3750" s="129"/>
    </row>
    <row r="3751" spans="1:19" hidden="1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96</v>
      </c>
      <c r="R3751" s="136" t="s">
        <v>1013</v>
      </c>
      <c r="S3751" s="129"/>
    </row>
    <row r="3752" spans="1:19" hidden="1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96</v>
      </c>
      <c r="R3752" s="136" t="s">
        <v>1013</v>
      </c>
      <c r="S3752" s="129"/>
    </row>
    <row r="3753" spans="1:19" hidden="1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96</v>
      </c>
      <c r="R3753" s="136" t="s">
        <v>1013</v>
      </c>
      <c r="S3753" s="129"/>
    </row>
    <row r="3754" spans="1:19" hidden="1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96</v>
      </c>
      <c r="R3754" s="136" t="s">
        <v>1013</v>
      </c>
      <c r="S3754" s="129"/>
    </row>
    <row r="3755" spans="1:19" hidden="1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96</v>
      </c>
      <c r="R3755" s="136" t="s">
        <v>1013</v>
      </c>
      <c r="S3755" s="129"/>
    </row>
    <row r="3756" spans="1:19" hidden="1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96</v>
      </c>
      <c r="R3756" s="136" t="s">
        <v>1013</v>
      </c>
      <c r="S3756" s="129"/>
    </row>
    <row r="3757" spans="1:19" hidden="1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96</v>
      </c>
      <c r="R3757" s="136" t="s">
        <v>1013</v>
      </c>
      <c r="S3757" s="129"/>
    </row>
    <row r="3758" spans="1:19" hidden="1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96</v>
      </c>
      <c r="R3758" s="136" t="s">
        <v>1013</v>
      </c>
      <c r="S3758" s="129"/>
    </row>
    <row r="3759" spans="1:19" hidden="1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96</v>
      </c>
      <c r="R3759" s="136" t="s">
        <v>1013</v>
      </c>
      <c r="S3759" s="129"/>
    </row>
    <row r="3760" spans="1:19" hidden="1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96</v>
      </c>
      <c r="R3760" s="136" t="s">
        <v>1013</v>
      </c>
      <c r="S3760" s="129"/>
    </row>
    <row r="3761" spans="1:19" hidden="1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96</v>
      </c>
      <c r="R3761" s="136" t="s">
        <v>1013</v>
      </c>
      <c r="S3761" s="129"/>
    </row>
    <row r="3762" spans="1:19" hidden="1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96</v>
      </c>
      <c r="R3762" s="136" t="s">
        <v>1013</v>
      </c>
      <c r="S3762" s="129"/>
    </row>
    <row r="3763" spans="1:19" hidden="1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96</v>
      </c>
      <c r="R3763" s="136" t="s">
        <v>1013</v>
      </c>
      <c r="S3763" s="129"/>
    </row>
    <row r="3764" spans="1:19" hidden="1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96</v>
      </c>
      <c r="R3764" s="136" t="s">
        <v>1013</v>
      </c>
      <c r="S3764" s="129"/>
    </row>
    <row r="3765" spans="1:19" hidden="1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96</v>
      </c>
      <c r="R3765" s="136" t="s">
        <v>1013</v>
      </c>
      <c r="S3765" s="129"/>
    </row>
    <row r="3766" spans="1:19" hidden="1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96</v>
      </c>
      <c r="R3766" s="136" t="s">
        <v>1013</v>
      </c>
      <c r="S3766" s="129"/>
    </row>
    <row r="3767" spans="1:19" hidden="1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96</v>
      </c>
      <c r="R3767" s="136" t="s">
        <v>1013</v>
      </c>
      <c r="S3767" s="129"/>
    </row>
    <row r="3768" spans="1:19" hidden="1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96</v>
      </c>
      <c r="R3768" s="136" t="s">
        <v>1013</v>
      </c>
      <c r="S3768" s="129"/>
    </row>
    <row r="3769" spans="1:19" hidden="1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96</v>
      </c>
      <c r="R3769" s="136" t="s">
        <v>1013</v>
      </c>
      <c r="S3769" s="129"/>
    </row>
    <row r="3770" spans="1:19" hidden="1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96</v>
      </c>
      <c r="R3770" s="136" t="s">
        <v>1013</v>
      </c>
      <c r="S3770" s="129"/>
    </row>
    <row r="3771" spans="1:19" hidden="1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96</v>
      </c>
      <c r="R3771" s="136" t="s">
        <v>1013</v>
      </c>
      <c r="S3771" s="129"/>
    </row>
    <row r="3772" spans="1:19" hidden="1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96</v>
      </c>
      <c r="R3772" s="136" t="s">
        <v>1013</v>
      </c>
      <c r="S3772" s="129"/>
    </row>
    <row r="3773" spans="1:19" hidden="1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96</v>
      </c>
      <c r="R3773" s="136" t="s">
        <v>1013</v>
      </c>
      <c r="S3773" s="129"/>
    </row>
    <row r="3774" spans="1:19" hidden="1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96</v>
      </c>
      <c r="R3774" s="136" t="s">
        <v>1013</v>
      </c>
      <c r="S3774" s="129"/>
    </row>
    <row r="3775" spans="1:19" hidden="1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96</v>
      </c>
      <c r="R3775" s="136" t="s">
        <v>1013</v>
      </c>
      <c r="S3775" s="129"/>
    </row>
    <row r="3776" spans="1:19" hidden="1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96</v>
      </c>
      <c r="R3776" s="136" t="s">
        <v>1013</v>
      </c>
      <c r="S3776" s="129"/>
    </row>
    <row r="3777" spans="1:19" hidden="1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96</v>
      </c>
      <c r="R3777" s="136" t="s">
        <v>1013</v>
      </c>
      <c r="S3777" s="129"/>
    </row>
    <row r="3778" spans="1:19" hidden="1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96</v>
      </c>
      <c r="R3778" s="136" t="s">
        <v>1013</v>
      </c>
      <c r="S3778" s="129"/>
    </row>
    <row r="3779" spans="1:19" hidden="1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96</v>
      </c>
      <c r="R3779" s="136" t="s">
        <v>1013</v>
      </c>
      <c r="S3779" s="129"/>
    </row>
    <row r="3780" spans="1:19" hidden="1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96</v>
      </c>
      <c r="R3780" s="136" t="s">
        <v>1013</v>
      </c>
      <c r="S3780" s="129"/>
    </row>
    <row r="3781" spans="1:19" hidden="1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96</v>
      </c>
      <c r="R3781" s="136" t="s">
        <v>1013</v>
      </c>
      <c r="S3781" s="129"/>
    </row>
    <row r="3782" spans="1:19" hidden="1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96</v>
      </c>
      <c r="R3782" s="136" t="s">
        <v>1013</v>
      </c>
      <c r="S3782" s="129"/>
    </row>
    <row r="3783" spans="1:19" hidden="1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96</v>
      </c>
      <c r="R3783" s="136" t="s">
        <v>1013</v>
      </c>
      <c r="S3783" s="129"/>
    </row>
    <row r="3784" spans="1:19" hidden="1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96</v>
      </c>
      <c r="R3784" s="136" t="s">
        <v>1013</v>
      </c>
      <c r="S3784" s="129"/>
    </row>
    <row r="3785" spans="1:19" hidden="1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96</v>
      </c>
      <c r="R3785" s="136" t="s">
        <v>1013</v>
      </c>
      <c r="S3785" s="129"/>
    </row>
    <row r="3786" spans="1:19" hidden="1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96</v>
      </c>
      <c r="R3786" s="136" t="s">
        <v>1013</v>
      </c>
      <c r="S3786" s="129"/>
    </row>
    <row r="3787" spans="1:19" hidden="1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96</v>
      </c>
      <c r="R3787" s="136" t="s">
        <v>1013</v>
      </c>
      <c r="S3787" s="129"/>
    </row>
    <row r="3788" spans="1:19" hidden="1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96</v>
      </c>
      <c r="R3788" s="136" t="s">
        <v>1013</v>
      </c>
      <c r="S3788" s="129"/>
    </row>
    <row r="3789" spans="1:19" hidden="1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96</v>
      </c>
      <c r="R3789" s="136" t="s">
        <v>1013</v>
      </c>
      <c r="S3789" s="129"/>
    </row>
    <row r="3790" spans="1:19" hidden="1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96</v>
      </c>
      <c r="R3790" s="136" t="s">
        <v>1013</v>
      </c>
      <c r="S3790" s="129"/>
    </row>
    <row r="3791" spans="1:19" hidden="1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96</v>
      </c>
      <c r="R3791" s="136" t="s">
        <v>1013</v>
      </c>
      <c r="S3791" s="129"/>
    </row>
    <row r="3792" spans="1:19" hidden="1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96</v>
      </c>
      <c r="R3792" s="136" t="s">
        <v>1013</v>
      </c>
      <c r="S3792" s="129"/>
    </row>
    <row r="3793" spans="1:19" hidden="1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96</v>
      </c>
      <c r="R3793" s="136" t="s">
        <v>1013</v>
      </c>
      <c r="S3793" s="129"/>
    </row>
    <row r="3794" spans="1:19" hidden="1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96</v>
      </c>
      <c r="R3794" s="136" t="s">
        <v>452</v>
      </c>
      <c r="S3794" s="129"/>
    </row>
    <row r="3795" spans="1:19" hidden="1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96</v>
      </c>
      <c r="R3795" s="136" t="s">
        <v>452</v>
      </c>
      <c r="S3795" s="129"/>
    </row>
    <row r="3796" spans="1:19" hidden="1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96</v>
      </c>
      <c r="R3796" s="136" t="s">
        <v>452</v>
      </c>
      <c r="S3796" s="129"/>
    </row>
    <row r="3797" spans="1:19" hidden="1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96</v>
      </c>
      <c r="R3797" s="136" t="s">
        <v>452</v>
      </c>
      <c r="S3797" s="129"/>
    </row>
    <row r="3798" spans="1:19" hidden="1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96</v>
      </c>
      <c r="R3798" s="136" t="s">
        <v>452</v>
      </c>
      <c r="S3798" s="129"/>
    </row>
    <row r="3799" spans="1:19" hidden="1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96</v>
      </c>
      <c r="R3799" s="136" t="s">
        <v>1013</v>
      </c>
      <c r="S3799" s="129"/>
    </row>
    <row r="3800" spans="1:19" hidden="1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96</v>
      </c>
      <c r="R3800" s="136" t="s">
        <v>1013</v>
      </c>
      <c r="S3800" s="129"/>
    </row>
    <row r="3801" spans="1:19" hidden="1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96</v>
      </c>
      <c r="R3801" s="136" t="s">
        <v>1013</v>
      </c>
      <c r="S3801" s="129"/>
    </row>
    <row r="3802" spans="1:19" hidden="1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96</v>
      </c>
      <c r="R3802" s="136" t="s">
        <v>1013</v>
      </c>
      <c r="S3802" s="129"/>
    </row>
    <row r="3803" spans="1:19" hidden="1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96</v>
      </c>
      <c r="R3803" s="136" t="s">
        <v>1013</v>
      </c>
      <c r="S3803" s="129"/>
    </row>
    <row r="3804" spans="1:19" hidden="1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96</v>
      </c>
      <c r="R3804" s="136" t="s">
        <v>1013</v>
      </c>
      <c r="S3804" s="129"/>
    </row>
    <row r="3805" spans="1:19" hidden="1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96</v>
      </c>
      <c r="R3805" s="136" t="s">
        <v>1013</v>
      </c>
      <c r="S3805" s="129"/>
    </row>
    <row r="3806" spans="1:19" hidden="1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96</v>
      </c>
      <c r="R3806" s="136" t="s">
        <v>1013</v>
      </c>
      <c r="S3806" s="129"/>
    </row>
    <row r="3807" spans="1:19" hidden="1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96</v>
      </c>
      <c r="R3807" s="136" t="s">
        <v>1013</v>
      </c>
      <c r="S3807" s="129"/>
    </row>
    <row r="3808" spans="1:19" hidden="1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96</v>
      </c>
      <c r="R3808" s="136" t="s">
        <v>1013</v>
      </c>
      <c r="S3808" s="129"/>
    </row>
    <row r="3809" spans="1:19" hidden="1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96</v>
      </c>
      <c r="R3809" s="136" t="s">
        <v>1013</v>
      </c>
      <c r="S3809" s="129"/>
    </row>
    <row r="3810" spans="1:19" hidden="1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96</v>
      </c>
      <c r="R3810" s="136" t="s">
        <v>1013</v>
      </c>
      <c r="S3810" s="129"/>
    </row>
    <row r="3811" spans="1:19" hidden="1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96</v>
      </c>
      <c r="R3811" s="136" t="s">
        <v>1013</v>
      </c>
      <c r="S3811" s="129"/>
    </row>
    <row r="3812" spans="1:19" hidden="1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96</v>
      </c>
      <c r="R3812" s="136" t="s">
        <v>1013</v>
      </c>
      <c r="S3812" s="129"/>
    </row>
    <row r="3813" spans="1:19" hidden="1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96</v>
      </c>
      <c r="R3813" s="136" t="s">
        <v>1013</v>
      </c>
      <c r="S3813" s="129"/>
    </row>
    <row r="3814" spans="1:19" hidden="1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96</v>
      </c>
      <c r="R3814" s="136" t="s">
        <v>1013</v>
      </c>
      <c r="S3814" s="129"/>
    </row>
    <row r="3815" spans="1:19" hidden="1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96</v>
      </c>
      <c r="R3815" s="136" t="s">
        <v>1013</v>
      </c>
      <c r="S3815" s="129"/>
    </row>
    <row r="3816" spans="1:19" hidden="1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96</v>
      </c>
      <c r="R3816" s="136" t="s">
        <v>1013</v>
      </c>
      <c r="S3816" s="129"/>
    </row>
    <row r="3817" spans="1:19" hidden="1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96</v>
      </c>
      <c r="R3817" s="136" t="s">
        <v>1013</v>
      </c>
      <c r="S3817" s="129"/>
    </row>
    <row r="3818" spans="1:19" hidden="1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96</v>
      </c>
      <c r="R3818" s="136" t="s">
        <v>6087</v>
      </c>
      <c r="S3818" s="129"/>
    </row>
    <row r="3819" spans="1:19" hidden="1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96</v>
      </c>
      <c r="R3819" s="136" t="s">
        <v>6087</v>
      </c>
      <c r="S3819" s="129"/>
    </row>
    <row r="3820" spans="1:19" hidden="1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96</v>
      </c>
      <c r="R3820" s="136" t="s">
        <v>6087</v>
      </c>
      <c r="S3820" s="129"/>
    </row>
    <row r="3821" spans="1:19" hidden="1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96</v>
      </c>
      <c r="R3821" s="136" t="s">
        <v>6087</v>
      </c>
      <c r="S3821" s="129"/>
    </row>
    <row r="3822" spans="1:19" hidden="1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96</v>
      </c>
      <c r="R3822" s="136" t="s">
        <v>6087</v>
      </c>
      <c r="S3822" s="129"/>
    </row>
    <row r="3823" spans="1:19" hidden="1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96</v>
      </c>
      <c r="R3823" s="136" t="s">
        <v>6087</v>
      </c>
      <c r="S3823" s="129"/>
    </row>
    <row r="3824" spans="1:19" hidden="1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96</v>
      </c>
      <c r="R3824" s="136" t="s">
        <v>6087</v>
      </c>
      <c r="S3824" s="129"/>
    </row>
    <row r="3825" spans="1:19" hidden="1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96</v>
      </c>
      <c r="R3825" s="136" t="s">
        <v>6087</v>
      </c>
      <c r="S3825" s="129"/>
    </row>
    <row r="3826" spans="1:19" hidden="1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96</v>
      </c>
      <c r="R3826" s="136" t="s">
        <v>6087</v>
      </c>
      <c r="S3826" s="129"/>
    </row>
    <row r="3827" spans="1:19" hidden="1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96</v>
      </c>
      <c r="R3827" s="136" t="s">
        <v>6087</v>
      </c>
      <c r="S3827" s="129"/>
    </row>
    <row r="3828" spans="1:19" hidden="1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96</v>
      </c>
      <c r="R3828" s="136" t="s">
        <v>6087</v>
      </c>
      <c r="S3828" s="129"/>
    </row>
    <row r="3829" spans="1:19" hidden="1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96</v>
      </c>
      <c r="R3829" s="136" t="s">
        <v>6087</v>
      </c>
      <c r="S3829" s="129"/>
    </row>
    <row r="3830" spans="1:19" hidden="1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96</v>
      </c>
      <c r="R3830" s="136" t="s">
        <v>6087</v>
      </c>
      <c r="S3830" s="129"/>
    </row>
    <row r="3831" spans="1:19" hidden="1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96</v>
      </c>
      <c r="R3831" s="136" t="s">
        <v>6087</v>
      </c>
      <c r="S3831" s="129"/>
    </row>
    <row r="3832" spans="1:19" hidden="1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96</v>
      </c>
      <c r="R3832" s="136" t="s">
        <v>6087</v>
      </c>
      <c r="S3832" s="129"/>
    </row>
    <row r="3833" spans="1:19" hidden="1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96</v>
      </c>
      <c r="R3833" s="136" t="s">
        <v>6087</v>
      </c>
      <c r="S3833" s="129"/>
    </row>
    <row r="3834" spans="1:19" hidden="1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96</v>
      </c>
      <c r="R3834" s="136" t="s">
        <v>6087</v>
      </c>
      <c r="S3834" s="129"/>
    </row>
    <row r="3835" spans="1:19" hidden="1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96</v>
      </c>
      <c r="R3835" s="136" t="s">
        <v>6087</v>
      </c>
      <c r="S3835" s="129"/>
    </row>
    <row r="3836" spans="1:19" hidden="1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96</v>
      </c>
      <c r="R3836" s="136" t="s">
        <v>6087</v>
      </c>
      <c r="S3836" s="129"/>
    </row>
    <row r="3837" spans="1:19" hidden="1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96</v>
      </c>
      <c r="R3837" s="136" t="s">
        <v>6087</v>
      </c>
      <c r="S3837" s="129"/>
    </row>
    <row r="3838" spans="1:19" hidden="1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96</v>
      </c>
      <c r="R3838" s="136" t="s">
        <v>6087</v>
      </c>
      <c r="S3838" s="129"/>
    </row>
    <row r="3839" spans="1:19" hidden="1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96</v>
      </c>
      <c r="R3839" s="136" t="s">
        <v>6087</v>
      </c>
      <c r="S3839" s="129"/>
    </row>
    <row r="3840" spans="1:19" hidden="1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96</v>
      </c>
      <c r="R3840" s="136" t="s">
        <v>6087</v>
      </c>
      <c r="S3840" s="129"/>
    </row>
    <row r="3841" spans="1:19" hidden="1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96</v>
      </c>
      <c r="R3841" s="136" t="s">
        <v>6087</v>
      </c>
      <c r="S3841" s="129"/>
    </row>
    <row r="3842" spans="1:19" hidden="1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96</v>
      </c>
      <c r="R3842" s="136" t="s">
        <v>6087</v>
      </c>
      <c r="S3842" s="129"/>
    </row>
    <row r="3843" spans="1:19" hidden="1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96</v>
      </c>
      <c r="R3843" s="136" t="s">
        <v>6087</v>
      </c>
      <c r="S3843" s="129"/>
    </row>
    <row r="3844" spans="1:19" hidden="1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96</v>
      </c>
      <c r="R3844" s="136" t="s">
        <v>6087</v>
      </c>
      <c r="S3844" s="129"/>
    </row>
    <row r="3845" spans="1:19" hidden="1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96</v>
      </c>
      <c r="R3845" s="136" t="s">
        <v>6087</v>
      </c>
      <c r="S3845" s="129"/>
    </row>
    <row r="3846" spans="1:19" hidden="1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96</v>
      </c>
      <c r="R3846" s="136" t="s">
        <v>6087</v>
      </c>
      <c r="S3846" s="129"/>
    </row>
    <row r="3847" spans="1:19" hidden="1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96</v>
      </c>
      <c r="R3847" s="136" t="s">
        <v>6087</v>
      </c>
      <c r="S3847" s="129"/>
    </row>
    <row r="3848" spans="1:19" hidden="1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96</v>
      </c>
      <c r="R3848" s="136" t="s">
        <v>6087</v>
      </c>
      <c r="S3848" s="129"/>
    </row>
    <row r="3849" spans="1:19" hidden="1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96</v>
      </c>
      <c r="R3849" s="136" t="s">
        <v>6087</v>
      </c>
      <c r="S3849" s="129"/>
    </row>
    <row r="3850" spans="1:19" hidden="1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96</v>
      </c>
      <c r="R3850" s="136" t="s">
        <v>6087</v>
      </c>
      <c r="S3850" s="129"/>
    </row>
    <row r="3851" spans="1:19" hidden="1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96</v>
      </c>
      <c r="R3851" s="136" t="s">
        <v>6087</v>
      </c>
      <c r="S3851" s="129"/>
    </row>
    <row r="3852" spans="1:19" hidden="1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96</v>
      </c>
      <c r="R3852" s="136" t="s">
        <v>6087</v>
      </c>
      <c r="S3852" s="129"/>
    </row>
    <row r="3853" spans="1:19" hidden="1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96</v>
      </c>
      <c r="R3853" s="136" t="s">
        <v>6087</v>
      </c>
      <c r="S3853" s="129"/>
    </row>
    <row r="3854" spans="1:19" hidden="1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96</v>
      </c>
      <c r="R3854" s="136" t="s">
        <v>6087</v>
      </c>
      <c r="S3854" s="129"/>
    </row>
    <row r="3855" spans="1:19" hidden="1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96</v>
      </c>
      <c r="R3855" s="136" t="s">
        <v>6087</v>
      </c>
      <c r="S3855" s="129"/>
    </row>
    <row r="3856" spans="1:19" hidden="1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96</v>
      </c>
      <c r="R3856" s="136" t="s">
        <v>6087</v>
      </c>
      <c r="S3856" s="129"/>
    </row>
    <row r="3857" spans="1:19" hidden="1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96</v>
      </c>
      <c r="R3857" s="136" t="s">
        <v>6087</v>
      </c>
      <c r="S3857" s="129"/>
    </row>
    <row r="3858" spans="1:19" hidden="1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96</v>
      </c>
      <c r="R3858" s="136" t="s">
        <v>6087</v>
      </c>
      <c r="S3858" s="129"/>
    </row>
    <row r="3859" spans="1:19" hidden="1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96</v>
      </c>
      <c r="R3859" s="136" t="s">
        <v>6087</v>
      </c>
      <c r="S3859" s="129"/>
    </row>
    <row r="3860" spans="1:19" hidden="1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96</v>
      </c>
      <c r="R3860" s="136" t="s">
        <v>6087</v>
      </c>
      <c r="S3860" s="129"/>
    </row>
    <row r="3861" spans="1:19" hidden="1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96</v>
      </c>
      <c r="R3861" s="136" t="s">
        <v>6087</v>
      </c>
      <c r="S3861" s="129"/>
    </row>
    <row r="3862" spans="1:19" hidden="1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96</v>
      </c>
      <c r="R3862" s="136" t="s">
        <v>6087</v>
      </c>
      <c r="S3862" s="129"/>
    </row>
    <row r="3863" spans="1:19" hidden="1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96</v>
      </c>
      <c r="R3863" s="136" t="s">
        <v>6087</v>
      </c>
      <c r="S3863" s="129"/>
    </row>
    <row r="3864" spans="1:19" hidden="1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96</v>
      </c>
      <c r="R3864" s="136" t="s">
        <v>6087</v>
      </c>
      <c r="S3864" s="129"/>
    </row>
    <row r="3865" spans="1:19" hidden="1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96</v>
      </c>
      <c r="R3865" s="136" t="s">
        <v>6087</v>
      </c>
      <c r="S3865" s="129"/>
    </row>
    <row r="3866" spans="1:19" hidden="1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96</v>
      </c>
      <c r="R3866" s="136" t="s">
        <v>6087</v>
      </c>
      <c r="S3866" s="129"/>
    </row>
    <row r="3867" spans="1:19" hidden="1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96</v>
      </c>
      <c r="R3867" s="136" t="s">
        <v>6087</v>
      </c>
      <c r="S3867" s="129"/>
    </row>
    <row r="3868" spans="1:19" hidden="1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96</v>
      </c>
      <c r="R3868" s="136" t="s">
        <v>6087</v>
      </c>
      <c r="S3868" s="129"/>
    </row>
    <row r="3869" spans="1:19" hidden="1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96</v>
      </c>
      <c r="R3869" s="136" t="s">
        <v>6087</v>
      </c>
      <c r="S3869" s="129"/>
    </row>
    <row r="3870" spans="1:19" hidden="1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96</v>
      </c>
      <c r="R3870" s="136" t="s">
        <v>6087</v>
      </c>
      <c r="S3870" s="129"/>
    </row>
    <row r="3871" spans="1:19" hidden="1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96</v>
      </c>
      <c r="R3871" s="136" t="s">
        <v>6087</v>
      </c>
      <c r="S3871" s="129"/>
    </row>
    <row r="3872" spans="1:19" hidden="1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96</v>
      </c>
      <c r="R3872" s="136" t="s">
        <v>6087</v>
      </c>
      <c r="S3872" s="129"/>
    </row>
    <row r="3873" spans="1:19" hidden="1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96</v>
      </c>
      <c r="R3873" s="136" t="s">
        <v>6087</v>
      </c>
      <c r="S3873" s="129"/>
    </row>
    <row r="3874" spans="1:19" hidden="1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96</v>
      </c>
      <c r="R3874" s="136" t="s">
        <v>6087</v>
      </c>
      <c r="S3874" s="129"/>
    </row>
    <row r="3875" spans="1:19" hidden="1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96</v>
      </c>
      <c r="R3875" s="136" t="s">
        <v>6087</v>
      </c>
      <c r="S3875" s="129"/>
    </row>
    <row r="3876" spans="1:19" hidden="1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96</v>
      </c>
      <c r="R3876" s="136" t="s">
        <v>6087</v>
      </c>
      <c r="S3876" s="129"/>
    </row>
    <row r="3877" spans="1:19" hidden="1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96</v>
      </c>
      <c r="R3877" s="136" t="s">
        <v>6087</v>
      </c>
      <c r="S3877" s="129"/>
    </row>
    <row r="3878" spans="1:19" hidden="1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96</v>
      </c>
      <c r="R3878" s="136" t="s">
        <v>6087</v>
      </c>
      <c r="S3878" s="129"/>
    </row>
    <row r="3879" spans="1:19" hidden="1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96</v>
      </c>
      <c r="R3879" s="136" t="s">
        <v>6087</v>
      </c>
      <c r="S3879" s="129"/>
    </row>
    <row r="3880" spans="1:19" hidden="1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96</v>
      </c>
      <c r="R3880" s="136" t="s">
        <v>6087</v>
      </c>
      <c r="S3880" s="129"/>
    </row>
    <row r="3881" spans="1:19" hidden="1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96</v>
      </c>
      <c r="R3881" s="136" t="s">
        <v>6087</v>
      </c>
      <c r="S3881" s="129"/>
    </row>
    <row r="3882" spans="1:19" hidden="1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96</v>
      </c>
      <c r="R3882" s="136" t="s">
        <v>6087</v>
      </c>
      <c r="S3882" s="129"/>
    </row>
    <row r="3883" spans="1:19" hidden="1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96</v>
      </c>
      <c r="R3883" s="136" t="s">
        <v>6087</v>
      </c>
      <c r="S3883" s="129"/>
    </row>
    <row r="3884" spans="1:19" hidden="1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96</v>
      </c>
      <c r="R3884" s="136" t="s">
        <v>6087</v>
      </c>
      <c r="S3884" s="129"/>
    </row>
    <row r="3885" spans="1:19" hidden="1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96</v>
      </c>
      <c r="R3885" s="136" t="s">
        <v>6087</v>
      </c>
      <c r="S3885" s="129"/>
    </row>
    <row r="3886" spans="1:19" hidden="1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96</v>
      </c>
      <c r="R3886" s="136" t="s">
        <v>6087</v>
      </c>
      <c r="S3886" s="129"/>
    </row>
    <row r="3887" spans="1:19" hidden="1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96</v>
      </c>
      <c r="R3887" s="136" t="s">
        <v>6087</v>
      </c>
      <c r="S3887" s="129"/>
    </row>
    <row r="3888" spans="1:19" hidden="1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96</v>
      </c>
      <c r="R3888" s="136" t="s">
        <v>6087</v>
      </c>
      <c r="S3888" s="129"/>
    </row>
    <row r="3889" spans="1:19" hidden="1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96</v>
      </c>
      <c r="R3889" s="136" t="s">
        <v>6087</v>
      </c>
      <c r="S3889" s="129"/>
    </row>
    <row r="3890" spans="1:19" hidden="1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96</v>
      </c>
      <c r="R3890" s="136" t="s">
        <v>6087</v>
      </c>
      <c r="S3890" s="129"/>
    </row>
    <row r="3891" spans="1:19" hidden="1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96</v>
      </c>
      <c r="R3891" s="136" t="s">
        <v>6087</v>
      </c>
      <c r="S3891" s="129"/>
    </row>
    <row r="3892" spans="1:19" hidden="1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96</v>
      </c>
      <c r="R3892" s="136" t="s">
        <v>6087</v>
      </c>
      <c r="S3892" s="129"/>
    </row>
    <row r="3893" spans="1:19" hidden="1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96</v>
      </c>
      <c r="R3893" s="136" t="s">
        <v>6087</v>
      </c>
      <c r="S3893" s="129"/>
    </row>
    <row r="3894" spans="1:19" hidden="1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96</v>
      </c>
      <c r="R3894" s="136" t="s">
        <v>6087</v>
      </c>
      <c r="S3894" s="129"/>
    </row>
    <row r="3895" spans="1:19" hidden="1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96</v>
      </c>
      <c r="R3895" s="136" t="s">
        <v>6087</v>
      </c>
      <c r="S3895" s="129"/>
    </row>
    <row r="3896" spans="1:19" hidden="1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96</v>
      </c>
      <c r="R3896" s="136" t="s">
        <v>6087</v>
      </c>
      <c r="S3896" s="129"/>
    </row>
    <row r="3897" spans="1:19" hidden="1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96</v>
      </c>
      <c r="R3897" s="136" t="s">
        <v>6087</v>
      </c>
      <c r="S3897" s="129"/>
    </row>
    <row r="3898" spans="1:19" hidden="1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96</v>
      </c>
      <c r="R3898" s="136" t="s">
        <v>6087</v>
      </c>
      <c r="S3898" s="129"/>
    </row>
    <row r="3899" spans="1:19" hidden="1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96</v>
      </c>
      <c r="R3899" s="136" t="s">
        <v>6087</v>
      </c>
      <c r="S3899" s="129"/>
    </row>
    <row r="3900" spans="1:19" hidden="1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96</v>
      </c>
      <c r="R3900" s="136" t="s">
        <v>6087</v>
      </c>
      <c r="S3900" s="129"/>
    </row>
    <row r="3901" spans="1:19" hidden="1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96</v>
      </c>
      <c r="R3901" s="136" t="s">
        <v>6087</v>
      </c>
      <c r="S3901" s="129"/>
    </row>
    <row r="3902" spans="1:19" hidden="1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96</v>
      </c>
      <c r="R3902" s="136" t="s">
        <v>6087</v>
      </c>
      <c r="S3902" s="129"/>
    </row>
    <row r="3903" spans="1:19" hidden="1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96</v>
      </c>
      <c r="R3903" s="136" t="s">
        <v>6087</v>
      </c>
      <c r="S3903" s="129"/>
    </row>
    <row r="3904" spans="1:19" hidden="1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96</v>
      </c>
      <c r="R3904" s="136" t="s">
        <v>6087</v>
      </c>
      <c r="S3904" s="129"/>
    </row>
    <row r="3905" spans="1:19" hidden="1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96</v>
      </c>
      <c r="R3905" s="136" t="s">
        <v>6087</v>
      </c>
      <c r="S3905" s="129"/>
    </row>
    <row r="3906" spans="1:19" hidden="1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96</v>
      </c>
      <c r="R3906" s="136" t="s">
        <v>6087</v>
      </c>
      <c r="S3906" s="129"/>
    </row>
    <row r="3907" spans="1:19" hidden="1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96</v>
      </c>
      <c r="R3907" s="136" t="s">
        <v>6087</v>
      </c>
      <c r="S3907" s="129"/>
    </row>
    <row r="3908" spans="1:19" hidden="1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96</v>
      </c>
      <c r="R3908" s="136" t="s">
        <v>6087</v>
      </c>
      <c r="S3908" s="129"/>
    </row>
    <row r="3909" spans="1:19" hidden="1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96</v>
      </c>
      <c r="R3909" s="136" t="s">
        <v>6087</v>
      </c>
      <c r="S3909" s="129"/>
    </row>
    <row r="3910" spans="1:19" hidden="1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96</v>
      </c>
      <c r="R3910" s="136" t="s">
        <v>6087</v>
      </c>
      <c r="S3910" s="129"/>
    </row>
    <row r="3911" spans="1:19" hidden="1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96</v>
      </c>
      <c r="R3911" s="136" t="s">
        <v>6087</v>
      </c>
      <c r="S3911" s="129"/>
    </row>
    <row r="3912" spans="1:19" hidden="1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96</v>
      </c>
      <c r="R3912" s="136" t="s">
        <v>6087</v>
      </c>
      <c r="S3912" s="129"/>
    </row>
    <row r="3913" spans="1:19" hidden="1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96</v>
      </c>
      <c r="R3913" s="136" t="s">
        <v>6087</v>
      </c>
      <c r="S3913" s="129"/>
    </row>
    <row r="3914" spans="1:19" hidden="1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96</v>
      </c>
      <c r="R3914" s="136" t="s">
        <v>6087</v>
      </c>
      <c r="S3914" s="129"/>
    </row>
    <row r="3915" spans="1:19" hidden="1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96</v>
      </c>
      <c r="R3915" s="136" t="s">
        <v>6087</v>
      </c>
      <c r="S3915" s="129"/>
    </row>
    <row r="3916" spans="1:19" hidden="1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96</v>
      </c>
      <c r="R3916" s="136" t="s">
        <v>6087</v>
      </c>
      <c r="S3916" s="129"/>
    </row>
    <row r="3917" spans="1:19" hidden="1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96</v>
      </c>
      <c r="R3917" s="136" t="s">
        <v>6087</v>
      </c>
      <c r="S3917" s="129"/>
    </row>
    <row r="3918" spans="1:19" hidden="1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96</v>
      </c>
      <c r="R3918" s="136" t="s">
        <v>6087</v>
      </c>
      <c r="S3918" s="129"/>
    </row>
    <row r="3919" spans="1:19" hidden="1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96</v>
      </c>
      <c r="R3919" s="136" t="s">
        <v>6087</v>
      </c>
      <c r="S3919" s="129"/>
    </row>
    <row r="3920" spans="1:19" hidden="1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96</v>
      </c>
      <c r="R3920" s="136" t="s">
        <v>6087</v>
      </c>
      <c r="S3920" s="129"/>
    </row>
    <row r="3921" spans="1:19" hidden="1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96</v>
      </c>
      <c r="R3921" s="136" t="s">
        <v>6087</v>
      </c>
      <c r="S3921" s="129"/>
    </row>
    <row r="3922" spans="1:19" hidden="1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96</v>
      </c>
      <c r="R3922" s="136" t="s">
        <v>6087</v>
      </c>
      <c r="S3922" s="129"/>
    </row>
    <row r="3923" spans="1:19" hidden="1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96</v>
      </c>
      <c r="R3923" s="136" t="s">
        <v>6087</v>
      </c>
      <c r="S3923" s="129"/>
    </row>
    <row r="3924" spans="1:19" hidden="1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96</v>
      </c>
      <c r="R3924" s="136" t="s">
        <v>6087</v>
      </c>
      <c r="S3924" s="129"/>
    </row>
    <row r="3925" spans="1:19" hidden="1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96</v>
      </c>
      <c r="R3925" s="136" t="s">
        <v>6087</v>
      </c>
      <c r="S3925" s="129"/>
    </row>
    <row r="3926" spans="1:19" hidden="1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96</v>
      </c>
      <c r="R3926" s="136" t="s">
        <v>6087</v>
      </c>
      <c r="S3926" s="129"/>
    </row>
    <row r="3927" spans="1:19" hidden="1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96</v>
      </c>
      <c r="R3927" s="136" t="s">
        <v>6087</v>
      </c>
      <c r="S3927" s="129"/>
    </row>
    <row r="3928" spans="1:19" hidden="1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96</v>
      </c>
      <c r="R3928" s="136" t="s">
        <v>6087</v>
      </c>
      <c r="S3928" s="129"/>
    </row>
    <row r="3929" spans="1:19" hidden="1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96</v>
      </c>
      <c r="R3929" s="136" t="s">
        <v>6087</v>
      </c>
      <c r="S3929" s="129"/>
    </row>
    <row r="3930" spans="1:19" hidden="1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96</v>
      </c>
      <c r="R3930" s="136" t="s">
        <v>6087</v>
      </c>
      <c r="S3930" s="129"/>
    </row>
    <row r="3931" spans="1:19" hidden="1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96</v>
      </c>
      <c r="R3931" s="136" t="s">
        <v>6087</v>
      </c>
      <c r="S3931" s="129"/>
    </row>
    <row r="3932" spans="1:19" hidden="1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94</v>
      </c>
      <c r="R3932" s="136" t="s">
        <v>1459</v>
      </c>
      <c r="S3932" s="129"/>
    </row>
    <row r="3933" spans="1:19" hidden="1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94</v>
      </c>
      <c r="R3933" s="136" t="s">
        <v>1459</v>
      </c>
      <c r="S3933" s="129"/>
    </row>
    <row r="3934" spans="1:19" hidden="1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94</v>
      </c>
      <c r="R3934" s="136" t="s">
        <v>1459</v>
      </c>
      <c r="S3934" s="129"/>
    </row>
    <row r="3935" spans="1:19" hidden="1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94</v>
      </c>
      <c r="R3935" s="136" t="s">
        <v>1459</v>
      </c>
      <c r="S3935" s="129"/>
    </row>
    <row r="3936" spans="1:19" hidden="1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94</v>
      </c>
      <c r="R3936" s="136" t="s">
        <v>1459</v>
      </c>
      <c r="S3936" s="129"/>
    </row>
    <row r="3937" spans="1:19" hidden="1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94</v>
      </c>
      <c r="R3937" s="136" t="s">
        <v>972</v>
      </c>
      <c r="S3937" s="129"/>
    </row>
    <row r="3938" spans="1:19" hidden="1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94</v>
      </c>
      <c r="R3938" s="136" t="s">
        <v>972</v>
      </c>
      <c r="S3938" s="129"/>
    </row>
    <row r="3939" spans="1:19" hidden="1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94</v>
      </c>
      <c r="R3939" s="136" t="s">
        <v>972</v>
      </c>
      <c r="S3939" s="129"/>
    </row>
    <row r="3940" spans="1:19" hidden="1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94</v>
      </c>
      <c r="R3940" s="136" t="s">
        <v>972</v>
      </c>
      <c r="S3940" s="129"/>
    </row>
    <row r="3941" spans="1:19" hidden="1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94</v>
      </c>
      <c r="R3941" s="136" t="s">
        <v>972</v>
      </c>
      <c r="S3941" s="129"/>
    </row>
    <row r="3942" spans="1:19" hidden="1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94</v>
      </c>
      <c r="R3942" s="136" t="s">
        <v>972</v>
      </c>
      <c r="S3942" s="129"/>
    </row>
    <row r="3943" spans="1:19" hidden="1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94</v>
      </c>
      <c r="R3943" s="136" t="s">
        <v>972</v>
      </c>
      <c r="S3943" s="129"/>
    </row>
    <row r="3944" spans="1:19" hidden="1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94</v>
      </c>
      <c r="R3944" s="136" t="s">
        <v>515</v>
      </c>
      <c r="S3944" s="129"/>
    </row>
    <row r="3945" spans="1:19" hidden="1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94</v>
      </c>
      <c r="R3945" s="136" t="s">
        <v>515</v>
      </c>
      <c r="S3945" s="129"/>
    </row>
    <row r="3946" spans="1:19" hidden="1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94</v>
      </c>
      <c r="R3946" s="136" t="s">
        <v>515</v>
      </c>
      <c r="S3946" s="129"/>
    </row>
    <row r="3947" spans="1:19" hidden="1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94</v>
      </c>
      <c r="R3947" s="136" t="s">
        <v>6087</v>
      </c>
      <c r="S3947" s="129"/>
    </row>
    <row r="3948" spans="1:19" hidden="1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93</v>
      </c>
      <c r="R3948" s="136" t="s">
        <v>1013</v>
      </c>
      <c r="S3948" s="129"/>
    </row>
    <row r="3949" spans="1:19" hidden="1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93</v>
      </c>
      <c r="R3949" s="136" t="s">
        <v>1013</v>
      </c>
      <c r="S3949" s="129"/>
    </row>
    <row r="3950" spans="1:19" hidden="1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93</v>
      </c>
      <c r="R3950" s="136" t="s">
        <v>1013</v>
      </c>
      <c r="S3950" s="129"/>
    </row>
    <row r="3951" spans="1:19" hidden="1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93</v>
      </c>
      <c r="R3951" s="136" t="s">
        <v>1013</v>
      </c>
      <c r="S3951" s="129"/>
    </row>
    <row r="3952" spans="1:19" hidden="1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93</v>
      </c>
      <c r="R3952" s="136" t="s">
        <v>1013</v>
      </c>
      <c r="S3952" s="129"/>
    </row>
    <row r="3953" spans="1:19" hidden="1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93</v>
      </c>
      <c r="R3953" s="136" t="s">
        <v>1013</v>
      </c>
      <c r="S3953" s="129"/>
    </row>
    <row r="3954" spans="1:19" hidden="1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93</v>
      </c>
      <c r="R3954" s="136" t="s">
        <v>1013</v>
      </c>
      <c r="S3954" s="129"/>
    </row>
    <row r="3955" spans="1:19" hidden="1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93</v>
      </c>
      <c r="R3955" s="136" t="s">
        <v>1013</v>
      </c>
      <c r="S3955" s="129"/>
    </row>
    <row r="3956" spans="1:19" hidden="1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93</v>
      </c>
      <c r="R3956" s="136" t="s">
        <v>1013</v>
      </c>
      <c r="S3956" s="129"/>
    </row>
    <row r="3957" spans="1:19" hidden="1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93</v>
      </c>
      <c r="R3957" s="136" t="s">
        <v>1013</v>
      </c>
      <c r="S3957" s="129"/>
    </row>
    <row r="3958" spans="1:19" hidden="1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93</v>
      </c>
      <c r="R3958" s="136" t="s">
        <v>1013</v>
      </c>
      <c r="S3958" s="129"/>
    </row>
    <row r="3959" spans="1:19" hidden="1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93</v>
      </c>
      <c r="R3959" s="136" t="s">
        <v>1013</v>
      </c>
      <c r="S3959" s="129"/>
    </row>
    <row r="3960" spans="1:19" hidden="1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93</v>
      </c>
      <c r="R3960" s="136" t="s">
        <v>1013</v>
      </c>
      <c r="S3960" s="129"/>
    </row>
    <row r="3961" spans="1:19" hidden="1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93</v>
      </c>
      <c r="R3961" s="136" t="s">
        <v>1013</v>
      </c>
      <c r="S3961" s="129"/>
    </row>
    <row r="3962" spans="1:19" hidden="1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93</v>
      </c>
      <c r="R3962" s="136" t="s">
        <v>1013</v>
      </c>
      <c r="S3962" s="129"/>
    </row>
    <row r="3963" spans="1:19" hidden="1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93</v>
      </c>
      <c r="R3963" s="136" t="s">
        <v>1013</v>
      </c>
      <c r="S3963" s="129"/>
    </row>
    <row r="3964" spans="1:19" hidden="1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93</v>
      </c>
      <c r="R3964" s="136" t="s">
        <v>1013</v>
      </c>
      <c r="S3964" s="129"/>
    </row>
    <row r="3965" spans="1:19" hidden="1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93</v>
      </c>
      <c r="R3965" s="136" t="s">
        <v>1013</v>
      </c>
      <c r="S3965" s="129"/>
    </row>
    <row r="3966" spans="1:19" hidden="1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93</v>
      </c>
      <c r="R3966" s="136" t="s">
        <v>1013</v>
      </c>
      <c r="S3966" s="129"/>
    </row>
    <row r="3967" spans="1:19" hidden="1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93</v>
      </c>
      <c r="R3967" s="136" t="s">
        <v>1013</v>
      </c>
      <c r="S3967" s="129"/>
    </row>
    <row r="3968" spans="1:19" hidden="1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93</v>
      </c>
      <c r="R3968" s="136" t="s">
        <v>1013</v>
      </c>
      <c r="S3968" s="129"/>
    </row>
    <row r="3969" spans="1:19" hidden="1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93</v>
      </c>
      <c r="R3969" s="136" t="s">
        <v>1013</v>
      </c>
      <c r="S3969" s="129"/>
    </row>
    <row r="3970" spans="1:19" hidden="1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93</v>
      </c>
      <c r="R3970" s="136" t="s">
        <v>1013</v>
      </c>
      <c r="S3970" s="129"/>
    </row>
    <row r="3971" spans="1:19" hidden="1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93</v>
      </c>
      <c r="R3971" s="136" t="s">
        <v>1013</v>
      </c>
      <c r="S3971" s="129"/>
    </row>
    <row r="3972" spans="1:19" hidden="1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93</v>
      </c>
      <c r="R3972" s="136" t="s">
        <v>1013</v>
      </c>
      <c r="S3972" s="129"/>
    </row>
    <row r="3973" spans="1:19" hidden="1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93</v>
      </c>
      <c r="R3973" s="136" t="s">
        <v>1013</v>
      </c>
      <c r="S3973" s="129"/>
    </row>
    <row r="3974" spans="1:19" hidden="1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93</v>
      </c>
      <c r="R3974" s="136" t="s">
        <v>1013</v>
      </c>
      <c r="S3974" s="129"/>
    </row>
    <row r="3975" spans="1:19" hidden="1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93</v>
      </c>
      <c r="R3975" s="136" t="s">
        <v>1013</v>
      </c>
      <c r="S3975" s="129"/>
    </row>
    <row r="3976" spans="1:19" hidden="1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93</v>
      </c>
      <c r="R3976" s="136" t="s">
        <v>1013</v>
      </c>
      <c r="S3976" s="129"/>
    </row>
    <row r="3977" spans="1:19" hidden="1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93</v>
      </c>
      <c r="R3977" s="136" t="s">
        <v>1013</v>
      </c>
      <c r="S3977" s="129"/>
    </row>
    <row r="3978" spans="1:19" hidden="1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93</v>
      </c>
      <c r="R3978" s="136" t="s">
        <v>1013</v>
      </c>
      <c r="S3978" s="129"/>
    </row>
    <row r="3979" spans="1:19" hidden="1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93</v>
      </c>
      <c r="R3979" s="136" t="s">
        <v>1013</v>
      </c>
      <c r="S3979" s="129"/>
    </row>
    <row r="3980" spans="1:19" hidden="1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93</v>
      </c>
      <c r="R3980" s="136" t="s">
        <v>1013</v>
      </c>
      <c r="S3980" s="129"/>
    </row>
    <row r="3981" spans="1:19" hidden="1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93</v>
      </c>
      <c r="R3981" s="136" t="s">
        <v>1013</v>
      </c>
      <c r="S3981" s="129"/>
    </row>
    <row r="3982" spans="1:19" hidden="1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93</v>
      </c>
      <c r="R3982" s="136" t="s">
        <v>1013</v>
      </c>
      <c r="S3982" s="129"/>
    </row>
    <row r="3983" spans="1:19" hidden="1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93</v>
      </c>
      <c r="R3983" s="136" t="s">
        <v>1013</v>
      </c>
      <c r="S3983" s="129"/>
    </row>
    <row r="3984" spans="1:19" hidden="1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93</v>
      </c>
      <c r="R3984" s="136" t="s">
        <v>1013</v>
      </c>
      <c r="S3984" s="129"/>
    </row>
    <row r="3985" spans="1:19" hidden="1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93</v>
      </c>
      <c r="R3985" s="136" t="s">
        <v>1013</v>
      </c>
      <c r="S3985" s="129"/>
    </row>
    <row r="3986" spans="1:19" hidden="1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93</v>
      </c>
      <c r="R3986" s="136" t="s">
        <v>1013</v>
      </c>
      <c r="S3986" s="129"/>
    </row>
    <row r="3987" spans="1:19" hidden="1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92</v>
      </c>
      <c r="R3987" s="136" t="s">
        <v>1262</v>
      </c>
      <c r="S3987" s="129"/>
    </row>
    <row r="3988" spans="1:19" hidden="1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92</v>
      </c>
      <c r="R3988" s="136" t="s">
        <v>1459</v>
      </c>
      <c r="S3988" s="140"/>
    </row>
    <row r="3989" spans="1:19" hidden="1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92</v>
      </c>
      <c r="R3989" s="136" t="s">
        <v>1459</v>
      </c>
      <c r="S3989" s="140"/>
    </row>
    <row r="3990" spans="1:19" hidden="1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92</v>
      </c>
      <c r="R3990" s="136" t="s">
        <v>1459</v>
      </c>
      <c r="S3990" s="140"/>
    </row>
    <row r="3991" spans="1:19" hidden="1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92</v>
      </c>
      <c r="R3991" s="136" t="s">
        <v>1459</v>
      </c>
      <c r="S3991" s="140"/>
    </row>
    <row r="3992" spans="1:19" hidden="1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92</v>
      </c>
      <c r="R3992" s="136" t="s">
        <v>1459</v>
      </c>
      <c r="S3992" s="140"/>
    </row>
    <row r="3993" spans="1:19" hidden="1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92</v>
      </c>
      <c r="R3993" s="136" t="s">
        <v>1459</v>
      </c>
      <c r="S3993" s="140"/>
    </row>
    <row r="3994" spans="1:19" hidden="1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92</v>
      </c>
      <c r="R3994" s="136" t="s">
        <v>1459</v>
      </c>
      <c r="S3994" s="140"/>
    </row>
    <row r="3995" spans="1:19" hidden="1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92</v>
      </c>
      <c r="R3995" s="136" t="s">
        <v>1459</v>
      </c>
      <c r="S3995" s="140"/>
    </row>
    <row r="3996" spans="1:19" hidden="1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92</v>
      </c>
      <c r="R3996" s="136" t="s">
        <v>1459</v>
      </c>
      <c r="S3996" s="140"/>
    </row>
    <row r="3997" spans="1:19" hidden="1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92</v>
      </c>
      <c r="R3997" s="136" t="s">
        <v>1459</v>
      </c>
      <c r="S3997" s="140"/>
    </row>
    <row r="3998" spans="1:19" hidden="1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92</v>
      </c>
      <c r="R3998" s="136" t="s">
        <v>1459</v>
      </c>
      <c r="S3998" s="140"/>
    </row>
    <row r="3999" spans="1:19" hidden="1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92</v>
      </c>
      <c r="R3999" s="136" t="s">
        <v>1459</v>
      </c>
      <c r="S3999" s="140"/>
    </row>
    <row r="4000" spans="1:19" hidden="1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92</v>
      </c>
      <c r="R4000" s="136" t="s">
        <v>1459</v>
      </c>
      <c r="S4000" s="140"/>
    </row>
    <row r="4001" spans="1:19" hidden="1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92</v>
      </c>
      <c r="R4001" s="136" t="s">
        <v>1459</v>
      </c>
      <c r="S4001" s="140"/>
    </row>
    <row r="4002" spans="1:19" hidden="1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92</v>
      </c>
      <c r="R4002" s="136" t="s">
        <v>1459</v>
      </c>
      <c r="S4002" s="140"/>
    </row>
    <row r="4003" spans="1:19" hidden="1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92</v>
      </c>
      <c r="R4003" s="136" t="s">
        <v>1459</v>
      </c>
      <c r="S4003" s="140"/>
    </row>
    <row r="4004" spans="1:19" hidden="1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92</v>
      </c>
      <c r="R4004" s="136" t="s">
        <v>1459</v>
      </c>
      <c r="S4004" s="140"/>
    </row>
    <row r="4005" spans="1:19" hidden="1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91</v>
      </c>
      <c r="R4005" s="136" t="s">
        <v>972</v>
      </c>
      <c r="S4005" s="140"/>
    </row>
    <row r="4006" spans="1:19" hidden="1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91</v>
      </c>
      <c r="R4006" s="136" t="s">
        <v>6087</v>
      </c>
      <c r="S4006" s="140"/>
    </row>
    <row r="4007" spans="1:19" hidden="1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91</v>
      </c>
      <c r="R4007" s="136" t="s">
        <v>6087</v>
      </c>
      <c r="S4007" s="140"/>
    </row>
    <row r="4008" spans="1:19" hidden="1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91</v>
      </c>
      <c r="R4008" s="136" t="s">
        <v>6087</v>
      </c>
      <c r="S4008" s="140"/>
    </row>
    <row r="4009" spans="1:19" hidden="1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91</v>
      </c>
      <c r="R4009" s="136" t="s">
        <v>6087</v>
      </c>
      <c r="S4009" s="140"/>
    </row>
    <row r="4010" spans="1:19" hidden="1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91</v>
      </c>
      <c r="R4010" s="136" t="s">
        <v>6087</v>
      </c>
      <c r="S4010" s="140"/>
    </row>
    <row r="4011" spans="1:19" hidden="1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91</v>
      </c>
      <c r="R4011" s="136" t="s">
        <v>6087</v>
      </c>
      <c r="S4011" s="140"/>
    </row>
    <row r="4012" spans="1:19" hidden="1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91</v>
      </c>
      <c r="R4012" s="136" t="s">
        <v>6087</v>
      </c>
      <c r="S4012" s="140"/>
    </row>
    <row r="4013" spans="1:19" hidden="1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91</v>
      </c>
      <c r="R4013" s="136" t="s">
        <v>6087</v>
      </c>
      <c r="S4013" s="140"/>
    </row>
    <row r="4014" spans="1:19" hidden="1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91</v>
      </c>
      <c r="R4014" s="136" t="s">
        <v>6087</v>
      </c>
      <c r="S4014" s="140"/>
    </row>
    <row r="4015" spans="1:19" hidden="1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91</v>
      </c>
      <c r="R4015" s="136" t="s">
        <v>6087</v>
      </c>
      <c r="S4015" s="140"/>
    </row>
    <row r="4016" spans="1:19" hidden="1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91</v>
      </c>
      <c r="R4016" s="136" t="s">
        <v>6087</v>
      </c>
      <c r="S4016" s="140"/>
    </row>
    <row r="4017" spans="1:19" hidden="1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91</v>
      </c>
      <c r="R4017" s="136" t="s">
        <v>6087</v>
      </c>
      <c r="S4017" s="140"/>
    </row>
    <row r="4018" spans="1:19" hidden="1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91</v>
      </c>
      <c r="R4018" s="136" t="s">
        <v>6087</v>
      </c>
      <c r="S4018" s="140"/>
    </row>
    <row r="4019" spans="1:19" hidden="1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91</v>
      </c>
      <c r="R4019" s="136" t="s">
        <v>6087</v>
      </c>
      <c r="S4019" s="140"/>
    </row>
    <row r="4020" spans="1:19" hidden="1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91</v>
      </c>
      <c r="R4020" s="136" t="s">
        <v>6087</v>
      </c>
      <c r="S4020" s="140"/>
    </row>
    <row r="4021" spans="1:19" hidden="1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91</v>
      </c>
      <c r="R4021" s="136" t="s">
        <v>6087</v>
      </c>
      <c r="S4021" s="140"/>
    </row>
    <row r="4022" spans="1:19" hidden="1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91</v>
      </c>
      <c r="R4022" s="136" t="s">
        <v>6087</v>
      </c>
      <c r="S4022" s="140"/>
    </row>
    <row r="4023" spans="1:19" hidden="1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91</v>
      </c>
      <c r="R4023" s="136" t="s">
        <v>6087</v>
      </c>
      <c r="S4023" s="140"/>
    </row>
    <row r="4024" spans="1:19" hidden="1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91</v>
      </c>
      <c r="R4024" s="136" t="s">
        <v>6087</v>
      </c>
      <c r="S4024" s="140"/>
    </row>
    <row r="4025" spans="1:19" hidden="1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91</v>
      </c>
      <c r="R4025" s="136" t="s">
        <v>6087</v>
      </c>
      <c r="S4025" s="140"/>
    </row>
    <row r="4026" spans="1:19" hidden="1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91</v>
      </c>
      <c r="R4026" s="136" t="s">
        <v>6087</v>
      </c>
      <c r="S4026" s="140"/>
    </row>
    <row r="4027" spans="1:19" hidden="1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91</v>
      </c>
      <c r="R4027" s="136" t="s">
        <v>6087</v>
      </c>
      <c r="S4027" s="140"/>
    </row>
    <row r="4028" spans="1:19" hidden="1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91</v>
      </c>
      <c r="R4028" s="136" t="s">
        <v>6087</v>
      </c>
      <c r="S4028" s="140"/>
    </row>
    <row r="4029" spans="1:19" hidden="1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91</v>
      </c>
      <c r="R4029" s="136" t="s">
        <v>6087</v>
      </c>
      <c r="S4029" s="140"/>
    </row>
    <row r="4030" spans="1:19" hidden="1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91</v>
      </c>
      <c r="R4030" s="136" t="s">
        <v>6087</v>
      </c>
      <c r="S4030" s="140"/>
    </row>
    <row r="4031" spans="1:19" hidden="1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91</v>
      </c>
      <c r="R4031" s="136" t="s">
        <v>6087</v>
      </c>
      <c r="S4031" s="140"/>
    </row>
    <row r="4032" spans="1:19" hidden="1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91</v>
      </c>
      <c r="R4032" s="136" t="s">
        <v>6087</v>
      </c>
      <c r="S4032" s="140"/>
    </row>
    <row r="4033" spans="1:19" hidden="1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91</v>
      </c>
      <c r="R4033" s="136" t="s">
        <v>6087</v>
      </c>
      <c r="S4033" s="140"/>
    </row>
    <row r="4034" spans="1:19" hidden="1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91</v>
      </c>
      <c r="R4034" s="136" t="s">
        <v>6087</v>
      </c>
      <c r="S4034" s="140"/>
    </row>
    <row r="4035" spans="1:19" hidden="1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91</v>
      </c>
      <c r="R4035" s="136" t="s">
        <v>6087</v>
      </c>
      <c r="S4035" s="140"/>
    </row>
    <row r="4036" spans="1:19" hidden="1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91</v>
      </c>
      <c r="R4036" s="136" t="s">
        <v>6087</v>
      </c>
      <c r="S4036" s="140"/>
    </row>
    <row r="4037" spans="1:19" hidden="1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91</v>
      </c>
      <c r="R4037" s="136" t="s">
        <v>6087</v>
      </c>
      <c r="S4037" s="140"/>
    </row>
    <row r="4038" spans="1:19" hidden="1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91</v>
      </c>
      <c r="R4038" s="136" t="s">
        <v>6087</v>
      </c>
      <c r="S4038" s="140"/>
    </row>
    <row r="4039" spans="1:19" hidden="1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91</v>
      </c>
      <c r="R4039" s="136" t="s">
        <v>6087</v>
      </c>
      <c r="S4039" s="140"/>
    </row>
    <row r="4040" spans="1:19" hidden="1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91</v>
      </c>
      <c r="R4040" s="136" t="s">
        <v>6087</v>
      </c>
      <c r="S4040" s="140"/>
    </row>
    <row r="4041" spans="1:19" hidden="1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91</v>
      </c>
      <c r="R4041" s="136" t="s">
        <v>6087</v>
      </c>
      <c r="S4041" s="140"/>
    </row>
    <row r="4042" spans="1:19" hidden="1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91</v>
      </c>
      <c r="R4042" s="136" t="s">
        <v>6087</v>
      </c>
      <c r="S4042" s="140"/>
    </row>
    <row r="4043" spans="1:19" hidden="1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91</v>
      </c>
      <c r="R4043" s="136" t="s">
        <v>6087</v>
      </c>
      <c r="S4043" s="140"/>
    </row>
    <row r="4044" spans="1:19" hidden="1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91</v>
      </c>
      <c r="R4044" s="136" t="s">
        <v>6087</v>
      </c>
      <c r="S4044" s="140"/>
    </row>
    <row r="4045" spans="1:19" hidden="1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91</v>
      </c>
      <c r="R4045" s="136" t="s">
        <v>6087</v>
      </c>
      <c r="S4045" s="140"/>
    </row>
    <row r="4046" spans="1:19" hidden="1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91</v>
      </c>
      <c r="R4046" s="136" t="s">
        <v>6087</v>
      </c>
      <c r="S4046" s="140"/>
    </row>
    <row r="4047" spans="1:19" hidden="1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91</v>
      </c>
      <c r="R4047" s="136" t="s">
        <v>6087</v>
      </c>
      <c r="S4047" s="140"/>
    </row>
    <row r="4048" spans="1:19" hidden="1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91</v>
      </c>
      <c r="R4048" s="136" t="s">
        <v>6087</v>
      </c>
      <c r="S4048" s="140"/>
    </row>
    <row r="4049" spans="1:19" hidden="1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91</v>
      </c>
      <c r="R4049" s="136" t="s">
        <v>6087</v>
      </c>
      <c r="S4049" s="140"/>
    </row>
    <row r="4050" spans="1:19" hidden="1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91</v>
      </c>
      <c r="R4050" s="136" t="s">
        <v>6087</v>
      </c>
      <c r="S4050" s="140"/>
    </row>
    <row r="4051" spans="1:19" hidden="1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91</v>
      </c>
      <c r="R4051" s="136" t="s">
        <v>6087</v>
      </c>
      <c r="S4051" s="140"/>
    </row>
    <row r="4052" spans="1:19" hidden="1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91</v>
      </c>
      <c r="R4052" s="136" t="s">
        <v>6087</v>
      </c>
      <c r="S4052" s="140"/>
    </row>
    <row r="4053" spans="1:19" hidden="1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91</v>
      </c>
      <c r="R4053" s="136" t="s">
        <v>6087</v>
      </c>
      <c r="S4053" s="140"/>
    </row>
    <row r="4054" spans="1:19" hidden="1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91</v>
      </c>
      <c r="R4054" s="136" t="s">
        <v>6087</v>
      </c>
      <c r="S4054" s="140"/>
    </row>
    <row r="4055" spans="1:19" hidden="1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91</v>
      </c>
      <c r="R4055" s="136" t="s">
        <v>6087</v>
      </c>
      <c r="S4055" s="140"/>
    </row>
    <row r="4056" spans="1:19" hidden="1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91</v>
      </c>
      <c r="R4056" s="136" t="s">
        <v>6087</v>
      </c>
      <c r="S4056" s="140"/>
    </row>
    <row r="4057" spans="1:19" hidden="1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91</v>
      </c>
      <c r="R4057" s="136" t="s">
        <v>6087</v>
      </c>
      <c r="S4057" s="140"/>
    </row>
    <row r="4058" spans="1:19" hidden="1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91</v>
      </c>
      <c r="R4058" s="136" t="s">
        <v>6087</v>
      </c>
      <c r="S4058" s="140"/>
    </row>
    <row r="4059" spans="1:19" hidden="1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91</v>
      </c>
      <c r="R4059" s="136" t="s">
        <v>6087</v>
      </c>
      <c r="S4059" s="140"/>
    </row>
    <row r="4060" spans="1:19" hidden="1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91</v>
      </c>
      <c r="R4060" s="136" t="s">
        <v>6087</v>
      </c>
      <c r="S4060" s="140"/>
    </row>
    <row r="4061" spans="1:19" hidden="1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91</v>
      </c>
      <c r="R4061" s="136" t="s">
        <v>6087</v>
      </c>
      <c r="S4061" s="140"/>
    </row>
    <row r="4062" spans="1:19" hidden="1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91</v>
      </c>
      <c r="R4062" s="136" t="s">
        <v>6087</v>
      </c>
      <c r="S4062" s="140"/>
    </row>
    <row r="4063" spans="1:19" hidden="1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91</v>
      </c>
      <c r="R4063" s="136" t="s">
        <v>6087</v>
      </c>
      <c r="S4063" s="140"/>
    </row>
    <row r="4064" spans="1:19" hidden="1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91</v>
      </c>
      <c r="R4064" s="136" t="s">
        <v>6087</v>
      </c>
      <c r="S4064" s="140"/>
    </row>
    <row r="4065" spans="1:19" hidden="1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91</v>
      </c>
      <c r="R4065" s="136" t="s">
        <v>6087</v>
      </c>
      <c r="S4065" s="140"/>
    </row>
    <row r="4066" spans="1:19" hidden="1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91</v>
      </c>
      <c r="R4066" s="136" t="s">
        <v>6087</v>
      </c>
      <c r="S4066" s="140"/>
    </row>
    <row r="4067" spans="1:19" hidden="1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91</v>
      </c>
      <c r="R4067" s="136" t="s">
        <v>6087</v>
      </c>
      <c r="S4067" s="140"/>
    </row>
    <row r="4068" spans="1:19" hidden="1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91</v>
      </c>
      <c r="R4068" s="136" t="s">
        <v>6087</v>
      </c>
      <c r="S4068" s="140"/>
    </row>
    <row r="4069" spans="1:19" hidden="1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91</v>
      </c>
      <c r="R4069" s="136" t="s">
        <v>6087</v>
      </c>
      <c r="S4069" s="140"/>
    </row>
    <row r="4070" spans="1:19" hidden="1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91</v>
      </c>
      <c r="R4070" s="136" t="s">
        <v>6087</v>
      </c>
      <c r="S4070" s="140"/>
    </row>
    <row r="4071" spans="1:19" hidden="1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91</v>
      </c>
      <c r="R4071" s="136" t="s">
        <v>6087</v>
      </c>
      <c r="S4071" s="140"/>
    </row>
    <row r="4072" spans="1:19" hidden="1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91</v>
      </c>
      <c r="R4072" s="136" t="s">
        <v>6087</v>
      </c>
      <c r="S4072" s="140"/>
    </row>
    <row r="4073" spans="1:19" hidden="1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91</v>
      </c>
      <c r="R4073" s="136" t="s">
        <v>6087</v>
      </c>
      <c r="S4073" s="140"/>
    </row>
    <row r="4074" spans="1:19" hidden="1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91</v>
      </c>
      <c r="R4074" s="136" t="s">
        <v>6087</v>
      </c>
      <c r="S4074" s="140"/>
    </row>
    <row r="4075" spans="1:19" hidden="1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91</v>
      </c>
      <c r="R4075" s="136" t="s">
        <v>6087</v>
      </c>
      <c r="S4075" s="140"/>
    </row>
    <row r="4076" spans="1:19" hidden="1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91</v>
      </c>
      <c r="R4076" s="136" t="s">
        <v>6087</v>
      </c>
      <c r="S4076" s="140"/>
    </row>
    <row r="4077" spans="1:19" hidden="1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91</v>
      </c>
      <c r="R4077" s="136" t="s">
        <v>6087</v>
      </c>
      <c r="S4077" s="140"/>
    </row>
    <row r="4078" spans="1:19" hidden="1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91</v>
      </c>
      <c r="R4078" s="136" t="s">
        <v>6087</v>
      </c>
      <c r="S4078" s="140"/>
    </row>
    <row r="4079" spans="1:19" hidden="1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91</v>
      </c>
      <c r="R4079" s="136" t="s">
        <v>6087</v>
      </c>
      <c r="S4079" s="140"/>
    </row>
    <row r="4080" spans="1:19" hidden="1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91</v>
      </c>
      <c r="R4080" s="136" t="s">
        <v>6087</v>
      </c>
      <c r="S4080" s="140"/>
    </row>
    <row r="4081" spans="1:19" hidden="1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91</v>
      </c>
      <c r="R4081" s="136" t="s">
        <v>6087</v>
      </c>
      <c r="S4081" s="140"/>
    </row>
    <row r="4082" spans="1:19" hidden="1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91</v>
      </c>
      <c r="R4082" s="136" t="s">
        <v>6087</v>
      </c>
      <c r="S4082" s="140"/>
    </row>
    <row r="4083" spans="1:19" hidden="1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91</v>
      </c>
      <c r="R4083" s="136" t="s">
        <v>6087</v>
      </c>
      <c r="S4083" s="140"/>
    </row>
    <row r="4084" spans="1:19" hidden="1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91</v>
      </c>
      <c r="R4084" s="136" t="s">
        <v>6087</v>
      </c>
      <c r="S4084" s="140"/>
    </row>
    <row r="4085" spans="1:19" hidden="1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91</v>
      </c>
      <c r="R4085" s="136" t="s">
        <v>6087</v>
      </c>
      <c r="S4085" s="140"/>
    </row>
    <row r="4086" spans="1:19" hidden="1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91</v>
      </c>
      <c r="R4086" s="136" t="s">
        <v>6087</v>
      </c>
      <c r="S4086" s="140"/>
    </row>
    <row r="4087" spans="1:19" hidden="1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91</v>
      </c>
      <c r="R4087" s="136" t="s">
        <v>6087</v>
      </c>
      <c r="S4087" s="140"/>
    </row>
    <row r="4088" spans="1:19" hidden="1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91</v>
      </c>
      <c r="R4088" s="136" t="s">
        <v>6087</v>
      </c>
      <c r="S4088" s="140"/>
    </row>
    <row r="4089" spans="1:19" hidden="1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91</v>
      </c>
      <c r="R4089" s="136" t="s">
        <v>6087</v>
      </c>
      <c r="S4089" s="140"/>
    </row>
    <row r="4090" spans="1:19" hidden="1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91</v>
      </c>
      <c r="R4090" s="136" t="s">
        <v>6087</v>
      </c>
      <c r="S4090" s="140"/>
    </row>
    <row r="4091" spans="1:19" hidden="1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91</v>
      </c>
      <c r="R4091" s="136" t="s">
        <v>6087</v>
      </c>
      <c r="S4091" s="140"/>
    </row>
    <row r="4092" spans="1:19" hidden="1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91</v>
      </c>
      <c r="R4092" s="136" t="s">
        <v>6087</v>
      </c>
      <c r="S4092" s="140"/>
    </row>
    <row r="4093" spans="1:19" hidden="1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91</v>
      </c>
      <c r="R4093" s="136" t="s">
        <v>6087</v>
      </c>
      <c r="S4093" s="140"/>
    </row>
    <row r="4094" spans="1:19" hidden="1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91</v>
      </c>
      <c r="R4094" s="136" t="s">
        <v>6087</v>
      </c>
      <c r="S4094" s="140"/>
    </row>
    <row r="4095" spans="1:19" hidden="1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91</v>
      </c>
      <c r="R4095" s="136" t="s">
        <v>6087</v>
      </c>
      <c r="S4095" s="140"/>
    </row>
    <row r="4096" spans="1:19" hidden="1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91</v>
      </c>
      <c r="R4096" s="136" t="s">
        <v>6087</v>
      </c>
      <c r="S4096" s="140"/>
    </row>
    <row r="4097" spans="1:19" hidden="1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91</v>
      </c>
      <c r="R4097" s="136" t="s">
        <v>6087</v>
      </c>
      <c r="S4097" s="140"/>
    </row>
    <row r="4098" spans="1:19" hidden="1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91</v>
      </c>
      <c r="R4098" s="136" t="s">
        <v>6087</v>
      </c>
      <c r="S4098" s="140"/>
    </row>
    <row r="4099" spans="1:19" hidden="1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91</v>
      </c>
      <c r="R4099" s="136" t="s">
        <v>6087</v>
      </c>
      <c r="S4099" s="140"/>
    </row>
    <row r="4100" spans="1:19" hidden="1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91</v>
      </c>
      <c r="R4100" s="136" t="s">
        <v>6087</v>
      </c>
      <c r="S4100" s="140"/>
    </row>
    <row r="4101" spans="1:19" hidden="1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91</v>
      </c>
      <c r="R4101" s="136" t="s">
        <v>6087</v>
      </c>
      <c r="S4101" s="140"/>
    </row>
    <row r="4102" spans="1:19" hidden="1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91</v>
      </c>
      <c r="R4102" s="136" t="s">
        <v>6087</v>
      </c>
      <c r="S4102" s="140"/>
    </row>
    <row r="4103" spans="1:19" hidden="1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91</v>
      </c>
      <c r="R4103" s="136" t="s">
        <v>6087</v>
      </c>
      <c r="S4103" s="140"/>
    </row>
    <row r="4104" spans="1:19" hidden="1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91</v>
      </c>
      <c r="R4104" s="136" t="s">
        <v>6087</v>
      </c>
      <c r="S4104" s="140"/>
    </row>
    <row r="4105" spans="1:19" hidden="1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91</v>
      </c>
      <c r="R4105" s="136" t="s">
        <v>6087</v>
      </c>
      <c r="S4105" s="140"/>
    </row>
    <row r="4106" spans="1:19" hidden="1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91</v>
      </c>
      <c r="R4106" s="136" t="s">
        <v>6087</v>
      </c>
      <c r="S4106" s="140"/>
    </row>
    <row r="4107" spans="1:19" hidden="1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91</v>
      </c>
      <c r="R4107" s="136" t="s">
        <v>6087</v>
      </c>
      <c r="S4107" s="140"/>
    </row>
    <row r="4108" spans="1:19" hidden="1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91</v>
      </c>
      <c r="R4108" s="136" t="s">
        <v>6087</v>
      </c>
      <c r="S4108" s="140"/>
    </row>
    <row r="4109" spans="1:19" hidden="1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91</v>
      </c>
      <c r="R4109" s="136" t="s">
        <v>6087</v>
      </c>
      <c r="S4109" s="140"/>
    </row>
    <row r="4110" spans="1:19" hidden="1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91</v>
      </c>
      <c r="R4110" s="136" t="s">
        <v>6087</v>
      </c>
      <c r="S4110" s="140"/>
    </row>
    <row r="4111" spans="1:19" hidden="1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91</v>
      </c>
      <c r="R4111" s="136" t="s">
        <v>6087</v>
      </c>
      <c r="S4111" s="140"/>
    </row>
    <row r="4112" spans="1:19" hidden="1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91</v>
      </c>
      <c r="R4112" s="136" t="s">
        <v>6087</v>
      </c>
      <c r="S4112" s="140"/>
    </row>
    <row r="4113" spans="1:19" hidden="1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91</v>
      </c>
      <c r="R4113" s="136" t="s">
        <v>6087</v>
      </c>
      <c r="S4113" s="140"/>
    </row>
    <row r="4114" spans="1:19" hidden="1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91</v>
      </c>
      <c r="R4114" s="136" t="s">
        <v>6087</v>
      </c>
      <c r="S4114" s="140"/>
    </row>
    <row r="4115" spans="1:19" hidden="1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91</v>
      </c>
      <c r="R4115" s="136" t="s">
        <v>6087</v>
      </c>
      <c r="S4115" s="140"/>
    </row>
    <row r="4116" spans="1:19" hidden="1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91</v>
      </c>
      <c r="R4116" s="136" t="s">
        <v>6087</v>
      </c>
      <c r="S4116" s="140"/>
    </row>
    <row r="4117" spans="1:19" hidden="1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91</v>
      </c>
      <c r="R4117" s="136" t="s">
        <v>6087</v>
      </c>
      <c r="S4117" s="140"/>
    </row>
    <row r="4118" spans="1:19" hidden="1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91</v>
      </c>
      <c r="R4118" s="136" t="s">
        <v>6087</v>
      </c>
      <c r="S4118" s="140"/>
    </row>
    <row r="4119" spans="1:19" hidden="1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91</v>
      </c>
      <c r="R4119" s="136" t="s">
        <v>1262</v>
      </c>
      <c r="S4119" s="140"/>
    </row>
    <row r="4120" spans="1:19" hidden="1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87</v>
      </c>
      <c r="R4120" s="136" t="s">
        <v>6087</v>
      </c>
      <c r="S4120" s="140"/>
    </row>
    <row r="4121" spans="1:19" hidden="1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87</v>
      </c>
      <c r="R4121" s="136" t="s">
        <v>6087</v>
      </c>
      <c r="S4121" s="140"/>
    </row>
    <row r="4122" spans="1:19" hidden="1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87</v>
      </c>
      <c r="R4122" s="136" t="s">
        <v>6087</v>
      </c>
      <c r="S4122" s="140"/>
    </row>
    <row r="4123" spans="1:19" hidden="1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87</v>
      </c>
      <c r="R4123" s="136" t="s">
        <v>6087</v>
      </c>
      <c r="S4123" s="140"/>
    </row>
    <row r="4124" spans="1:19" hidden="1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87</v>
      </c>
      <c r="R4124" s="136" t="s">
        <v>6087</v>
      </c>
      <c r="S4124" s="140"/>
    </row>
    <row r="4125" spans="1:19" hidden="1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87</v>
      </c>
      <c r="R4125" s="136" t="s">
        <v>6087</v>
      </c>
      <c r="S4125" s="140"/>
    </row>
    <row r="4126" spans="1:19" hidden="1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87</v>
      </c>
      <c r="R4126" s="136" t="s">
        <v>6087</v>
      </c>
      <c r="S4126" s="140"/>
    </row>
    <row r="4127" spans="1:19" hidden="1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87</v>
      </c>
      <c r="R4127" s="136" t="s">
        <v>6087</v>
      </c>
      <c r="S4127" s="140"/>
    </row>
    <row r="4128" spans="1:19" hidden="1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87</v>
      </c>
      <c r="R4128" s="136" t="s">
        <v>6087</v>
      </c>
      <c r="S4128" s="140"/>
    </row>
    <row r="4129" spans="1:19" hidden="1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87</v>
      </c>
      <c r="R4129" s="136" t="s">
        <v>6087</v>
      </c>
      <c r="S4129" s="140"/>
    </row>
    <row r="4130" spans="1:19" hidden="1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87</v>
      </c>
      <c r="R4130" s="136" t="s">
        <v>6087</v>
      </c>
      <c r="S4130" s="140"/>
    </row>
    <row r="4131" spans="1:19" hidden="1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87</v>
      </c>
      <c r="R4131" s="136" t="s">
        <v>515</v>
      </c>
      <c r="S4131" s="140"/>
    </row>
    <row r="4132" spans="1:19" hidden="1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86</v>
      </c>
      <c r="R4132" s="137" t="s">
        <v>515</v>
      </c>
      <c r="S4132" s="140"/>
    </row>
    <row r="4133" spans="1:19" hidden="1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86</v>
      </c>
      <c r="R4133" s="137" t="s">
        <v>515</v>
      </c>
      <c r="S4133" s="140"/>
    </row>
    <row r="4134" spans="1:19" hidden="1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86</v>
      </c>
      <c r="R4134" s="137" t="s">
        <v>515</v>
      </c>
      <c r="S4134" s="140"/>
    </row>
    <row r="4135" spans="1:19" hidden="1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86</v>
      </c>
      <c r="R4135" s="137" t="s">
        <v>515</v>
      </c>
      <c r="S4135" s="140"/>
    </row>
    <row r="4136" spans="1:19" hidden="1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86</v>
      </c>
      <c r="R4136" s="137" t="s">
        <v>515</v>
      </c>
      <c r="S4136" s="140"/>
    </row>
    <row r="4137" spans="1:19" hidden="1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86</v>
      </c>
      <c r="R4137" s="137" t="s">
        <v>515</v>
      </c>
      <c r="S4137" s="140"/>
    </row>
    <row r="4138" spans="1:19" hidden="1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86</v>
      </c>
      <c r="R4138" s="137" t="s">
        <v>515</v>
      </c>
      <c r="S4138" s="140"/>
    </row>
    <row r="4139" spans="1:19" hidden="1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86</v>
      </c>
      <c r="R4139" s="137" t="s">
        <v>515</v>
      </c>
      <c r="S4139" s="140"/>
    </row>
    <row r="4140" spans="1:19" hidden="1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86</v>
      </c>
      <c r="R4140" s="137" t="s">
        <v>515</v>
      </c>
      <c r="S4140" s="140"/>
    </row>
    <row r="4141" spans="1:19" hidden="1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86</v>
      </c>
      <c r="R4141" s="137" t="s">
        <v>515</v>
      </c>
      <c r="S4141" s="140"/>
    </row>
    <row r="4142" spans="1:19" hidden="1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86</v>
      </c>
      <c r="R4142" s="137" t="s">
        <v>515</v>
      </c>
      <c r="S4142" s="140"/>
    </row>
    <row r="4143" spans="1:19" hidden="1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86</v>
      </c>
      <c r="R4143" s="137" t="s">
        <v>515</v>
      </c>
      <c r="S4143" s="140"/>
    </row>
    <row r="4144" spans="1:19" hidden="1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86</v>
      </c>
      <c r="R4144" s="137" t="s">
        <v>515</v>
      </c>
      <c r="S4144" s="140"/>
    </row>
    <row r="4145" spans="1:19" hidden="1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86</v>
      </c>
      <c r="R4145" s="137" t="s">
        <v>515</v>
      </c>
      <c r="S4145" s="140"/>
    </row>
    <row r="4146" spans="1:19" hidden="1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86</v>
      </c>
      <c r="R4146" s="137" t="s">
        <v>515</v>
      </c>
      <c r="S4146" s="140"/>
    </row>
    <row r="4147" spans="1:19" hidden="1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86</v>
      </c>
      <c r="R4147" s="137" t="s">
        <v>515</v>
      </c>
      <c r="S4147" s="140"/>
    </row>
    <row r="4148" spans="1:19" hidden="1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86</v>
      </c>
      <c r="R4148" s="137" t="s">
        <v>515</v>
      </c>
      <c r="S4148" s="140"/>
    </row>
    <row r="4149" spans="1:19" hidden="1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86</v>
      </c>
      <c r="R4149" s="137" t="s">
        <v>452</v>
      </c>
      <c r="S4149" s="140"/>
    </row>
    <row r="4150" spans="1:19" hidden="1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86</v>
      </c>
      <c r="R4150" s="145" t="s">
        <v>1459</v>
      </c>
      <c r="S4150" s="140"/>
    </row>
    <row r="4151" spans="1:19" hidden="1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86</v>
      </c>
      <c r="R4151" s="145" t="s">
        <v>6087</v>
      </c>
      <c r="S4151" s="140"/>
    </row>
    <row r="4152" spans="1:19" hidden="1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86</v>
      </c>
      <c r="R4152" s="145" t="s">
        <v>6087</v>
      </c>
      <c r="S4152" s="140"/>
    </row>
    <row r="4153" spans="1:19" hidden="1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86</v>
      </c>
      <c r="R4153" s="145" t="s">
        <v>6087</v>
      </c>
      <c r="S4153" s="140"/>
    </row>
    <row r="4154" spans="1:19" hidden="1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86</v>
      </c>
      <c r="R4154" s="145" t="s">
        <v>6087</v>
      </c>
      <c r="S4154" s="140"/>
    </row>
    <row r="4155" spans="1:19" hidden="1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86</v>
      </c>
      <c r="R4155" s="146" t="s">
        <v>6247</v>
      </c>
      <c r="S4155" s="140"/>
    </row>
    <row r="4156" spans="1:19" hidden="1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86</v>
      </c>
      <c r="R4156" s="146" t="s">
        <v>6247</v>
      </c>
      <c r="S4156" s="140"/>
    </row>
    <row r="4157" spans="1:19" hidden="1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86</v>
      </c>
      <c r="R4157" s="146" t="s">
        <v>6247</v>
      </c>
      <c r="S4157" s="140"/>
    </row>
    <row r="4158" spans="1:19" hidden="1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86</v>
      </c>
      <c r="R4158" s="146" t="s">
        <v>6247</v>
      </c>
      <c r="S4158" s="140"/>
    </row>
    <row r="4159" spans="1:19" hidden="1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86</v>
      </c>
      <c r="R4159" s="146" t="s">
        <v>6247</v>
      </c>
      <c r="S4159" s="140"/>
    </row>
    <row r="4160" spans="1:19" hidden="1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86</v>
      </c>
      <c r="R4160" s="146" t="s">
        <v>5709</v>
      </c>
      <c r="S4160" s="140"/>
    </row>
    <row r="4161" spans="1:19" hidden="1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86</v>
      </c>
      <c r="R4161" s="146" t="s">
        <v>5709</v>
      </c>
      <c r="S4161" s="140"/>
    </row>
    <row r="4162" spans="1:19" hidden="1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86</v>
      </c>
      <c r="R4162" s="146" t="s">
        <v>5709</v>
      </c>
      <c r="S4162" s="140"/>
    </row>
    <row r="4163" spans="1:19" hidden="1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83</v>
      </c>
      <c r="R4163" s="146" t="s">
        <v>780</v>
      </c>
      <c r="S4163" s="140"/>
    </row>
    <row r="4164" spans="1:19" hidden="1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83</v>
      </c>
      <c r="R4164" s="146" t="s">
        <v>780</v>
      </c>
      <c r="S4164" s="140"/>
    </row>
    <row r="4165" spans="1:19" hidden="1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83</v>
      </c>
      <c r="R4165" s="146" t="s">
        <v>780</v>
      </c>
      <c r="S4165" s="140"/>
    </row>
    <row r="4166" spans="1:19" hidden="1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83</v>
      </c>
      <c r="R4166" s="146" t="s">
        <v>780</v>
      </c>
      <c r="S4166" s="140"/>
    </row>
    <row r="4167" spans="1:19" hidden="1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83</v>
      </c>
      <c r="R4167" s="146" t="s">
        <v>780</v>
      </c>
      <c r="S4167" s="140"/>
    </row>
    <row r="4168" spans="1:19" hidden="1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83</v>
      </c>
      <c r="R4168" s="146" t="s">
        <v>780</v>
      </c>
      <c r="S4168" s="140"/>
    </row>
    <row r="4169" spans="1:19" hidden="1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83</v>
      </c>
      <c r="R4169" s="146" t="s">
        <v>780</v>
      </c>
      <c r="S4169" s="140"/>
    </row>
    <row r="4170" spans="1:19" hidden="1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83</v>
      </c>
      <c r="R4170" s="146" t="s">
        <v>780</v>
      </c>
      <c r="S4170" s="140"/>
    </row>
    <row r="4171" spans="1:19" hidden="1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83</v>
      </c>
      <c r="R4171" s="146" t="s">
        <v>780</v>
      </c>
      <c r="S4171" s="140"/>
    </row>
    <row r="4172" spans="1:19" hidden="1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82</v>
      </c>
      <c r="R4172" s="146" t="s">
        <v>6273</v>
      </c>
      <c r="S4172" s="140"/>
    </row>
    <row r="4173" spans="1:19" hidden="1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81</v>
      </c>
      <c r="R4173" s="146" t="s">
        <v>489</v>
      </c>
      <c r="S4173" s="150"/>
    </row>
    <row r="4174" spans="1:19" hidden="1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81</v>
      </c>
      <c r="R4174" s="146" t="s">
        <v>489</v>
      </c>
      <c r="S4174" s="150"/>
    </row>
    <row r="4175" spans="1:19" hidden="1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81</v>
      </c>
      <c r="R4175" s="146" t="s">
        <v>489</v>
      </c>
      <c r="S4175" s="150"/>
    </row>
    <row r="4176" spans="1:19" hidden="1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81</v>
      </c>
      <c r="R4176" s="146" t="s">
        <v>489</v>
      </c>
      <c r="S4176" s="150"/>
    </row>
    <row r="4177" spans="1:19" hidden="1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81</v>
      </c>
      <c r="R4177" s="146" t="s">
        <v>489</v>
      </c>
      <c r="S4177" s="150"/>
    </row>
    <row r="4178" spans="1:19" hidden="1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81</v>
      </c>
      <c r="R4178" s="146" t="s">
        <v>489</v>
      </c>
      <c r="S4178" s="150"/>
    </row>
    <row r="4179" spans="1:19" hidden="1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80</v>
      </c>
      <c r="R4179" s="146" t="s">
        <v>410</v>
      </c>
      <c r="S4179" s="150"/>
    </row>
    <row r="4180" spans="1:19" hidden="1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80</v>
      </c>
      <c r="R4180" s="146" t="s">
        <v>410</v>
      </c>
      <c r="S4180" s="150"/>
    </row>
    <row r="4181" spans="1:19" hidden="1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80</v>
      </c>
      <c r="R4181" s="146" t="s">
        <v>410</v>
      </c>
      <c r="S4181" s="150"/>
    </row>
    <row r="4182" spans="1:19" hidden="1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80</v>
      </c>
      <c r="R4182" s="146" t="s">
        <v>410</v>
      </c>
      <c r="S4182" s="150"/>
    </row>
    <row r="4183" spans="1:19" hidden="1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80</v>
      </c>
      <c r="R4183" s="146" t="s">
        <v>410</v>
      </c>
      <c r="S4183" s="150"/>
    </row>
    <row r="4184" spans="1:19" hidden="1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80</v>
      </c>
      <c r="R4184" s="146" t="s">
        <v>410</v>
      </c>
      <c r="S4184" s="150"/>
    </row>
    <row r="4185" spans="1:19" hidden="1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80</v>
      </c>
      <c r="R4185" s="146" t="s">
        <v>410</v>
      </c>
      <c r="S4185" s="150"/>
    </row>
    <row r="4186" spans="1:19" hidden="1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80</v>
      </c>
      <c r="R4186" s="146" t="s">
        <v>410</v>
      </c>
      <c r="S4186" s="150"/>
    </row>
    <row r="4187" spans="1:19" hidden="1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80</v>
      </c>
      <c r="R4187" s="146" t="s">
        <v>410</v>
      </c>
      <c r="S4187" s="150"/>
    </row>
    <row r="4188" spans="1:19" hidden="1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80</v>
      </c>
      <c r="R4188" s="146" t="s">
        <v>410</v>
      </c>
      <c r="S4188" s="150"/>
    </row>
    <row r="4189" spans="1:19" hidden="1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80</v>
      </c>
      <c r="R4189" s="146" t="s">
        <v>410</v>
      </c>
      <c r="S4189" s="150"/>
    </row>
    <row r="4190" spans="1:19" hidden="1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80</v>
      </c>
      <c r="R4190" s="146" t="s">
        <v>410</v>
      </c>
      <c r="S4190" s="150"/>
    </row>
    <row r="4191" spans="1:19" hidden="1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80</v>
      </c>
      <c r="R4191" s="146" t="s">
        <v>410</v>
      </c>
      <c r="S4191" s="150"/>
    </row>
    <row r="4192" spans="1:19" hidden="1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80</v>
      </c>
      <c r="R4192" s="146" t="s">
        <v>410</v>
      </c>
      <c r="S4192" s="150"/>
    </row>
    <row r="4193" spans="1:19" hidden="1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80</v>
      </c>
      <c r="R4193" s="146" t="s">
        <v>410</v>
      </c>
      <c r="S4193" s="150"/>
    </row>
    <row r="4194" spans="1:19" hidden="1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80</v>
      </c>
      <c r="R4194" s="146" t="s">
        <v>410</v>
      </c>
      <c r="S4194" s="150"/>
    </row>
    <row r="4195" spans="1:19" hidden="1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80</v>
      </c>
      <c r="R4195" s="146" t="s">
        <v>410</v>
      </c>
      <c r="S4195" s="150"/>
    </row>
    <row r="4196" spans="1:19" hidden="1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80</v>
      </c>
      <c r="R4196" s="146" t="s">
        <v>6305</v>
      </c>
      <c r="S4196" s="150"/>
    </row>
    <row r="4197" spans="1:19" hidden="1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80</v>
      </c>
      <c r="R4197" s="146" t="s">
        <v>6305</v>
      </c>
      <c r="S4197" s="150"/>
    </row>
    <row r="4198" spans="1:19" hidden="1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80</v>
      </c>
      <c r="R4198" s="146" t="s">
        <v>6305</v>
      </c>
      <c r="S4198" s="150"/>
    </row>
    <row r="4199" spans="1:19" hidden="1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79</v>
      </c>
      <c r="R4199" s="146" t="s">
        <v>780</v>
      </c>
      <c r="S4199" s="150"/>
    </row>
    <row r="4200" spans="1:19" hidden="1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79</v>
      </c>
      <c r="R4200" s="146" t="s">
        <v>780</v>
      </c>
      <c r="S4200" s="150"/>
    </row>
    <row r="4201" spans="1:19" hidden="1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79</v>
      </c>
      <c r="R4201" s="146" t="s">
        <v>780</v>
      </c>
      <c r="S4201" s="150"/>
    </row>
    <row r="4202" spans="1:19" hidden="1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79</v>
      </c>
      <c r="R4202" s="146" t="s">
        <v>780</v>
      </c>
      <c r="S4202" s="150"/>
    </row>
    <row r="4203" spans="1:19" hidden="1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79</v>
      </c>
      <c r="R4203" s="146" t="s">
        <v>780</v>
      </c>
      <c r="S4203" s="150"/>
    </row>
    <row r="4204" spans="1:19" hidden="1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79</v>
      </c>
      <c r="R4204" s="146" t="s">
        <v>780</v>
      </c>
      <c r="S4204" s="150"/>
    </row>
    <row r="4205" spans="1:19" hidden="1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79</v>
      </c>
      <c r="R4205" s="146" t="s">
        <v>780</v>
      </c>
      <c r="S4205" s="150"/>
    </row>
    <row r="4206" spans="1:19" hidden="1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79</v>
      </c>
      <c r="R4206" s="146" t="s">
        <v>780</v>
      </c>
      <c r="S4206" s="150"/>
    </row>
    <row r="4207" spans="1:19" hidden="1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79</v>
      </c>
      <c r="R4207" s="146" t="s">
        <v>780</v>
      </c>
      <c r="S4207" s="150"/>
    </row>
    <row r="4208" spans="1:19" hidden="1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79</v>
      </c>
      <c r="R4208" s="146" t="s">
        <v>780</v>
      </c>
      <c r="S4208" s="150"/>
    </row>
    <row r="4209" spans="1:19" hidden="1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79</v>
      </c>
      <c r="R4209" s="146" t="s">
        <v>780</v>
      </c>
      <c r="S4209" s="150"/>
    </row>
    <row r="4210" spans="1:19" hidden="1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79</v>
      </c>
      <c r="R4210" s="146" t="s">
        <v>780</v>
      </c>
      <c r="S4210" s="150"/>
    </row>
    <row r="4211" spans="1:19" hidden="1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78</v>
      </c>
      <c r="R4211" s="146" t="s">
        <v>780</v>
      </c>
      <c r="S4211" s="150"/>
    </row>
    <row r="4212" spans="1:19" hidden="1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78</v>
      </c>
      <c r="R4212" s="146" t="s">
        <v>780</v>
      </c>
      <c r="S4212" s="150"/>
    </row>
    <row r="4213" spans="1:19" hidden="1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78</v>
      </c>
      <c r="R4213" s="146" t="s">
        <v>780</v>
      </c>
      <c r="S4213" s="150"/>
    </row>
    <row r="4214" spans="1:19" hidden="1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78</v>
      </c>
      <c r="R4214" s="146" t="s">
        <v>780</v>
      </c>
      <c r="S4214" s="150"/>
    </row>
    <row r="4215" spans="1:19" hidden="1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78</v>
      </c>
      <c r="R4215" s="146" t="s">
        <v>780</v>
      </c>
      <c r="S4215" s="150"/>
    </row>
    <row r="4216" spans="1:19" hidden="1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78</v>
      </c>
      <c r="R4216" s="146" t="s">
        <v>780</v>
      </c>
      <c r="S4216" s="150"/>
    </row>
    <row r="4217" spans="1:19" hidden="1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78</v>
      </c>
      <c r="R4217" s="146" t="s">
        <v>780</v>
      </c>
      <c r="S4217" s="150"/>
    </row>
    <row r="4218" spans="1:19" hidden="1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78</v>
      </c>
      <c r="R4218" s="146" t="s">
        <v>780</v>
      </c>
      <c r="S4218" s="150"/>
    </row>
    <row r="4219" spans="1:19" hidden="1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78</v>
      </c>
      <c r="R4219" s="146" t="s">
        <v>780</v>
      </c>
      <c r="S4219" s="150"/>
    </row>
    <row r="4220" spans="1:19" hidden="1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78</v>
      </c>
      <c r="R4220" s="146" t="s">
        <v>780</v>
      </c>
      <c r="S4220" s="150"/>
    </row>
    <row r="4221" spans="1:19" hidden="1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78</v>
      </c>
      <c r="R4221" s="146" t="s">
        <v>780</v>
      </c>
      <c r="S4221" s="150"/>
    </row>
    <row r="4222" spans="1:19" hidden="1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78</v>
      </c>
      <c r="R4222" s="146" t="s">
        <v>780</v>
      </c>
      <c r="S4222" s="150"/>
    </row>
    <row r="4223" spans="1:19" hidden="1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75</v>
      </c>
      <c r="R4223" s="148" t="s">
        <v>489</v>
      </c>
      <c r="S4223" s="150"/>
    </row>
    <row r="4224" spans="1:19" hidden="1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75</v>
      </c>
      <c r="R4224" s="148" t="s">
        <v>489</v>
      </c>
      <c r="S4224" s="150"/>
    </row>
    <row r="4225" spans="1:19" hidden="1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75</v>
      </c>
      <c r="R4225" s="152" t="s">
        <v>410</v>
      </c>
      <c r="S4225" s="150"/>
    </row>
    <row r="4226" spans="1:19" hidden="1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75</v>
      </c>
      <c r="R4226" s="152" t="s">
        <v>410</v>
      </c>
      <c r="S4226" s="150"/>
    </row>
    <row r="4227" spans="1:19" hidden="1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75</v>
      </c>
      <c r="R4227" s="152" t="s">
        <v>410</v>
      </c>
      <c r="S4227" s="150"/>
    </row>
    <row r="4228" spans="1:19" hidden="1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75</v>
      </c>
      <c r="R4228" s="152" t="s">
        <v>410</v>
      </c>
      <c r="S4228" s="150"/>
    </row>
    <row r="4229" spans="1:19" hidden="1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75</v>
      </c>
      <c r="R4229" s="152" t="s">
        <v>410</v>
      </c>
      <c r="S4229" s="150"/>
    </row>
    <row r="4230" spans="1:19" hidden="1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75</v>
      </c>
      <c r="R4230" s="152" t="s">
        <v>410</v>
      </c>
      <c r="S4230" s="150"/>
    </row>
    <row r="4231" spans="1:19" hidden="1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75</v>
      </c>
      <c r="R4231" s="152" t="s">
        <v>410</v>
      </c>
      <c r="S4231" s="150"/>
    </row>
    <row r="4232" spans="1:19" hidden="1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75</v>
      </c>
      <c r="R4232" s="152" t="s">
        <v>410</v>
      </c>
      <c r="S4232" s="150"/>
    </row>
    <row r="4233" spans="1:19" hidden="1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75</v>
      </c>
      <c r="R4233" s="152" t="s">
        <v>410</v>
      </c>
      <c r="S4233" s="150"/>
    </row>
    <row r="4234" spans="1:19" hidden="1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75</v>
      </c>
      <c r="R4234" s="152" t="s">
        <v>410</v>
      </c>
      <c r="S4234" s="150"/>
    </row>
    <row r="4235" spans="1:19" hidden="1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75</v>
      </c>
      <c r="R4235" s="152" t="s">
        <v>410</v>
      </c>
      <c r="S4235" s="150"/>
    </row>
    <row r="4236" spans="1:19" hidden="1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75</v>
      </c>
      <c r="R4236" s="152" t="s">
        <v>410</v>
      </c>
      <c r="S4236" s="150"/>
    </row>
    <row r="4237" spans="1:19" hidden="1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75</v>
      </c>
      <c r="R4237" s="152" t="s">
        <v>410</v>
      </c>
      <c r="S4237" s="150"/>
    </row>
    <row r="4238" spans="1:19" hidden="1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75</v>
      </c>
      <c r="R4238" s="152" t="s">
        <v>410</v>
      </c>
      <c r="S4238" s="150"/>
    </row>
    <row r="4239" spans="1:19" hidden="1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75</v>
      </c>
      <c r="R4239" s="152" t="s">
        <v>410</v>
      </c>
      <c r="S4239" s="150"/>
    </row>
    <row r="4240" spans="1:19" hidden="1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75</v>
      </c>
      <c r="R4240" s="152" t="s">
        <v>410</v>
      </c>
      <c r="S4240" s="150"/>
    </row>
    <row r="4241" spans="1:19" hidden="1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75</v>
      </c>
      <c r="R4241" s="152" t="s">
        <v>410</v>
      </c>
      <c r="S4241" s="150"/>
    </row>
    <row r="4242" spans="1:19" hidden="1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75</v>
      </c>
      <c r="R4242" s="152" t="s">
        <v>410</v>
      </c>
      <c r="S4242" s="150"/>
    </row>
    <row r="4243" spans="1:19" hidden="1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75</v>
      </c>
      <c r="R4243" s="152" t="s">
        <v>410</v>
      </c>
      <c r="S4243" s="150"/>
    </row>
    <row r="4244" spans="1:19" hidden="1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75</v>
      </c>
      <c r="R4244" s="152" t="s">
        <v>410</v>
      </c>
      <c r="S4244" s="150"/>
    </row>
    <row r="4245" spans="1:19" hidden="1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75</v>
      </c>
      <c r="R4245" s="152" t="s">
        <v>410</v>
      </c>
      <c r="S4245" s="150"/>
    </row>
    <row r="4246" spans="1:19" hidden="1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75</v>
      </c>
      <c r="R4246" s="152" t="s">
        <v>410</v>
      </c>
      <c r="S4246" s="150"/>
    </row>
    <row r="4247" spans="1:19" hidden="1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75</v>
      </c>
      <c r="R4247" s="152" t="s">
        <v>410</v>
      </c>
      <c r="S4247" s="150"/>
    </row>
    <row r="4248" spans="1:19" hidden="1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75</v>
      </c>
      <c r="R4248" s="152" t="s">
        <v>410</v>
      </c>
      <c r="S4248" s="150"/>
    </row>
    <row r="4249" spans="1:19" hidden="1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75</v>
      </c>
      <c r="R4249" s="152" t="s">
        <v>410</v>
      </c>
      <c r="S4249" s="150"/>
    </row>
    <row r="4250" spans="1:19" hidden="1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75</v>
      </c>
      <c r="R4250" s="152" t="s">
        <v>410</v>
      </c>
      <c r="S4250" s="150"/>
    </row>
    <row r="4251" spans="1:19" hidden="1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75</v>
      </c>
      <c r="R4251" s="152" t="s">
        <v>410</v>
      </c>
      <c r="S4251" s="150"/>
    </row>
    <row r="4252" spans="1:19" hidden="1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75</v>
      </c>
      <c r="R4252" s="152" t="s">
        <v>410</v>
      </c>
      <c r="S4252" s="150"/>
    </row>
    <row r="4253" spans="1:19" hidden="1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75</v>
      </c>
      <c r="R4253" s="152" t="s">
        <v>410</v>
      </c>
      <c r="S4253" s="150"/>
    </row>
    <row r="4254" spans="1:19" hidden="1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75</v>
      </c>
      <c r="R4254" s="152" t="s">
        <v>410</v>
      </c>
      <c r="S4254" s="150"/>
    </row>
    <row r="4255" spans="1:19" hidden="1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75</v>
      </c>
      <c r="R4255" s="152" t="s">
        <v>410</v>
      </c>
      <c r="S4255" s="150"/>
    </row>
    <row r="4256" spans="1:19" hidden="1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75</v>
      </c>
      <c r="R4256" s="152" t="s">
        <v>410</v>
      </c>
      <c r="S4256" s="150"/>
    </row>
    <row r="4257" spans="1:19" hidden="1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75</v>
      </c>
      <c r="R4257" s="152" t="s">
        <v>410</v>
      </c>
      <c r="S4257" s="150"/>
    </row>
    <row r="4258" spans="1:19" hidden="1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75</v>
      </c>
      <c r="R4258" s="152" t="s">
        <v>410</v>
      </c>
      <c r="S4258" s="150"/>
    </row>
    <row r="4259" spans="1:19" hidden="1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75</v>
      </c>
      <c r="R4259" s="152" t="s">
        <v>410</v>
      </c>
      <c r="S4259" s="150"/>
    </row>
    <row r="4260" spans="1:19" hidden="1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75</v>
      </c>
      <c r="R4260" s="152" t="s">
        <v>410</v>
      </c>
      <c r="S4260" s="150"/>
    </row>
    <row r="4261" spans="1:19" hidden="1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75</v>
      </c>
      <c r="R4261" s="152" t="s">
        <v>410</v>
      </c>
      <c r="S4261" s="150"/>
    </row>
    <row r="4262" spans="1:19" hidden="1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75</v>
      </c>
      <c r="R4262" s="152" t="s">
        <v>410</v>
      </c>
      <c r="S4262" s="150"/>
    </row>
    <row r="4263" spans="1:19" hidden="1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75</v>
      </c>
      <c r="R4263" s="152" t="s">
        <v>410</v>
      </c>
      <c r="S4263" s="150"/>
    </row>
    <row r="4264" spans="1:19" hidden="1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75</v>
      </c>
      <c r="R4264" s="152" t="s">
        <v>410</v>
      </c>
      <c r="S4264" s="150"/>
    </row>
    <row r="4265" spans="1:19" hidden="1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75</v>
      </c>
      <c r="R4265" s="152" t="s">
        <v>410</v>
      </c>
      <c r="S4265" s="150"/>
    </row>
    <row r="4266" spans="1:19" hidden="1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75</v>
      </c>
      <c r="R4266" s="152" t="s">
        <v>410</v>
      </c>
      <c r="S4266" s="150"/>
    </row>
    <row r="4267" spans="1:19" hidden="1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75</v>
      </c>
      <c r="R4267" s="152" t="s">
        <v>410</v>
      </c>
      <c r="S4267" s="150"/>
    </row>
    <row r="4268" spans="1:19" hidden="1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75</v>
      </c>
      <c r="R4268" s="152" t="s">
        <v>410</v>
      </c>
      <c r="S4268" s="150"/>
    </row>
    <row r="4269" spans="1:19" hidden="1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75</v>
      </c>
      <c r="R4269" s="152" t="s">
        <v>410</v>
      </c>
      <c r="S4269" s="150"/>
    </row>
    <row r="4270" spans="1:19" hidden="1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75</v>
      </c>
      <c r="R4270" s="152" t="s">
        <v>410</v>
      </c>
      <c r="S4270" s="150"/>
    </row>
    <row r="4271" spans="1:19" hidden="1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75</v>
      </c>
      <c r="R4271" s="152" t="s">
        <v>410</v>
      </c>
      <c r="S4271" s="150"/>
    </row>
    <row r="4272" spans="1:19" hidden="1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75</v>
      </c>
      <c r="R4272" s="152" t="s">
        <v>410</v>
      </c>
      <c r="S4272" s="150"/>
    </row>
    <row r="4273" spans="1:19" hidden="1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74</v>
      </c>
      <c r="R4273" s="153" t="s">
        <v>489</v>
      </c>
      <c r="S4273" s="150"/>
    </row>
    <row r="4274" spans="1:19" hidden="1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74</v>
      </c>
      <c r="R4274" s="153" t="s">
        <v>489</v>
      </c>
      <c r="S4274" s="150"/>
    </row>
    <row r="4275" spans="1:19" hidden="1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74</v>
      </c>
      <c r="R4275" s="153" t="s">
        <v>780</v>
      </c>
      <c r="S4275" s="150"/>
    </row>
    <row r="4276" spans="1:19" hidden="1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74</v>
      </c>
      <c r="R4276" s="153" t="s">
        <v>780</v>
      </c>
      <c r="S4276" s="150"/>
    </row>
    <row r="4277" spans="1:19" hidden="1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74</v>
      </c>
      <c r="R4277" s="153" t="s">
        <v>780</v>
      </c>
      <c r="S4277" s="150"/>
    </row>
    <row r="4278" spans="1:19" hidden="1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74</v>
      </c>
      <c r="R4278" s="153" t="s">
        <v>780</v>
      </c>
      <c r="S4278" s="150"/>
    </row>
    <row r="4279" spans="1:19" hidden="1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74</v>
      </c>
      <c r="R4279" s="153" t="s">
        <v>780</v>
      </c>
      <c r="S4279" s="150"/>
    </row>
    <row r="4280" spans="1:19" hidden="1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74</v>
      </c>
      <c r="R4280" s="153" t="s">
        <v>780</v>
      </c>
      <c r="S4280" s="150"/>
    </row>
    <row r="4281" spans="1:19" hidden="1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74</v>
      </c>
      <c r="R4281" s="153" t="s">
        <v>780</v>
      </c>
      <c r="S4281" s="150"/>
    </row>
    <row r="4282" spans="1:19" hidden="1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74</v>
      </c>
      <c r="R4282" s="153" t="s">
        <v>780</v>
      </c>
      <c r="S4282" s="150"/>
    </row>
    <row r="4283" spans="1:19" hidden="1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74</v>
      </c>
      <c r="R4283" s="153" t="s">
        <v>780</v>
      </c>
      <c r="S4283" s="150"/>
    </row>
    <row r="4284" spans="1:19" hidden="1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74</v>
      </c>
      <c r="R4284" s="153" t="s">
        <v>780</v>
      </c>
      <c r="S4284" s="150"/>
    </row>
    <row r="4285" spans="1:19" hidden="1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74</v>
      </c>
      <c r="R4285" s="153" t="s">
        <v>780</v>
      </c>
      <c r="S4285" s="150"/>
    </row>
    <row r="4286" spans="1:19" hidden="1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74</v>
      </c>
      <c r="R4286" s="153" t="s">
        <v>780</v>
      </c>
      <c r="S4286" s="150"/>
    </row>
    <row r="4287" spans="1:19" hidden="1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74</v>
      </c>
      <c r="R4287" s="153" t="s">
        <v>780</v>
      </c>
      <c r="S4287" s="150"/>
    </row>
    <row r="4288" spans="1:19" hidden="1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74</v>
      </c>
      <c r="R4288" s="153" t="s">
        <v>780</v>
      </c>
      <c r="S4288" s="150"/>
    </row>
    <row r="4289" spans="1:19" s="149" customFormat="1" hidden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71</v>
      </c>
      <c r="R4289" s="154" t="s">
        <v>515</v>
      </c>
      <c r="S4289" s="150"/>
    </row>
    <row r="4290" spans="1:19" s="149" customFormat="1" hidden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70</v>
      </c>
      <c r="R4290" s="154" t="s">
        <v>780</v>
      </c>
      <c r="S4290" s="150"/>
    </row>
    <row r="4291" spans="1:19" s="149" customFormat="1" hidden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70</v>
      </c>
      <c r="R4291" s="154" t="s">
        <v>780</v>
      </c>
      <c r="S4291" s="150"/>
    </row>
    <row r="4292" spans="1:19" s="149" customFormat="1" hidden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70</v>
      </c>
      <c r="R4292" s="154" t="s">
        <v>780</v>
      </c>
      <c r="S4292" s="150"/>
    </row>
    <row r="4293" spans="1:19" s="149" customFormat="1" hidden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70</v>
      </c>
      <c r="R4293" s="154" t="s">
        <v>780</v>
      </c>
      <c r="S4293" s="150"/>
    </row>
    <row r="4294" spans="1:19" hidden="1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70</v>
      </c>
      <c r="R4294" s="154" t="s">
        <v>410</v>
      </c>
      <c r="S4294" s="150"/>
    </row>
    <row r="4295" spans="1:19" hidden="1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70</v>
      </c>
      <c r="R4295" s="154" t="s">
        <v>410</v>
      </c>
      <c r="S4295" s="150"/>
    </row>
    <row r="4296" spans="1:19" hidden="1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68</v>
      </c>
      <c r="R4296" s="154" t="s">
        <v>1459</v>
      </c>
      <c r="S4296" s="150"/>
    </row>
    <row r="4297" spans="1:19" hidden="1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68</v>
      </c>
      <c r="R4297" s="154" t="s">
        <v>1459</v>
      </c>
      <c r="S4297" s="150"/>
    </row>
    <row r="4298" spans="1:19" hidden="1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68</v>
      </c>
      <c r="R4298" s="154" t="s">
        <v>1459</v>
      </c>
      <c r="S4298" s="150"/>
    </row>
    <row r="4299" spans="1:19" hidden="1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68</v>
      </c>
      <c r="R4299" s="154" t="s">
        <v>1459</v>
      </c>
      <c r="S4299" s="150"/>
    </row>
    <row r="4300" spans="1:19" hidden="1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68</v>
      </c>
      <c r="R4300" s="154" t="s">
        <v>1459</v>
      </c>
      <c r="S4300" s="150"/>
    </row>
    <row r="4301" spans="1:19" hidden="1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68</v>
      </c>
      <c r="R4301" s="154" t="s">
        <v>1459</v>
      </c>
      <c r="S4301" s="150"/>
    </row>
    <row r="4302" spans="1:19" hidden="1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68</v>
      </c>
      <c r="R4302" s="154" t="s">
        <v>1459</v>
      </c>
      <c r="S4302" s="150"/>
    </row>
    <row r="4303" spans="1:19" hidden="1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68</v>
      </c>
      <c r="R4303" s="154" t="s">
        <v>1459</v>
      </c>
      <c r="S4303" s="150"/>
    </row>
    <row r="4304" spans="1:19" hidden="1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68</v>
      </c>
      <c r="R4304" s="154" t="s">
        <v>1459</v>
      </c>
      <c r="S4304" s="150"/>
    </row>
    <row r="4305" spans="1:19" hidden="1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68</v>
      </c>
      <c r="R4305" s="154" t="s">
        <v>1459</v>
      </c>
      <c r="S4305" s="150"/>
    </row>
    <row r="4306" spans="1:19" hidden="1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68</v>
      </c>
      <c r="R4306" s="154" t="s">
        <v>1459</v>
      </c>
      <c r="S4306" s="150"/>
    </row>
    <row r="4307" spans="1:19" hidden="1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68</v>
      </c>
      <c r="R4307" s="154" t="s">
        <v>1459</v>
      </c>
      <c r="S4307" s="150"/>
    </row>
    <row r="4308" spans="1:19" hidden="1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68</v>
      </c>
      <c r="R4308" s="154" t="s">
        <v>1459</v>
      </c>
      <c r="S4308" s="150"/>
    </row>
    <row r="4309" spans="1:19" hidden="1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68</v>
      </c>
      <c r="R4309" s="154" t="s">
        <v>1459</v>
      </c>
      <c r="S4309" s="150"/>
    </row>
    <row r="4310" spans="1:19" hidden="1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68</v>
      </c>
      <c r="R4310" s="154" t="s">
        <v>1459</v>
      </c>
      <c r="S4310" s="150"/>
    </row>
    <row r="4311" spans="1:19" hidden="1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68</v>
      </c>
      <c r="R4311" s="154" t="s">
        <v>1459</v>
      </c>
      <c r="S4311" s="150"/>
    </row>
    <row r="4312" spans="1:19" hidden="1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68</v>
      </c>
      <c r="R4312" s="154" t="s">
        <v>1459</v>
      </c>
      <c r="S4312" s="150"/>
    </row>
    <row r="4313" spans="1:19" hidden="1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68</v>
      </c>
      <c r="R4313" s="154" t="s">
        <v>1459</v>
      </c>
      <c r="S4313" s="150"/>
    </row>
    <row r="4314" spans="1:19" hidden="1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68</v>
      </c>
      <c r="R4314" s="154" t="s">
        <v>1459</v>
      </c>
      <c r="S4314" s="150"/>
    </row>
    <row r="4315" spans="1:19" hidden="1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68</v>
      </c>
      <c r="R4315" s="154" t="s">
        <v>1459</v>
      </c>
      <c r="S4315" s="150"/>
    </row>
    <row r="4316" spans="1:19" hidden="1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68</v>
      </c>
      <c r="R4316" s="154" t="s">
        <v>1459</v>
      </c>
      <c r="S4316" s="150"/>
    </row>
    <row r="4317" spans="1:19" hidden="1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68</v>
      </c>
      <c r="R4317" s="154" t="s">
        <v>489</v>
      </c>
      <c r="S4317" s="150"/>
    </row>
    <row r="4318" spans="1:19" hidden="1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68</v>
      </c>
      <c r="R4318" s="154" t="s">
        <v>489</v>
      </c>
      <c r="S4318" s="150"/>
    </row>
    <row r="4319" spans="1:19" hidden="1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68</v>
      </c>
      <c r="R4319" s="154" t="s">
        <v>489</v>
      </c>
      <c r="S4319" s="150"/>
    </row>
    <row r="4320" spans="1:19" hidden="1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68</v>
      </c>
      <c r="R4320" s="154" t="s">
        <v>489</v>
      </c>
      <c r="S4320" s="150"/>
    </row>
    <row r="4321" spans="1:19" hidden="1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68</v>
      </c>
      <c r="R4321" s="154" t="s">
        <v>489</v>
      </c>
      <c r="S4321" s="150"/>
    </row>
    <row r="4322" spans="1:19" hidden="1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68</v>
      </c>
      <c r="R4322" s="154" t="s">
        <v>489</v>
      </c>
      <c r="S4322" s="150"/>
    </row>
    <row r="4323" spans="1:19" hidden="1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68</v>
      </c>
      <c r="R4323" s="154" t="s">
        <v>489</v>
      </c>
      <c r="S4323" s="150"/>
    </row>
    <row r="4324" spans="1:19" hidden="1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68</v>
      </c>
      <c r="R4324" s="154" t="s">
        <v>489</v>
      </c>
      <c r="S4324" s="150"/>
    </row>
    <row r="4325" spans="1:19" hidden="1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68</v>
      </c>
      <c r="R4325" s="154" t="s">
        <v>489</v>
      </c>
      <c r="S4325" s="150"/>
    </row>
    <row r="4326" spans="1:19" hidden="1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68</v>
      </c>
      <c r="R4326" s="154" t="s">
        <v>489</v>
      </c>
      <c r="S4326" s="150"/>
    </row>
    <row r="4327" spans="1:19" hidden="1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68</v>
      </c>
      <c r="R4327" s="154" t="s">
        <v>489</v>
      </c>
      <c r="S4327" s="150"/>
    </row>
    <row r="4328" spans="1:19" hidden="1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68</v>
      </c>
      <c r="R4328" s="154" t="s">
        <v>489</v>
      </c>
      <c r="S4328" s="150"/>
    </row>
    <row r="4329" spans="1:19" hidden="1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68</v>
      </c>
      <c r="R4329" s="154" t="s">
        <v>489</v>
      </c>
      <c r="S4329" s="150"/>
    </row>
    <row r="4330" spans="1:19" hidden="1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68</v>
      </c>
      <c r="R4330" s="154" t="s">
        <v>489</v>
      </c>
      <c r="S4330" s="150"/>
    </row>
    <row r="4331" spans="1:19" hidden="1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68</v>
      </c>
      <c r="R4331" s="154" t="s">
        <v>489</v>
      </c>
      <c r="S4331" s="150"/>
    </row>
    <row r="4332" spans="1:19" hidden="1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68</v>
      </c>
      <c r="R4332" s="154" t="s">
        <v>489</v>
      </c>
      <c r="S4332" s="150"/>
    </row>
    <row r="4333" spans="1:19" hidden="1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68</v>
      </c>
      <c r="R4333" s="154" t="s">
        <v>489</v>
      </c>
      <c r="S4333" s="150"/>
    </row>
    <row r="4334" spans="1:19" hidden="1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68</v>
      </c>
      <c r="R4334" s="154" t="s">
        <v>489</v>
      </c>
      <c r="S4334" s="150"/>
    </row>
    <row r="4335" spans="1:19" hidden="1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68</v>
      </c>
      <c r="R4335" s="154" t="s">
        <v>489</v>
      </c>
      <c r="S4335" s="150"/>
    </row>
    <row r="4336" spans="1:19" hidden="1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68</v>
      </c>
      <c r="R4336" s="154" t="s">
        <v>489</v>
      </c>
      <c r="S4336" s="150"/>
    </row>
    <row r="4337" spans="1:19" hidden="1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68</v>
      </c>
      <c r="R4337" s="154" t="s">
        <v>489</v>
      </c>
      <c r="S4337" s="150"/>
    </row>
    <row r="4338" spans="1:19" hidden="1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68</v>
      </c>
      <c r="R4338" s="154" t="s">
        <v>489</v>
      </c>
      <c r="S4338" s="150"/>
    </row>
    <row r="4339" spans="1:19" hidden="1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68</v>
      </c>
      <c r="R4339" s="154" t="s">
        <v>489</v>
      </c>
      <c r="S4339" s="150"/>
    </row>
    <row r="4340" spans="1:19" hidden="1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68</v>
      </c>
      <c r="R4340" s="154" t="s">
        <v>489</v>
      </c>
      <c r="S4340" s="150"/>
    </row>
    <row r="4341" spans="1:19" hidden="1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68</v>
      </c>
      <c r="R4341" s="156" t="s">
        <v>1459</v>
      </c>
      <c r="S4341" s="150"/>
    </row>
    <row r="4342" spans="1:19" hidden="1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68</v>
      </c>
      <c r="R4342" s="156" t="s">
        <v>1459</v>
      </c>
      <c r="S4342" s="150"/>
    </row>
    <row r="4343" spans="1:19" hidden="1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66</v>
      </c>
      <c r="R4343" s="156" t="s">
        <v>410</v>
      </c>
      <c r="S4343" s="150"/>
    </row>
    <row r="4344" spans="1:19" hidden="1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66</v>
      </c>
      <c r="R4344" s="156" t="s">
        <v>410</v>
      </c>
      <c r="S4344" s="150"/>
    </row>
    <row r="4345" spans="1:19" hidden="1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66</v>
      </c>
      <c r="R4345" s="156" t="s">
        <v>489</v>
      </c>
      <c r="S4345" s="150"/>
    </row>
    <row r="4346" spans="1:19" hidden="1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66</v>
      </c>
      <c r="R4346" s="156" t="s">
        <v>489</v>
      </c>
      <c r="S4346" s="150"/>
    </row>
    <row r="4347" spans="1:19" hidden="1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66</v>
      </c>
      <c r="R4347" s="156" t="s">
        <v>489</v>
      </c>
      <c r="S4347" s="150"/>
    </row>
    <row r="4348" spans="1:19" hidden="1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66</v>
      </c>
      <c r="R4348" s="156" t="s">
        <v>489</v>
      </c>
      <c r="S4348" s="150"/>
    </row>
    <row r="4349" spans="1:19" hidden="1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66</v>
      </c>
      <c r="R4349" s="156" t="s">
        <v>489</v>
      </c>
      <c r="S4349" s="150"/>
    </row>
    <row r="4350" spans="1:19" hidden="1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66</v>
      </c>
      <c r="R4350" s="156" t="s">
        <v>489</v>
      </c>
      <c r="S4350" s="150"/>
    </row>
    <row r="4351" spans="1:19" hidden="1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66</v>
      </c>
      <c r="R4351" s="156" t="s">
        <v>489</v>
      </c>
      <c r="S4351" s="150"/>
    </row>
    <row r="4352" spans="1:19" hidden="1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66</v>
      </c>
      <c r="R4352" s="156" t="s">
        <v>489</v>
      </c>
      <c r="S4352" s="150"/>
    </row>
    <row r="4353" spans="1:19" hidden="1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66</v>
      </c>
      <c r="R4353" s="156" t="s">
        <v>489</v>
      </c>
      <c r="S4353" s="150"/>
    </row>
    <row r="4354" spans="1:19" hidden="1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66</v>
      </c>
      <c r="R4354" s="156" t="s">
        <v>489</v>
      </c>
      <c r="S4354" s="150"/>
    </row>
    <row r="4355" spans="1:19" hidden="1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66</v>
      </c>
      <c r="R4355" s="156" t="s">
        <v>489</v>
      </c>
      <c r="S4355" s="150"/>
    </row>
    <row r="4356" spans="1:19" hidden="1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66</v>
      </c>
      <c r="R4356" s="156" t="s">
        <v>489</v>
      </c>
      <c r="S4356" s="150"/>
    </row>
    <row r="4357" spans="1:19" hidden="1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66</v>
      </c>
      <c r="R4357" s="157" t="s">
        <v>489</v>
      </c>
      <c r="S4357" s="150"/>
    </row>
    <row r="4358" spans="1:19" hidden="1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66</v>
      </c>
      <c r="R4358" s="157" t="s">
        <v>489</v>
      </c>
      <c r="S4358" s="150"/>
    </row>
    <row r="4359" spans="1:19" hidden="1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66</v>
      </c>
      <c r="R4359" s="156" t="s">
        <v>780</v>
      </c>
      <c r="S4359" s="150"/>
    </row>
    <row r="4360" spans="1:19" hidden="1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66</v>
      </c>
      <c r="R4360" s="156" t="s">
        <v>780</v>
      </c>
      <c r="S4360" s="150"/>
    </row>
    <row r="4361" spans="1:19" hidden="1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66</v>
      </c>
      <c r="R4361" s="156" t="s">
        <v>780</v>
      </c>
      <c r="S4361" s="150"/>
    </row>
    <row r="4362" spans="1:19" hidden="1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66</v>
      </c>
      <c r="R4362" s="156" t="s">
        <v>780</v>
      </c>
      <c r="S4362" s="150"/>
    </row>
    <row r="4363" spans="1:19" hidden="1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66</v>
      </c>
      <c r="R4363" s="156" t="s">
        <v>780</v>
      </c>
      <c r="S4363" s="150"/>
    </row>
    <row r="4364" spans="1:19" hidden="1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66</v>
      </c>
      <c r="R4364" s="156" t="s">
        <v>780</v>
      </c>
      <c r="S4364" s="150"/>
    </row>
    <row r="4365" spans="1:19" hidden="1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66</v>
      </c>
      <c r="R4365" s="156" t="s">
        <v>780</v>
      </c>
      <c r="S4365" s="150"/>
    </row>
    <row r="4366" spans="1:19" hidden="1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66</v>
      </c>
      <c r="R4366" s="156" t="s">
        <v>780</v>
      </c>
      <c r="S4366" s="150"/>
    </row>
    <row r="4367" spans="1:19" hidden="1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66</v>
      </c>
      <c r="R4367" s="156" t="s">
        <v>780</v>
      </c>
      <c r="S4367" s="150"/>
    </row>
    <row r="4368" spans="1:19" hidden="1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66</v>
      </c>
      <c r="R4368" s="156" t="s">
        <v>780</v>
      </c>
      <c r="S4368" s="150"/>
    </row>
    <row r="4369" spans="1:19" hidden="1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66</v>
      </c>
      <c r="R4369" s="156" t="s">
        <v>780</v>
      </c>
      <c r="S4369" s="150"/>
    </row>
    <row r="4370" spans="1:19" hidden="1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66</v>
      </c>
      <c r="R4370" s="156" t="s">
        <v>780</v>
      </c>
      <c r="S4370" s="150"/>
    </row>
    <row r="4371" spans="1:19" s="149" customFormat="1" hidden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64</v>
      </c>
      <c r="R4371" s="157" t="s">
        <v>489</v>
      </c>
      <c r="S4371" s="150"/>
    </row>
    <row r="4372" spans="1:19" s="149" customFormat="1" hidden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64</v>
      </c>
      <c r="R4372" s="157" t="s">
        <v>489</v>
      </c>
      <c r="S4372" s="150"/>
    </row>
    <row r="4373" spans="1:19" s="149" customFormat="1" hidden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64</v>
      </c>
      <c r="R4373" s="157" t="s">
        <v>489</v>
      </c>
      <c r="S4373" s="150"/>
    </row>
    <row r="4374" spans="1:19" s="149" customFormat="1" hidden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64</v>
      </c>
      <c r="R4374" s="157" t="s">
        <v>489</v>
      </c>
      <c r="S4374" s="150"/>
    </row>
    <row r="4375" spans="1:19" hidden="1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59</v>
      </c>
      <c r="R4375" s="158" t="s">
        <v>489</v>
      </c>
      <c r="S4375" s="150"/>
    </row>
    <row r="4376" spans="1:19" hidden="1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59</v>
      </c>
      <c r="R4376" s="159" t="s">
        <v>415</v>
      </c>
      <c r="S4376" s="150"/>
    </row>
    <row r="4377" spans="1:19" hidden="1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59</v>
      </c>
      <c r="R4377" s="159" t="s">
        <v>415</v>
      </c>
      <c r="S4377" s="150"/>
    </row>
    <row r="4378" spans="1:19" hidden="1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59</v>
      </c>
      <c r="R4378" s="159" t="s">
        <v>856</v>
      </c>
      <c r="S4378" s="150"/>
    </row>
    <row r="4379" spans="1:19" hidden="1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59</v>
      </c>
      <c r="R4379" s="159" t="s">
        <v>856</v>
      </c>
      <c r="S4379" s="150"/>
    </row>
    <row r="4380" spans="1:19" hidden="1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58</v>
      </c>
      <c r="R4380" s="159" t="s">
        <v>5709</v>
      </c>
      <c r="S4380" s="150"/>
    </row>
    <row r="4381" spans="1:19" hidden="1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58</v>
      </c>
      <c r="R4381" s="159" t="s">
        <v>5709</v>
      </c>
      <c r="S4381" s="150"/>
    </row>
    <row r="4382" spans="1:19" hidden="1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58</v>
      </c>
      <c r="R4382" s="159" t="s">
        <v>5709</v>
      </c>
      <c r="S4382" s="150"/>
    </row>
    <row r="4383" spans="1:19" hidden="1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58</v>
      </c>
      <c r="R4383" s="159" t="s">
        <v>5709</v>
      </c>
      <c r="S4383" s="150"/>
    </row>
    <row r="4384" spans="1:19" hidden="1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58</v>
      </c>
      <c r="R4384" s="159" t="s">
        <v>5709</v>
      </c>
      <c r="S4384" s="150"/>
    </row>
    <row r="4385" spans="1:19" hidden="1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58</v>
      </c>
      <c r="R4385" s="159" t="s">
        <v>5709</v>
      </c>
      <c r="S4385" s="150"/>
    </row>
    <row r="4386" spans="1:19" hidden="1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58</v>
      </c>
      <c r="R4386" s="159" t="s">
        <v>5709</v>
      </c>
      <c r="S4386" s="150"/>
    </row>
    <row r="4387" spans="1:19" hidden="1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58</v>
      </c>
      <c r="R4387" s="159" t="s">
        <v>5709</v>
      </c>
      <c r="S4387" s="150"/>
    </row>
    <row r="4388" spans="1:19" hidden="1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58</v>
      </c>
      <c r="R4388" s="159" t="s">
        <v>5709</v>
      </c>
      <c r="S4388" s="150"/>
    </row>
    <row r="4389" spans="1:19" hidden="1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58</v>
      </c>
      <c r="R4389" s="159" t="s">
        <v>5709</v>
      </c>
      <c r="S4389" s="150"/>
    </row>
    <row r="4390" spans="1:19" hidden="1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58</v>
      </c>
      <c r="R4390" s="159" t="s">
        <v>5709</v>
      </c>
      <c r="S4390" s="150"/>
    </row>
    <row r="4391" spans="1:19" hidden="1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58</v>
      </c>
      <c r="R4391" s="159" t="s">
        <v>5709</v>
      </c>
      <c r="S4391" s="150"/>
    </row>
    <row r="4392" spans="1:19" hidden="1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55</v>
      </c>
      <c r="R4392" s="159" t="s">
        <v>489</v>
      </c>
      <c r="S4392" s="150"/>
    </row>
    <row r="4393" spans="1:19" hidden="1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55</v>
      </c>
      <c r="R4393" s="159" t="s">
        <v>489</v>
      </c>
      <c r="S4393" s="150"/>
    </row>
    <row r="4394" spans="1:19" hidden="1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55</v>
      </c>
      <c r="R4394" s="159" t="s">
        <v>489</v>
      </c>
      <c r="S4394" s="150"/>
    </row>
    <row r="4395" spans="1:19" hidden="1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55</v>
      </c>
      <c r="R4395" s="159" t="s">
        <v>489</v>
      </c>
      <c r="S4395" s="150"/>
    </row>
    <row r="4396" spans="1:19" hidden="1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55</v>
      </c>
      <c r="R4396" s="159" t="s">
        <v>489</v>
      </c>
      <c r="S4396" s="150"/>
    </row>
    <row r="4397" spans="1:19" hidden="1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55</v>
      </c>
      <c r="R4397" s="159" t="s">
        <v>489</v>
      </c>
      <c r="S4397" s="150"/>
    </row>
    <row r="4398" spans="1:19" hidden="1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55</v>
      </c>
      <c r="R4398" s="159" t="s">
        <v>6563</v>
      </c>
      <c r="S4398" s="150"/>
    </row>
    <row r="4399" spans="1:19" hidden="1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55</v>
      </c>
      <c r="R4399" s="159" t="s">
        <v>6563</v>
      </c>
      <c r="S4399" s="150"/>
    </row>
    <row r="4400" spans="1:19" hidden="1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55</v>
      </c>
      <c r="R4400" s="159" t="s">
        <v>6563</v>
      </c>
      <c r="S4400" s="150"/>
    </row>
    <row r="4401" spans="1:19" hidden="1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55</v>
      </c>
      <c r="R4401" s="159" t="s">
        <v>6563</v>
      </c>
      <c r="S4401" s="150"/>
    </row>
    <row r="4402" spans="1:19" hidden="1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55</v>
      </c>
      <c r="R4402" s="159" t="s">
        <v>6563</v>
      </c>
      <c r="S4402" s="150"/>
    </row>
    <row r="4403" spans="1:19" hidden="1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55</v>
      </c>
      <c r="R4403" s="159" t="s">
        <v>6563</v>
      </c>
      <c r="S4403" s="150"/>
    </row>
    <row r="4404" spans="1:19" hidden="1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55</v>
      </c>
      <c r="R4404" s="159" t="s">
        <v>6563</v>
      </c>
      <c r="S4404" s="150"/>
    </row>
    <row r="4405" spans="1:19" hidden="1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55</v>
      </c>
      <c r="R4405" s="159" t="s">
        <v>6563</v>
      </c>
      <c r="S4405" s="150"/>
    </row>
    <row r="4406" spans="1:19" hidden="1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55</v>
      </c>
      <c r="R4406" s="159" t="s">
        <v>6563</v>
      </c>
      <c r="S4406" s="150"/>
    </row>
    <row r="4407" spans="1:19" hidden="1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55</v>
      </c>
      <c r="R4407" s="159" t="s">
        <v>6563</v>
      </c>
      <c r="S4407" s="150"/>
    </row>
    <row r="4408" spans="1:19" hidden="1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55</v>
      </c>
      <c r="R4408" s="159" t="s">
        <v>6563</v>
      </c>
      <c r="S4408" s="150"/>
    </row>
    <row r="4409" spans="1:19" hidden="1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55</v>
      </c>
      <c r="R4409" s="159" t="s">
        <v>6563</v>
      </c>
      <c r="S4409" s="150"/>
    </row>
    <row r="4410" spans="1:19" hidden="1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55</v>
      </c>
      <c r="R4410" s="159" t="s">
        <v>6563</v>
      </c>
      <c r="S4410" s="150"/>
    </row>
    <row r="4411" spans="1:19" hidden="1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55</v>
      </c>
      <c r="R4411" s="159" t="s">
        <v>6563</v>
      </c>
      <c r="S4411" s="150"/>
    </row>
    <row r="4412" spans="1:19" hidden="1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55</v>
      </c>
      <c r="R4412" s="159" t="s">
        <v>6563</v>
      </c>
      <c r="S4412" s="150"/>
    </row>
    <row r="4413" spans="1:19" hidden="1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55</v>
      </c>
      <c r="R4413" s="159" t="s">
        <v>6563</v>
      </c>
      <c r="S4413" s="150"/>
    </row>
    <row r="4414" spans="1:19" hidden="1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55</v>
      </c>
      <c r="R4414" s="159" t="s">
        <v>6563</v>
      </c>
      <c r="S4414" s="150"/>
    </row>
    <row r="4415" spans="1:19" hidden="1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55</v>
      </c>
      <c r="R4415" s="159" t="s">
        <v>6563</v>
      </c>
      <c r="S4415" s="150"/>
    </row>
    <row r="4416" spans="1:19" hidden="1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55</v>
      </c>
      <c r="R4416" s="159" t="s">
        <v>6563</v>
      </c>
      <c r="S4416" s="150"/>
    </row>
    <row r="4417" spans="1:19" hidden="1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55</v>
      </c>
      <c r="R4417" s="159" t="s">
        <v>6563</v>
      </c>
      <c r="S4417" s="150"/>
    </row>
    <row r="4418" spans="1:19" hidden="1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55</v>
      </c>
      <c r="R4418" s="159" t="s">
        <v>498</v>
      </c>
      <c r="S4418" s="150"/>
    </row>
    <row r="4419" spans="1:19" hidden="1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55</v>
      </c>
      <c r="R4419" s="159" t="s">
        <v>498</v>
      </c>
      <c r="S4419" s="150"/>
    </row>
    <row r="4420" spans="1:19" hidden="1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55</v>
      </c>
      <c r="R4420" s="159" t="s">
        <v>498</v>
      </c>
      <c r="S4420" s="150"/>
    </row>
    <row r="4421" spans="1:19" hidden="1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54</v>
      </c>
      <c r="R4421" s="159" t="s">
        <v>6573</v>
      </c>
      <c r="S4421" s="150"/>
    </row>
    <row r="4422" spans="1:19" hidden="1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53</v>
      </c>
      <c r="R4422" s="161" t="s">
        <v>764</v>
      </c>
      <c r="S4422" s="150"/>
    </row>
    <row r="4423" spans="1:19" hidden="1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52</v>
      </c>
      <c r="R4423" s="161" t="s">
        <v>5709</v>
      </c>
      <c r="S4423" s="150"/>
    </row>
    <row r="4424" spans="1:19" hidden="1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52</v>
      </c>
      <c r="R4424" s="161" t="s">
        <v>5709</v>
      </c>
      <c r="S4424" s="150"/>
    </row>
    <row r="4425" spans="1:19" hidden="1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52</v>
      </c>
      <c r="R4425" s="161" t="s">
        <v>5709</v>
      </c>
      <c r="S4425" s="150"/>
    </row>
    <row r="4426" spans="1:19" hidden="1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52</v>
      </c>
      <c r="R4426" s="161" t="s">
        <v>5709</v>
      </c>
      <c r="S4426" s="150"/>
    </row>
    <row r="4427" spans="1:19" hidden="1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52</v>
      </c>
      <c r="R4427" s="161" t="s">
        <v>5709</v>
      </c>
      <c r="S4427" s="150"/>
    </row>
    <row r="4428" spans="1:19" hidden="1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52</v>
      </c>
      <c r="R4428" s="161" t="s">
        <v>5709</v>
      </c>
      <c r="S4428" s="150"/>
    </row>
    <row r="4429" spans="1:19" hidden="1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52</v>
      </c>
      <c r="R4429" s="161" t="s">
        <v>5709</v>
      </c>
      <c r="S4429" s="150"/>
    </row>
    <row r="4430" spans="1:19" hidden="1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52</v>
      </c>
      <c r="R4430" s="161" t="s">
        <v>5709</v>
      </c>
      <c r="S4430" s="150"/>
    </row>
    <row r="4431" spans="1:19" hidden="1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52</v>
      </c>
      <c r="R4431" s="161" t="s">
        <v>5709</v>
      </c>
      <c r="S4431" s="150"/>
    </row>
    <row r="4432" spans="1:19" hidden="1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52</v>
      </c>
      <c r="R4432" s="161" t="s">
        <v>5709</v>
      </c>
      <c r="S4432" s="150"/>
    </row>
    <row r="4433" spans="1:19" hidden="1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52</v>
      </c>
      <c r="R4433" s="161" t="s">
        <v>5709</v>
      </c>
      <c r="S4433" s="150"/>
    </row>
    <row r="4434" spans="1:19" hidden="1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52</v>
      </c>
      <c r="R4434" s="161" t="s">
        <v>5709</v>
      </c>
      <c r="S4434" s="150"/>
    </row>
    <row r="4435" spans="1:19" hidden="1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52</v>
      </c>
      <c r="R4435" s="161" t="s">
        <v>5709</v>
      </c>
      <c r="S4435" s="150"/>
    </row>
    <row r="4436" spans="1:19" hidden="1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52</v>
      </c>
      <c r="R4436" s="161" t="s">
        <v>5709</v>
      </c>
      <c r="S4436" s="150"/>
    </row>
    <row r="4437" spans="1:19" hidden="1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52</v>
      </c>
      <c r="R4437" s="161" t="s">
        <v>5709</v>
      </c>
      <c r="S4437" s="150"/>
    </row>
    <row r="4438" spans="1:19" hidden="1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52</v>
      </c>
      <c r="R4438" s="161" t="s">
        <v>5709</v>
      </c>
      <c r="S4438" s="150"/>
    </row>
    <row r="4439" spans="1:19" hidden="1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52</v>
      </c>
      <c r="R4439" s="161" t="s">
        <v>5709</v>
      </c>
      <c r="S4439" s="150"/>
    </row>
    <row r="4440" spans="1:19" hidden="1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52</v>
      </c>
      <c r="R4440" s="161" t="s">
        <v>5709</v>
      </c>
      <c r="S4440" s="150"/>
    </row>
    <row r="4441" spans="1:19" hidden="1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52</v>
      </c>
      <c r="R4441" s="161" t="s">
        <v>5709</v>
      </c>
      <c r="S4441" s="150"/>
    </row>
    <row r="4442" spans="1:19" hidden="1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52</v>
      </c>
      <c r="R4442" s="161" t="s">
        <v>5709</v>
      </c>
      <c r="S4442" s="150"/>
    </row>
    <row r="4443" spans="1:19" hidden="1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52</v>
      </c>
      <c r="R4443" s="161" t="s">
        <v>5709</v>
      </c>
      <c r="S4443" s="150"/>
    </row>
    <row r="4444" spans="1:19" hidden="1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52</v>
      </c>
      <c r="R4444" s="161" t="s">
        <v>5709</v>
      </c>
      <c r="S4444" s="150"/>
    </row>
    <row r="4445" spans="1:19" hidden="1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52</v>
      </c>
      <c r="R4445" s="161" t="s">
        <v>5709</v>
      </c>
      <c r="S4445" s="150"/>
    </row>
    <row r="4446" spans="1:19" hidden="1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52</v>
      </c>
      <c r="R4446" s="161" t="s">
        <v>5709</v>
      </c>
      <c r="S4446" s="150"/>
    </row>
    <row r="4447" spans="1:19" hidden="1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52</v>
      </c>
      <c r="R4447" s="161" t="s">
        <v>780</v>
      </c>
      <c r="S4447" s="150"/>
    </row>
    <row r="4448" spans="1:19" hidden="1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52</v>
      </c>
      <c r="R4448" s="161" t="s">
        <v>542</v>
      </c>
      <c r="S4448" s="150"/>
    </row>
    <row r="4449" spans="1:19" hidden="1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52</v>
      </c>
      <c r="R4449" s="161" t="s">
        <v>542</v>
      </c>
      <c r="S4449" s="150"/>
    </row>
    <row r="4450" spans="1:19" hidden="1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51</v>
      </c>
      <c r="R4450" s="163" t="s">
        <v>1459</v>
      </c>
      <c r="S4450" s="150"/>
    </row>
    <row r="4451" spans="1:19" hidden="1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51</v>
      </c>
      <c r="R4451" s="163" t="s">
        <v>1459</v>
      </c>
      <c r="S4451" s="150"/>
    </row>
    <row r="4452" spans="1:19" hidden="1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51</v>
      </c>
      <c r="R4452" s="163" t="s">
        <v>1459</v>
      </c>
      <c r="S4452" s="150"/>
    </row>
    <row r="4453" spans="1:19" hidden="1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51</v>
      </c>
      <c r="R4453" s="163" t="s">
        <v>1459</v>
      </c>
      <c r="S4453" s="150"/>
    </row>
    <row r="4454" spans="1:19" hidden="1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51</v>
      </c>
      <c r="R4454" s="163" t="s">
        <v>1459</v>
      </c>
      <c r="S4454" s="150"/>
    </row>
    <row r="4455" spans="1:19" hidden="1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51</v>
      </c>
      <c r="R4455" s="163" t="s">
        <v>1459</v>
      </c>
      <c r="S4455" s="150"/>
    </row>
    <row r="4456" spans="1:19" hidden="1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51</v>
      </c>
      <c r="R4456" s="163" t="s">
        <v>1459</v>
      </c>
      <c r="S4456" s="150"/>
    </row>
    <row r="4457" spans="1:19" hidden="1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51</v>
      </c>
      <c r="R4457" s="163" t="s">
        <v>1459</v>
      </c>
      <c r="S4457" s="150"/>
    </row>
    <row r="4458" spans="1:19" hidden="1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51</v>
      </c>
      <c r="R4458" s="163" t="s">
        <v>1459</v>
      </c>
      <c r="S4458" s="150"/>
    </row>
    <row r="4459" spans="1:19" hidden="1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51</v>
      </c>
      <c r="R4459" s="163" t="s">
        <v>1459</v>
      </c>
      <c r="S4459" s="150"/>
    </row>
    <row r="4460" spans="1:19" hidden="1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51</v>
      </c>
      <c r="R4460" s="163" t="s">
        <v>1459</v>
      </c>
      <c r="S4460" s="150"/>
    </row>
    <row r="4461" spans="1:19" hidden="1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51</v>
      </c>
      <c r="R4461" s="163" t="s">
        <v>1459</v>
      </c>
      <c r="S4461" s="150"/>
    </row>
    <row r="4462" spans="1:19" hidden="1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51</v>
      </c>
      <c r="R4462" s="163" t="s">
        <v>1459</v>
      </c>
      <c r="S4462" s="150"/>
    </row>
    <row r="4463" spans="1:19" hidden="1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51</v>
      </c>
      <c r="R4463" s="163" t="s">
        <v>1459</v>
      </c>
      <c r="S4463" s="150"/>
    </row>
    <row r="4464" spans="1:19" hidden="1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51</v>
      </c>
      <c r="R4464" s="163" t="s">
        <v>1459</v>
      </c>
      <c r="S4464" s="150"/>
    </row>
    <row r="4465" spans="1:19" hidden="1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51</v>
      </c>
      <c r="R4465" s="163" t="s">
        <v>1459</v>
      </c>
      <c r="S4465" s="150"/>
    </row>
    <row r="4466" spans="1:19" hidden="1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51</v>
      </c>
      <c r="R4466" s="163" t="s">
        <v>1459</v>
      </c>
      <c r="S4466" s="150"/>
    </row>
    <row r="4467" spans="1:19" hidden="1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51</v>
      </c>
      <c r="R4467" s="163" t="s">
        <v>1459</v>
      </c>
      <c r="S4467" s="150"/>
    </row>
    <row r="4468" spans="1:19" hidden="1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51</v>
      </c>
      <c r="R4468" s="163" t="s">
        <v>1459</v>
      </c>
      <c r="S4468" s="150"/>
    </row>
    <row r="4469" spans="1:19" hidden="1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51</v>
      </c>
      <c r="R4469" s="163" t="s">
        <v>1459</v>
      </c>
      <c r="S4469" s="150"/>
    </row>
    <row r="4470" spans="1:19" hidden="1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51</v>
      </c>
      <c r="R4470" s="163" t="s">
        <v>1459</v>
      </c>
      <c r="S4470" s="150"/>
    </row>
    <row r="4471" spans="1:19" hidden="1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51</v>
      </c>
      <c r="R4471" s="163" t="s">
        <v>1459</v>
      </c>
      <c r="S4471" s="150"/>
    </row>
    <row r="4472" spans="1:19" hidden="1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51</v>
      </c>
      <c r="R4472" s="163" t="s">
        <v>1459</v>
      </c>
      <c r="S4472" s="150"/>
    </row>
    <row r="4473" spans="1:19" hidden="1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51</v>
      </c>
      <c r="R4473" s="163" t="s">
        <v>1459</v>
      </c>
      <c r="S4473" s="150"/>
    </row>
    <row r="4474" spans="1:19" hidden="1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51</v>
      </c>
      <c r="R4474" s="163" t="s">
        <v>1459</v>
      </c>
      <c r="S4474" s="150"/>
    </row>
    <row r="4475" spans="1:19" hidden="1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51</v>
      </c>
      <c r="R4475" s="163" t="s">
        <v>1459</v>
      </c>
      <c r="S4475" s="150"/>
    </row>
    <row r="4476" spans="1:19" hidden="1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51</v>
      </c>
      <c r="R4476" s="163" t="s">
        <v>1459</v>
      </c>
      <c r="S4476" s="150"/>
    </row>
    <row r="4477" spans="1:19" hidden="1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51</v>
      </c>
      <c r="R4477" s="163" t="s">
        <v>1459</v>
      </c>
      <c r="S4477" s="150"/>
    </row>
    <row r="4478" spans="1:19" hidden="1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51</v>
      </c>
      <c r="R4478" s="163" t="s">
        <v>1459</v>
      </c>
      <c r="S4478" s="150"/>
    </row>
    <row r="4479" spans="1:19" hidden="1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51</v>
      </c>
      <c r="R4479" s="163" t="s">
        <v>1459</v>
      </c>
      <c r="S4479" s="150"/>
    </row>
    <row r="4480" spans="1:19" hidden="1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51</v>
      </c>
      <c r="R4480" s="163" t="s">
        <v>1459</v>
      </c>
      <c r="S4480" s="150"/>
    </row>
    <row r="4481" spans="1:19" hidden="1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51</v>
      </c>
      <c r="R4481" s="163" t="s">
        <v>1459</v>
      </c>
      <c r="S4481" s="150"/>
    </row>
    <row r="4482" spans="1:19" hidden="1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51</v>
      </c>
      <c r="R4482" s="163" t="s">
        <v>1459</v>
      </c>
      <c r="S4482" s="150"/>
    </row>
    <row r="4483" spans="1:19" hidden="1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51</v>
      </c>
      <c r="R4483" s="163" t="s">
        <v>1459</v>
      </c>
      <c r="S4483" s="150"/>
    </row>
    <row r="4484" spans="1:19" hidden="1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51</v>
      </c>
      <c r="R4484" s="163" t="s">
        <v>1459</v>
      </c>
      <c r="S4484" s="150"/>
    </row>
    <row r="4485" spans="1:19" hidden="1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51</v>
      </c>
      <c r="R4485" s="163" t="s">
        <v>489</v>
      </c>
      <c r="S4485" s="150"/>
    </row>
    <row r="4486" spans="1:19" hidden="1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51</v>
      </c>
      <c r="R4486" s="163" t="s">
        <v>489</v>
      </c>
      <c r="S4486" s="150"/>
    </row>
    <row r="4487" spans="1:19" hidden="1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51</v>
      </c>
      <c r="R4487" s="163" t="s">
        <v>489</v>
      </c>
      <c r="S4487" s="150"/>
    </row>
    <row r="4488" spans="1:19" hidden="1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51</v>
      </c>
      <c r="R4488" s="163" t="s">
        <v>489</v>
      </c>
      <c r="S4488" s="150"/>
    </row>
    <row r="4489" spans="1:19" hidden="1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50</v>
      </c>
      <c r="R4489" s="163" t="s">
        <v>489</v>
      </c>
      <c r="S4489" s="150"/>
    </row>
    <row r="4490" spans="1:19" hidden="1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>
        <v>0</v>
      </c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53</v>
      </c>
      <c r="R4490" s="165" t="s">
        <v>498</v>
      </c>
      <c r="S4490" s="150"/>
    </row>
    <row r="4491" spans="1:19" hidden="1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>
        <v>0</v>
      </c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53</v>
      </c>
      <c r="R4491" s="165" t="s">
        <v>498</v>
      </c>
      <c r="S4491" s="150"/>
    </row>
    <row r="4492" spans="1:19" hidden="1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48</v>
      </c>
      <c r="R4492" s="165" t="s">
        <v>6665</v>
      </c>
      <c r="S4492" s="150"/>
    </row>
    <row r="4493" spans="1:19" hidden="1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48</v>
      </c>
      <c r="R4493" s="165" t="s">
        <v>6665</v>
      </c>
      <c r="S4493" s="150"/>
    </row>
    <row r="4494" spans="1:19" hidden="1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48</v>
      </c>
      <c r="R4494" s="165" t="s">
        <v>6665</v>
      </c>
      <c r="S4494" s="150"/>
    </row>
    <row r="4495" spans="1:19" hidden="1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48</v>
      </c>
      <c r="R4495" s="165" t="s">
        <v>6665</v>
      </c>
      <c r="S4495" s="150"/>
    </row>
    <row r="4496" spans="1:19" hidden="1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48</v>
      </c>
      <c r="R4496" s="165" t="s">
        <v>6665</v>
      </c>
      <c r="S4496" s="150"/>
    </row>
    <row r="4497" spans="1:19" hidden="1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48</v>
      </c>
      <c r="R4497" s="165" t="s">
        <v>6665</v>
      </c>
      <c r="S4497" s="150"/>
    </row>
    <row r="4498" spans="1:19" hidden="1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48</v>
      </c>
      <c r="R4498" s="165" t="s">
        <v>6665</v>
      </c>
      <c r="S4498" s="150"/>
    </row>
    <row r="4499" spans="1:19" hidden="1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48</v>
      </c>
      <c r="R4499" s="165" t="s">
        <v>6665</v>
      </c>
      <c r="S4499" s="150"/>
    </row>
    <row r="4500" spans="1:19" hidden="1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48</v>
      </c>
      <c r="R4500" s="165" t="s">
        <v>6665</v>
      </c>
      <c r="S4500" s="150"/>
    </row>
    <row r="4501" spans="1:19" hidden="1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48</v>
      </c>
      <c r="R4501" s="165" t="s">
        <v>6665</v>
      </c>
      <c r="S4501" s="150"/>
    </row>
    <row r="4502" spans="1:19" hidden="1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48</v>
      </c>
      <c r="R4502" s="165" t="s">
        <v>6665</v>
      </c>
      <c r="S4502" s="150"/>
    </row>
    <row r="4503" spans="1:19" hidden="1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48</v>
      </c>
      <c r="R4503" s="165" t="s">
        <v>6665</v>
      </c>
      <c r="S4503" s="150"/>
    </row>
    <row r="4504" spans="1:19" hidden="1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48</v>
      </c>
      <c r="R4504" s="165" t="s">
        <v>6665</v>
      </c>
      <c r="S4504" s="150"/>
    </row>
    <row r="4505" spans="1:19" hidden="1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48</v>
      </c>
      <c r="R4505" s="165" t="s">
        <v>6665</v>
      </c>
      <c r="S4505" s="150"/>
    </row>
    <row r="4506" spans="1:19" hidden="1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48</v>
      </c>
      <c r="R4506" s="165" t="s">
        <v>6665</v>
      </c>
      <c r="S4506" s="150"/>
    </row>
    <row r="4507" spans="1:19" hidden="1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48</v>
      </c>
      <c r="R4507" s="165" t="s">
        <v>6665</v>
      </c>
      <c r="S4507" s="150"/>
    </row>
    <row r="4508" spans="1:19" hidden="1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48</v>
      </c>
      <c r="R4508" s="165" t="s">
        <v>6665</v>
      </c>
      <c r="S4508" s="150"/>
    </row>
    <row r="4509" spans="1:19" hidden="1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48</v>
      </c>
      <c r="R4509" s="165" t="s">
        <v>6665</v>
      </c>
      <c r="S4509" s="150"/>
    </row>
    <row r="4510" spans="1:19" hidden="1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48</v>
      </c>
      <c r="R4510" s="165" t="s">
        <v>6665</v>
      </c>
      <c r="S4510" s="150"/>
    </row>
    <row r="4511" spans="1:19" hidden="1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48</v>
      </c>
      <c r="R4511" s="165" t="s">
        <v>6665</v>
      </c>
      <c r="S4511" s="150"/>
    </row>
    <row r="4512" spans="1:19" hidden="1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48</v>
      </c>
      <c r="R4512" s="165" t="s">
        <v>6665</v>
      </c>
      <c r="S4512" s="150"/>
    </row>
    <row r="4513" spans="1:19" hidden="1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48</v>
      </c>
      <c r="R4513" s="165" t="s">
        <v>1013</v>
      </c>
      <c r="S4513" s="150"/>
    </row>
    <row r="4514" spans="1:19" hidden="1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48</v>
      </c>
      <c r="R4514" s="165" t="s">
        <v>1013</v>
      </c>
      <c r="S4514" s="150"/>
    </row>
    <row r="4515" spans="1:19" hidden="1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48</v>
      </c>
      <c r="R4515" s="165" t="s">
        <v>1013</v>
      </c>
      <c r="S4515" s="150"/>
    </row>
    <row r="4516" spans="1:19" hidden="1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48</v>
      </c>
      <c r="R4516" s="165" t="s">
        <v>1013</v>
      </c>
      <c r="S4516" s="150"/>
    </row>
    <row r="4517" spans="1:19" hidden="1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48</v>
      </c>
      <c r="R4517" s="165" t="s">
        <v>1013</v>
      </c>
      <c r="S4517" s="150"/>
    </row>
    <row r="4518" spans="1:19" hidden="1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48</v>
      </c>
      <c r="R4518" s="165" t="s">
        <v>1013</v>
      </c>
      <c r="S4518" s="150"/>
    </row>
    <row r="4519" spans="1:19" hidden="1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48</v>
      </c>
      <c r="R4519" s="165" t="s">
        <v>1013</v>
      </c>
      <c r="S4519" s="150"/>
    </row>
    <row r="4520" spans="1:19" hidden="1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48</v>
      </c>
      <c r="R4520" s="165" t="s">
        <v>1013</v>
      </c>
      <c r="S4520" s="150"/>
    </row>
    <row r="4521" spans="1:19" hidden="1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48</v>
      </c>
      <c r="R4521" s="165" t="s">
        <v>1013</v>
      </c>
      <c r="S4521" s="150"/>
    </row>
    <row r="4522" spans="1:19" hidden="1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48</v>
      </c>
      <c r="R4522" s="165" t="s">
        <v>1013</v>
      </c>
      <c r="S4522" s="150"/>
    </row>
    <row r="4523" spans="1:19" hidden="1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48</v>
      </c>
      <c r="R4523" s="165" t="s">
        <v>1013</v>
      </c>
      <c r="S4523" s="150"/>
    </row>
    <row r="4524" spans="1:19" hidden="1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48</v>
      </c>
      <c r="R4524" s="165" t="s">
        <v>1013</v>
      </c>
      <c r="S4524" s="150"/>
    </row>
    <row r="4525" spans="1:19" hidden="1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48</v>
      </c>
      <c r="R4525" s="165" t="s">
        <v>1013</v>
      </c>
      <c r="S4525" s="150"/>
    </row>
    <row r="4526" spans="1:19" hidden="1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48</v>
      </c>
      <c r="R4526" s="165" t="s">
        <v>1013</v>
      </c>
      <c r="S4526" s="150"/>
    </row>
    <row r="4527" spans="1:19" hidden="1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48</v>
      </c>
      <c r="R4527" s="165" t="s">
        <v>1013</v>
      </c>
      <c r="S4527" s="150"/>
    </row>
    <row r="4528" spans="1:19" hidden="1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48</v>
      </c>
      <c r="R4528" s="165" t="s">
        <v>1013</v>
      </c>
      <c r="S4528" s="150"/>
    </row>
    <row r="4529" spans="1:19" hidden="1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48</v>
      </c>
      <c r="R4529" s="165" t="s">
        <v>1013</v>
      </c>
      <c r="S4529" s="150"/>
    </row>
    <row r="4530" spans="1:19" hidden="1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48</v>
      </c>
      <c r="R4530" s="165" t="s">
        <v>1013</v>
      </c>
      <c r="S4530" s="150"/>
    </row>
    <row r="4531" spans="1:19" hidden="1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48</v>
      </c>
      <c r="R4531" s="165" t="s">
        <v>1013</v>
      </c>
      <c r="S4531" s="150"/>
    </row>
    <row r="4532" spans="1:19" hidden="1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48</v>
      </c>
      <c r="R4532" s="165" t="s">
        <v>1013</v>
      </c>
      <c r="S4532" s="150"/>
    </row>
    <row r="4533" spans="1:19" hidden="1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48</v>
      </c>
      <c r="R4533" s="165" t="s">
        <v>1013</v>
      </c>
      <c r="S4533" s="150"/>
    </row>
    <row r="4534" spans="1:19" hidden="1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48</v>
      </c>
      <c r="R4534" s="165" t="s">
        <v>1013</v>
      </c>
      <c r="S4534" s="150"/>
    </row>
    <row r="4535" spans="1:19" hidden="1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48</v>
      </c>
      <c r="R4535" s="165" t="s">
        <v>1013</v>
      </c>
      <c r="S4535" s="150"/>
    </row>
    <row r="4536" spans="1:19" hidden="1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48</v>
      </c>
      <c r="R4536" s="165" t="s">
        <v>1013</v>
      </c>
      <c r="S4536" s="150"/>
    </row>
    <row r="4537" spans="1:19" hidden="1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48</v>
      </c>
      <c r="R4537" s="165" t="s">
        <v>1013</v>
      </c>
      <c r="S4537" s="150"/>
    </row>
    <row r="4538" spans="1:19" hidden="1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48</v>
      </c>
      <c r="R4538" s="165" t="s">
        <v>1013</v>
      </c>
      <c r="S4538" s="150"/>
    </row>
    <row r="4539" spans="1:19" hidden="1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48</v>
      </c>
      <c r="R4539" s="165" t="s">
        <v>1013</v>
      </c>
      <c r="S4539" s="150"/>
    </row>
    <row r="4540" spans="1:19" hidden="1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48</v>
      </c>
      <c r="R4540" s="165" t="s">
        <v>1013</v>
      </c>
      <c r="S4540" s="150"/>
    </row>
    <row r="4541" spans="1:19" hidden="1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48</v>
      </c>
      <c r="R4541" s="165" t="s">
        <v>1013</v>
      </c>
      <c r="S4541" s="150"/>
    </row>
    <row r="4542" spans="1:19" hidden="1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48</v>
      </c>
      <c r="R4542" s="165" t="s">
        <v>1013</v>
      </c>
      <c r="S4542" s="150"/>
    </row>
    <row r="4543" spans="1:19" hidden="1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48</v>
      </c>
      <c r="R4543" s="165" t="s">
        <v>1013</v>
      </c>
      <c r="S4543" s="150"/>
    </row>
    <row r="4544" spans="1:19" hidden="1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48</v>
      </c>
      <c r="R4544" s="165" t="s">
        <v>1013</v>
      </c>
      <c r="S4544" s="150"/>
    </row>
    <row r="4545" spans="1:19" hidden="1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48</v>
      </c>
      <c r="R4545" s="165" t="s">
        <v>1013</v>
      </c>
      <c r="S4545" s="150"/>
    </row>
    <row r="4546" spans="1:19" hidden="1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48</v>
      </c>
      <c r="R4546" s="165" t="s">
        <v>1013</v>
      </c>
      <c r="S4546" s="150"/>
    </row>
    <row r="4547" spans="1:19" hidden="1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48</v>
      </c>
      <c r="R4547" s="165" t="s">
        <v>1013</v>
      </c>
      <c r="S4547" s="150"/>
    </row>
    <row r="4548" spans="1:19" hidden="1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48</v>
      </c>
      <c r="R4548" s="165" t="s">
        <v>1013</v>
      </c>
      <c r="S4548" s="150"/>
    </row>
    <row r="4549" spans="1:19" hidden="1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48</v>
      </c>
      <c r="R4549" s="165" t="s">
        <v>1013</v>
      </c>
      <c r="S4549" s="150"/>
    </row>
    <row r="4550" spans="1:19" hidden="1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48</v>
      </c>
      <c r="R4550" s="165" t="s">
        <v>1013</v>
      </c>
      <c r="S4550" s="150"/>
    </row>
    <row r="4551" spans="1:19" hidden="1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48</v>
      </c>
      <c r="R4551" s="165" t="s">
        <v>1013</v>
      </c>
      <c r="S4551" s="150"/>
    </row>
    <row r="4552" spans="1:19" hidden="1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48</v>
      </c>
      <c r="R4552" s="165" t="s">
        <v>1013</v>
      </c>
      <c r="S4552" s="150"/>
    </row>
    <row r="4553" spans="1:19" hidden="1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48</v>
      </c>
      <c r="R4553" s="165" t="s">
        <v>1013</v>
      </c>
      <c r="S4553" s="150"/>
    </row>
    <row r="4554" spans="1:19" hidden="1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48</v>
      </c>
      <c r="R4554" s="165" t="s">
        <v>1013</v>
      </c>
      <c r="S4554" s="150"/>
    </row>
    <row r="4555" spans="1:19" hidden="1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48</v>
      </c>
      <c r="R4555" s="165" t="s">
        <v>1013</v>
      </c>
      <c r="S4555" s="150"/>
    </row>
    <row r="4556" spans="1:19" hidden="1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48</v>
      </c>
      <c r="R4556" s="165" t="s">
        <v>1013</v>
      </c>
      <c r="S4556" s="150"/>
    </row>
    <row r="4557" spans="1:19" hidden="1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48</v>
      </c>
      <c r="R4557" s="165" t="s">
        <v>1013</v>
      </c>
      <c r="S4557" s="150"/>
    </row>
    <row r="4558" spans="1:19" hidden="1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48</v>
      </c>
      <c r="R4558" s="165" t="s">
        <v>1013</v>
      </c>
      <c r="S4558" s="150"/>
    </row>
    <row r="4559" spans="1:19" hidden="1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48</v>
      </c>
      <c r="R4559" s="165" t="s">
        <v>515</v>
      </c>
      <c r="S4559" s="150"/>
    </row>
    <row r="4560" spans="1:19" hidden="1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48</v>
      </c>
      <c r="R4560" s="165" t="s">
        <v>515</v>
      </c>
      <c r="S4560" s="150"/>
    </row>
    <row r="4561" spans="1:19" hidden="1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48</v>
      </c>
      <c r="R4561" s="165" t="s">
        <v>515</v>
      </c>
      <c r="S4561" s="150"/>
    </row>
    <row r="4562" spans="1:19" hidden="1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48</v>
      </c>
      <c r="R4562" s="165" t="s">
        <v>515</v>
      </c>
      <c r="S4562" s="150"/>
    </row>
    <row r="4563" spans="1:19" hidden="1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48</v>
      </c>
      <c r="R4563" s="165" t="s">
        <v>515</v>
      </c>
      <c r="S4563" s="150"/>
    </row>
    <row r="4564" spans="1:19" hidden="1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48</v>
      </c>
      <c r="R4564" s="165" t="s">
        <v>515</v>
      </c>
      <c r="S4564" s="150"/>
    </row>
    <row r="4565" spans="1:19" hidden="1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48</v>
      </c>
      <c r="R4565" s="165" t="s">
        <v>515</v>
      </c>
      <c r="S4565" s="150"/>
    </row>
    <row r="4566" spans="1:19" hidden="1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48</v>
      </c>
      <c r="R4566" s="165" t="s">
        <v>515</v>
      </c>
      <c r="S4566" s="150"/>
    </row>
    <row r="4567" spans="1:19" hidden="1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48</v>
      </c>
      <c r="R4567" s="165" t="s">
        <v>515</v>
      </c>
      <c r="S4567" s="150"/>
    </row>
    <row r="4568" spans="1:19" hidden="1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48</v>
      </c>
      <c r="R4568" s="165" t="s">
        <v>515</v>
      </c>
      <c r="S4568" s="150"/>
    </row>
    <row r="4569" spans="1:19" hidden="1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48</v>
      </c>
      <c r="R4569" s="165" t="s">
        <v>515</v>
      </c>
      <c r="S4569" s="150"/>
    </row>
    <row r="4570" spans="1:19" hidden="1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48</v>
      </c>
      <c r="R4570" s="165" t="s">
        <v>515</v>
      </c>
      <c r="S4570" s="150"/>
    </row>
    <row r="4571" spans="1:19" hidden="1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48</v>
      </c>
      <c r="R4571" s="165" t="s">
        <v>515</v>
      </c>
      <c r="S4571" s="150"/>
    </row>
    <row r="4572" spans="1:19" hidden="1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48</v>
      </c>
      <c r="R4572" s="165" t="s">
        <v>515</v>
      </c>
      <c r="S4572" s="150"/>
    </row>
    <row r="4573" spans="1:19" hidden="1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48</v>
      </c>
      <c r="R4573" s="165" t="s">
        <v>515</v>
      </c>
      <c r="S4573" s="150"/>
    </row>
    <row r="4574" spans="1:19" hidden="1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48</v>
      </c>
      <c r="R4574" s="165" t="s">
        <v>515</v>
      </c>
      <c r="S4574" s="150"/>
    </row>
    <row r="4575" spans="1:19" hidden="1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48</v>
      </c>
      <c r="R4575" s="165" t="s">
        <v>515</v>
      </c>
      <c r="S4575" s="150"/>
    </row>
    <row r="4576" spans="1:19" hidden="1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48</v>
      </c>
      <c r="R4576" s="165" t="s">
        <v>515</v>
      </c>
      <c r="S4576" s="150"/>
    </row>
    <row r="4577" spans="1:19" hidden="1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48</v>
      </c>
      <c r="R4577" s="165" t="s">
        <v>515</v>
      </c>
      <c r="S4577" s="150"/>
    </row>
    <row r="4578" spans="1:19" hidden="1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48</v>
      </c>
      <c r="R4578" s="165" t="s">
        <v>515</v>
      </c>
      <c r="S4578" s="150"/>
    </row>
    <row r="4579" spans="1:19" hidden="1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48</v>
      </c>
      <c r="R4579" s="165" t="s">
        <v>515</v>
      </c>
      <c r="S4579" s="150"/>
    </row>
    <row r="4580" spans="1:19" hidden="1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48</v>
      </c>
      <c r="R4580" s="165" t="s">
        <v>515</v>
      </c>
      <c r="S4580" s="150"/>
    </row>
    <row r="4581" spans="1:19" hidden="1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48</v>
      </c>
      <c r="R4581" s="165" t="s">
        <v>515</v>
      </c>
      <c r="S4581" s="150"/>
    </row>
    <row r="4582" spans="1:19" hidden="1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48</v>
      </c>
      <c r="R4582" s="165" t="s">
        <v>515</v>
      </c>
      <c r="S4582" s="150"/>
    </row>
    <row r="4583" spans="1:19" hidden="1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48</v>
      </c>
      <c r="R4583" s="165" t="s">
        <v>515</v>
      </c>
      <c r="S4583" s="150"/>
    </row>
    <row r="4584" spans="1:19" hidden="1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48</v>
      </c>
      <c r="R4584" s="165" t="s">
        <v>515</v>
      </c>
      <c r="S4584" s="150"/>
    </row>
    <row r="4585" spans="1:19" hidden="1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46</v>
      </c>
      <c r="R4585" s="165" t="s">
        <v>1459</v>
      </c>
      <c r="S4585" s="150"/>
    </row>
    <row r="4586" spans="1:19" hidden="1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46</v>
      </c>
      <c r="R4586" s="165" t="s">
        <v>1459</v>
      </c>
      <c r="S4586" s="150"/>
    </row>
    <row r="4587" spans="1:19" hidden="1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46</v>
      </c>
      <c r="R4587" s="165" t="s">
        <v>1459</v>
      </c>
      <c r="S4587" s="150"/>
    </row>
    <row r="4588" spans="1:19" hidden="1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46</v>
      </c>
      <c r="R4588" s="165" t="s">
        <v>1459</v>
      </c>
      <c r="S4588" s="150"/>
    </row>
    <row r="4589" spans="1:19" hidden="1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46</v>
      </c>
      <c r="R4589" s="165" t="s">
        <v>5709</v>
      </c>
      <c r="S4589" s="150"/>
    </row>
    <row r="4590" spans="1:19" hidden="1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46</v>
      </c>
      <c r="R4590" s="165" t="s">
        <v>5709</v>
      </c>
      <c r="S4590" s="150"/>
    </row>
    <row r="4591" spans="1:19" hidden="1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46</v>
      </c>
      <c r="R4591" s="165" t="s">
        <v>5709</v>
      </c>
      <c r="S4591" s="150"/>
    </row>
    <row r="4592" spans="1:19" hidden="1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46</v>
      </c>
      <c r="R4592" s="165" t="s">
        <v>5709</v>
      </c>
      <c r="S4592" s="150"/>
    </row>
    <row r="4593" spans="1:19" hidden="1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46</v>
      </c>
      <c r="R4593" s="165" t="s">
        <v>5709</v>
      </c>
      <c r="S4593" s="150"/>
    </row>
    <row r="4594" spans="1:19" hidden="1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46</v>
      </c>
      <c r="R4594" s="165" t="s">
        <v>5709</v>
      </c>
      <c r="S4594" s="150"/>
    </row>
    <row r="4595" spans="1:19" hidden="1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46</v>
      </c>
      <c r="R4595" s="165" t="s">
        <v>5709</v>
      </c>
      <c r="S4595" s="150"/>
    </row>
    <row r="4596" spans="1:19" hidden="1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46</v>
      </c>
      <c r="R4596" s="165" t="s">
        <v>5709</v>
      </c>
      <c r="S4596" s="150"/>
    </row>
    <row r="4597" spans="1:19" hidden="1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46</v>
      </c>
      <c r="R4597" s="165" t="s">
        <v>5709</v>
      </c>
      <c r="S4597" s="150"/>
    </row>
    <row r="4598" spans="1:19" hidden="1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46</v>
      </c>
      <c r="R4598" s="165" t="s">
        <v>5709</v>
      </c>
      <c r="S4598" s="150"/>
    </row>
    <row r="4599" spans="1:19" hidden="1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46</v>
      </c>
      <c r="R4599" s="165" t="s">
        <v>5709</v>
      </c>
      <c r="S4599" s="150"/>
    </row>
    <row r="4600" spans="1:19" hidden="1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46</v>
      </c>
      <c r="R4600" s="165" t="s">
        <v>5709</v>
      </c>
      <c r="S4600" s="150"/>
    </row>
    <row r="4601" spans="1:19" hidden="1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46</v>
      </c>
      <c r="R4601" s="165" t="s">
        <v>5709</v>
      </c>
      <c r="S4601" s="150"/>
    </row>
    <row r="4602" spans="1:19" hidden="1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46</v>
      </c>
      <c r="R4602" s="165" t="s">
        <v>5709</v>
      </c>
      <c r="S4602" s="150"/>
    </row>
    <row r="4603" spans="1:19" hidden="1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46</v>
      </c>
      <c r="R4603" s="165" t="s">
        <v>5709</v>
      </c>
      <c r="S4603" s="150"/>
    </row>
    <row r="4604" spans="1:19" hidden="1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46</v>
      </c>
      <c r="R4604" s="165" t="s">
        <v>5709</v>
      </c>
      <c r="S4604" s="150"/>
    </row>
    <row r="4605" spans="1:19" hidden="1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46</v>
      </c>
      <c r="R4605" s="165" t="s">
        <v>5709</v>
      </c>
      <c r="S4605" s="150"/>
    </row>
    <row r="4606" spans="1:19" hidden="1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46</v>
      </c>
      <c r="R4606" s="165" t="s">
        <v>5709</v>
      </c>
      <c r="S4606" s="150"/>
    </row>
    <row r="4607" spans="1:19" hidden="1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46</v>
      </c>
      <c r="R4607" s="165" t="s">
        <v>5709</v>
      </c>
      <c r="S4607" s="150"/>
    </row>
    <row r="4608" spans="1:19" hidden="1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46</v>
      </c>
      <c r="R4608" s="165" t="s">
        <v>5709</v>
      </c>
      <c r="S4608" s="150"/>
    </row>
    <row r="4609" spans="1:19" hidden="1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46</v>
      </c>
      <c r="R4609" s="165" t="s">
        <v>5709</v>
      </c>
      <c r="S4609" s="150"/>
    </row>
    <row r="4610" spans="1:19" hidden="1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46</v>
      </c>
      <c r="R4610" s="165" t="s">
        <v>5709</v>
      </c>
      <c r="S4610" s="150"/>
    </row>
    <row r="4611" spans="1:19" hidden="1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46</v>
      </c>
      <c r="R4611" s="165" t="s">
        <v>5709</v>
      </c>
      <c r="S4611" s="150"/>
    </row>
    <row r="4612" spans="1:19" hidden="1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46</v>
      </c>
      <c r="R4612" s="165" t="s">
        <v>5709</v>
      </c>
      <c r="S4612" s="150"/>
    </row>
    <row r="4613" spans="1:19" hidden="1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46</v>
      </c>
      <c r="R4613" s="165" t="s">
        <v>5709</v>
      </c>
      <c r="S4613" s="150"/>
    </row>
    <row r="4614" spans="1:19" hidden="1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45</v>
      </c>
      <c r="R4614" s="167" t="s">
        <v>1013</v>
      </c>
      <c r="S4614" s="150"/>
    </row>
    <row r="4615" spans="1:19" hidden="1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43</v>
      </c>
      <c r="R4615" s="168" t="s">
        <v>515</v>
      </c>
      <c r="S4615" s="150"/>
    </row>
    <row r="4616" spans="1:19" hidden="1">
      <c r="A4616" t="s">
        <v>6784</v>
      </c>
      <c r="B4616" s="150" t="str">
        <f>IFERROR(VLOOKUP(Proc[[#This Row],[App]],Table2[],3,0),"open")</f>
        <v>ok</v>
      </c>
      <c r="C4616" s="149" t="s">
        <v>369</v>
      </c>
      <c r="D4616" t="s">
        <v>6783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43</v>
      </c>
      <c r="R4616" s="168" t="s">
        <v>1459</v>
      </c>
      <c r="S4616" s="150"/>
    </row>
    <row r="4617" spans="1:19" hidden="1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43</v>
      </c>
      <c r="R4617" s="168" t="s">
        <v>410</v>
      </c>
      <c r="S4617" s="150"/>
    </row>
    <row r="4618" spans="1:19" hidden="1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6827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40</v>
      </c>
      <c r="R4618" s="168" t="s">
        <v>5709</v>
      </c>
      <c r="S4618" s="150"/>
    </row>
    <row r="4619" spans="1:19" hidden="1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6827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40</v>
      </c>
      <c r="R4619" s="168" t="s">
        <v>5709</v>
      </c>
      <c r="S4619" s="150"/>
    </row>
    <row r="4620" spans="1:19" hidden="1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6827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40</v>
      </c>
      <c r="R4620" s="168" t="s">
        <v>5709</v>
      </c>
      <c r="S4620" s="150"/>
    </row>
    <row r="4621" spans="1:19" hidden="1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6827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40</v>
      </c>
      <c r="R4621" s="168" t="s">
        <v>5709</v>
      </c>
      <c r="S4621" s="150"/>
    </row>
    <row r="4622" spans="1:19" hidden="1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6827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40</v>
      </c>
      <c r="R4622" s="168" t="s">
        <v>5709</v>
      </c>
      <c r="S4622" s="150"/>
    </row>
    <row r="4623" spans="1:19" hidden="1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6827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40</v>
      </c>
      <c r="R4623" s="168" t="s">
        <v>5709</v>
      </c>
      <c r="S4623" s="150"/>
    </row>
    <row r="4624" spans="1:19" hidden="1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6827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40</v>
      </c>
      <c r="R4624" s="168" t="s">
        <v>5709</v>
      </c>
      <c r="S4624" s="150"/>
    </row>
    <row r="4625" spans="1:19" hidden="1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6827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40</v>
      </c>
      <c r="R4625" s="168" t="s">
        <v>5709</v>
      </c>
      <c r="S4625" s="150"/>
    </row>
    <row r="4626" spans="1:19" hidden="1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6827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40</v>
      </c>
      <c r="R4626" s="168" t="s">
        <v>5709</v>
      </c>
      <c r="S4626" s="150"/>
    </row>
    <row r="4627" spans="1:19" hidden="1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6827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40</v>
      </c>
      <c r="R4627" s="168" t="s">
        <v>5709</v>
      </c>
      <c r="S4627" s="150"/>
    </row>
    <row r="4628" spans="1:19" hidden="1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6827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40</v>
      </c>
      <c r="R4628" s="168" t="s">
        <v>5709</v>
      </c>
      <c r="S4628" s="150"/>
    </row>
    <row r="4629" spans="1:19" hidden="1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6827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40</v>
      </c>
      <c r="R4629" s="168" t="s">
        <v>5709</v>
      </c>
      <c r="S4629" s="150"/>
    </row>
    <row r="4630" spans="1:19" hidden="1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6827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40</v>
      </c>
      <c r="R4630" s="168" t="s">
        <v>5709</v>
      </c>
      <c r="S4630" s="150"/>
    </row>
    <row r="4631" spans="1:19" hidden="1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6827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40</v>
      </c>
      <c r="R4631" s="168" t="s">
        <v>5709</v>
      </c>
      <c r="S4631" s="150"/>
    </row>
    <row r="4632" spans="1:19" hidden="1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6827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40</v>
      </c>
      <c r="R4632" s="168" t="s">
        <v>5709</v>
      </c>
      <c r="S4632" s="150"/>
    </row>
    <row r="4633" spans="1:19" hidden="1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6827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40</v>
      </c>
      <c r="R4633" s="168" t="s">
        <v>5709</v>
      </c>
      <c r="S4633" s="150"/>
    </row>
    <row r="4634" spans="1:19" hidden="1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6827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40</v>
      </c>
      <c r="R4634" s="168" t="s">
        <v>5709</v>
      </c>
      <c r="S4634" s="150"/>
    </row>
    <row r="4635" spans="1:19" hidden="1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6827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40</v>
      </c>
      <c r="R4635" s="168" t="s">
        <v>5709</v>
      </c>
      <c r="S4635" s="150"/>
    </row>
    <row r="4636" spans="1:19" hidden="1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6827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40</v>
      </c>
      <c r="R4636" s="168" t="s">
        <v>5709</v>
      </c>
      <c r="S4636" s="150"/>
    </row>
    <row r="4637" spans="1:19" hidden="1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6827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40</v>
      </c>
      <c r="R4637" s="168" t="s">
        <v>5709</v>
      </c>
      <c r="S4637" s="150"/>
    </row>
    <row r="4638" spans="1:19" hidden="1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6827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40</v>
      </c>
      <c r="R4638" s="168" t="s">
        <v>5709</v>
      </c>
      <c r="S4638" s="150"/>
    </row>
    <row r="4639" spans="1:19" hidden="1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6827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40</v>
      </c>
      <c r="R4639" s="168" t="s">
        <v>5709</v>
      </c>
      <c r="S4639" s="150"/>
    </row>
    <row r="4640" spans="1:19" hidden="1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6827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40</v>
      </c>
      <c r="R4640" s="168" t="s">
        <v>5709</v>
      </c>
      <c r="S4640" s="150"/>
    </row>
    <row r="4641" spans="1:19" hidden="1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6827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40</v>
      </c>
      <c r="R4641" s="168" t="s">
        <v>5709</v>
      </c>
      <c r="S4641" s="150"/>
    </row>
    <row r="4642" spans="1:19" hidden="1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6827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40</v>
      </c>
      <c r="R4642" s="168" t="s">
        <v>5709</v>
      </c>
      <c r="S4642" s="150"/>
    </row>
    <row r="4643" spans="1:19" hidden="1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6827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40</v>
      </c>
      <c r="R4643" s="168" t="s">
        <v>5709</v>
      </c>
      <c r="S4643" s="150"/>
    </row>
    <row r="4644" spans="1:19" hidden="1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6827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40</v>
      </c>
      <c r="R4644" s="168" t="s">
        <v>5709</v>
      </c>
      <c r="S4644" s="150"/>
    </row>
    <row r="4645" spans="1:19" hidden="1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6827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40</v>
      </c>
      <c r="R4645" s="168" t="s">
        <v>5709</v>
      </c>
      <c r="S4645" s="150"/>
    </row>
    <row r="4646" spans="1:19" hidden="1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6827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40</v>
      </c>
      <c r="R4646" s="168" t="s">
        <v>5709</v>
      </c>
      <c r="S4646" s="150"/>
    </row>
    <row r="4647" spans="1:19" hidden="1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6827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40</v>
      </c>
      <c r="R4647" s="168" t="s">
        <v>5709</v>
      </c>
      <c r="S4647" s="150"/>
    </row>
    <row r="4648" spans="1:19" hidden="1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6827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40</v>
      </c>
      <c r="R4648" s="168" t="s">
        <v>5709</v>
      </c>
      <c r="S4648" s="150"/>
    </row>
    <row r="4649" spans="1:19" hidden="1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6827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40</v>
      </c>
      <c r="R4649" s="168" t="s">
        <v>5709</v>
      </c>
      <c r="S4649" s="150"/>
    </row>
    <row r="4650" spans="1:19" hidden="1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6827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40</v>
      </c>
      <c r="R4650" s="168" t="s">
        <v>5709</v>
      </c>
      <c r="S4650" s="150"/>
    </row>
    <row r="4651" spans="1:19" hidden="1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6828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40</v>
      </c>
      <c r="R4651" s="168" t="s">
        <v>5709</v>
      </c>
      <c r="S4651" s="150"/>
    </row>
    <row r="4652" spans="1:19" hidden="1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6828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40</v>
      </c>
      <c r="R4652" s="168" t="s">
        <v>5709</v>
      </c>
      <c r="S4652" s="150"/>
    </row>
    <row r="4653" spans="1:19" hidden="1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6828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40</v>
      </c>
      <c r="R4653" s="168" t="s">
        <v>5709</v>
      </c>
      <c r="S4653" s="150"/>
    </row>
    <row r="4654" spans="1:19" hidden="1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6828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40</v>
      </c>
      <c r="R4654" s="168" t="s">
        <v>5709</v>
      </c>
      <c r="S4654" s="150"/>
    </row>
    <row r="4655" spans="1:19" hidden="1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6828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40</v>
      </c>
      <c r="R4655" s="168" t="s">
        <v>5709</v>
      </c>
      <c r="S4655" s="150"/>
    </row>
    <row r="4656" spans="1:19" hidden="1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40</v>
      </c>
      <c r="R4656" s="168" t="s">
        <v>489</v>
      </c>
      <c r="S4656" s="150"/>
    </row>
    <row r="4657" spans="1:19" hidden="1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40</v>
      </c>
      <c r="R4657" s="168" t="s">
        <v>489</v>
      </c>
      <c r="S4657" s="150"/>
    </row>
    <row r="4658" spans="1:19" hidden="1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40</v>
      </c>
      <c r="R4658" s="168" t="s">
        <v>489</v>
      </c>
      <c r="S4658" s="150"/>
    </row>
    <row r="4659" spans="1:19" hidden="1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40</v>
      </c>
      <c r="R4659" s="168" t="s">
        <v>489</v>
      </c>
      <c r="S4659" s="150"/>
    </row>
    <row r="4660" spans="1:19" hidden="1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40</v>
      </c>
      <c r="R4660" s="168" t="s">
        <v>489</v>
      </c>
      <c r="S4660" s="150"/>
    </row>
    <row r="4661" spans="1:19" hidden="1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40</v>
      </c>
      <c r="R4661" s="168" t="s">
        <v>489</v>
      </c>
      <c r="S4661" s="150"/>
    </row>
    <row r="4662" spans="1:19" hidden="1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40</v>
      </c>
      <c r="R4662" s="168" t="s">
        <v>489</v>
      </c>
      <c r="S4662" s="150"/>
    </row>
    <row r="4663" spans="1:19" hidden="1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40</v>
      </c>
      <c r="R4663" s="168" t="s">
        <v>489</v>
      </c>
      <c r="S4663" s="150"/>
    </row>
    <row r="4664" spans="1:19" hidden="1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40</v>
      </c>
      <c r="R4664" s="168" t="s">
        <v>489</v>
      </c>
      <c r="S4664" s="150"/>
    </row>
    <row r="4665" spans="1:19" hidden="1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40</v>
      </c>
      <c r="R4665" s="168" t="s">
        <v>489</v>
      </c>
      <c r="S4665" s="150"/>
    </row>
    <row r="4666" spans="1:19" hidden="1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40</v>
      </c>
      <c r="R4666" s="168" t="s">
        <v>489</v>
      </c>
      <c r="S4666" s="150"/>
    </row>
    <row r="4667" spans="1:19" hidden="1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40</v>
      </c>
      <c r="R4667" s="168" t="s">
        <v>489</v>
      </c>
      <c r="S4667" s="150"/>
    </row>
    <row r="4668" spans="1:19" hidden="1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40</v>
      </c>
      <c r="R4668" s="168" t="s">
        <v>489</v>
      </c>
      <c r="S4668" s="150"/>
    </row>
    <row r="4669" spans="1:19" hidden="1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40</v>
      </c>
      <c r="R4669" s="168" t="s">
        <v>489</v>
      </c>
      <c r="S4669" s="150"/>
    </row>
    <row r="4670" spans="1:19" hidden="1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40</v>
      </c>
      <c r="R4670" s="168" t="s">
        <v>489</v>
      </c>
      <c r="S4670" s="150"/>
    </row>
    <row r="4671" spans="1:19" hidden="1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40</v>
      </c>
      <c r="R4671" s="168" t="s">
        <v>489</v>
      </c>
      <c r="S4671" s="150"/>
    </row>
    <row r="4672" spans="1:19" hidden="1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40</v>
      </c>
      <c r="R4672" s="168" t="s">
        <v>489</v>
      </c>
      <c r="S4672" s="150"/>
    </row>
    <row r="4673" spans="1:19" hidden="1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40</v>
      </c>
      <c r="R4673" s="168" t="s">
        <v>489</v>
      </c>
      <c r="S4673" s="150"/>
    </row>
    <row r="4674" spans="1:19" hidden="1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40</v>
      </c>
      <c r="R4674" s="168" t="s">
        <v>489</v>
      </c>
      <c r="S4674" s="150"/>
    </row>
    <row r="4675" spans="1:19" hidden="1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40</v>
      </c>
      <c r="R4675" s="168" t="s">
        <v>489</v>
      </c>
      <c r="S4675" s="150"/>
    </row>
    <row r="4676" spans="1:19" hidden="1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40</v>
      </c>
      <c r="R4676" s="168" t="s">
        <v>489</v>
      </c>
      <c r="S4676" s="150"/>
    </row>
    <row r="4677" spans="1:19" hidden="1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37</v>
      </c>
      <c r="R4677" s="170" t="s">
        <v>6862</v>
      </c>
      <c r="S4677" s="150"/>
    </row>
    <row r="4678" spans="1:19" hidden="1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37</v>
      </c>
      <c r="R4678" s="170" t="s">
        <v>6862</v>
      </c>
      <c r="S4678" s="150"/>
    </row>
    <row r="4679" spans="1:19" hidden="1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37</v>
      </c>
      <c r="R4679" s="170" t="s">
        <v>6862</v>
      </c>
      <c r="S4679" s="150"/>
    </row>
    <row r="4680" spans="1:19" hidden="1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37</v>
      </c>
      <c r="R4680" s="170" t="s">
        <v>6862</v>
      </c>
      <c r="S4680" s="150"/>
    </row>
    <row r="4681" spans="1:19" hidden="1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37</v>
      </c>
      <c r="R4681" s="170" t="s">
        <v>6862</v>
      </c>
      <c r="S4681" s="150"/>
    </row>
    <row r="4682" spans="1:19" hidden="1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37</v>
      </c>
      <c r="R4682" s="170" t="s">
        <v>6862</v>
      </c>
      <c r="S4682" s="150"/>
    </row>
    <row r="4683" spans="1:19" hidden="1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37</v>
      </c>
      <c r="R4683" s="170" t="s">
        <v>6862</v>
      </c>
      <c r="S4683" s="150"/>
    </row>
    <row r="4684" spans="1:19" hidden="1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37</v>
      </c>
      <c r="R4684" s="170" t="s">
        <v>515</v>
      </c>
      <c r="S4684" s="150"/>
    </row>
    <row r="4685" spans="1:19" hidden="1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37</v>
      </c>
      <c r="R4685" s="170" t="s">
        <v>5682</v>
      </c>
      <c r="S4685" s="150"/>
    </row>
    <row r="4686" spans="1:19" hidden="1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37</v>
      </c>
      <c r="R4686" s="170" t="s">
        <v>478</v>
      </c>
      <c r="S4686" s="150"/>
    </row>
    <row r="4687" spans="1:19" hidden="1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37</v>
      </c>
      <c r="R4687" s="170" t="s">
        <v>5682</v>
      </c>
      <c r="S4687" s="150"/>
    </row>
    <row r="4688" spans="1:19" hidden="1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37</v>
      </c>
      <c r="R4688" s="170" t="s">
        <v>738</v>
      </c>
      <c r="S4688" s="150"/>
    </row>
    <row r="4689" spans="1:19" hidden="1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37</v>
      </c>
      <c r="R4689" s="170" t="s">
        <v>738</v>
      </c>
      <c r="S4689" s="150"/>
    </row>
    <row r="4690" spans="1:19" hidden="1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37</v>
      </c>
      <c r="R4690" s="170" t="s">
        <v>738</v>
      </c>
      <c r="S4690" s="150"/>
    </row>
    <row r="4691" spans="1:19" hidden="1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37</v>
      </c>
      <c r="R4691" s="170" t="s">
        <v>738</v>
      </c>
      <c r="S4691" s="150"/>
    </row>
    <row r="4692" spans="1:19" hidden="1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37</v>
      </c>
      <c r="R4692" s="170" t="s">
        <v>738</v>
      </c>
      <c r="S4692" s="150"/>
    </row>
    <row r="4693" spans="1:19" hidden="1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37</v>
      </c>
      <c r="R4693" s="170" t="s">
        <v>738</v>
      </c>
      <c r="S4693" s="150"/>
    </row>
    <row r="4694" spans="1:19" hidden="1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37</v>
      </c>
      <c r="R4694" s="170" t="s">
        <v>738</v>
      </c>
      <c r="S4694" s="150"/>
    </row>
    <row r="4695" spans="1:19" hidden="1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37</v>
      </c>
      <c r="R4695" s="170" t="s">
        <v>738</v>
      </c>
      <c r="S4695" s="150"/>
    </row>
    <row r="4696" spans="1:19" hidden="1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37</v>
      </c>
      <c r="R4696" s="170" t="s">
        <v>738</v>
      </c>
      <c r="S4696" s="150"/>
    </row>
    <row r="4697" spans="1:19" hidden="1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37</v>
      </c>
      <c r="R4697" s="170" t="s">
        <v>738</v>
      </c>
      <c r="S4697" s="150"/>
    </row>
    <row r="4698" spans="1:19" hidden="1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37</v>
      </c>
      <c r="R4698" s="170" t="s">
        <v>738</v>
      </c>
      <c r="S4698" s="150"/>
    </row>
    <row r="4699" spans="1:19" hidden="1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37</v>
      </c>
      <c r="R4699" s="170" t="s">
        <v>738</v>
      </c>
      <c r="S4699" s="150"/>
    </row>
    <row r="4700" spans="1:19" hidden="1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37</v>
      </c>
      <c r="R4700" s="170" t="s">
        <v>484</v>
      </c>
      <c r="S4700" s="150"/>
    </row>
    <row r="4701" spans="1:19" hidden="1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36</v>
      </c>
      <c r="R4701" s="170" t="s">
        <v>484</v>
      </c>
      <c r="S4701" s="150"/>
    </row>
    <row r="4702" spans="1:19" hidden="1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36</v>
      </c>
      <c r="R4702" s="170" t="s">
        <v>484</v>
      </c>
      <c r="S4702" s="150"/>
    </row>
    <row r="4703" spans="1:19" hidden="1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36</v>
      </c>
      <c r="R4703" s="170" t="s">
        <v>478</v>
      </c>
      <c r="S4703" s="150"/>
    </row>
    <row r="4704" spans="1:19" hidden="1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36</v>
      </c>
      <c r="R4704" s="170" t="s">
        <v>478</v>
      </c>
      <c r="S4704" s="150"/>
    </row>
    <row r="4705" spans="1:19" hidden="1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36</v>
      </c>
      <c r="R4705" s="170" t="s">
        <v>478</v>
      </c>
      <c r="S4705" s="150"/>
    </row>
    <row r="4706" spans="1:19" hidden="1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36</v>
      </c>
      <c r="R4706" s="170" t="s">
        <v>478</v>
      </c>
      <c r="S4706" s="150"/>
    </row>
    <row r="4707" spans="1:19" hidden="1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36</v>
      </c>
      <c r="R4707" s="170" t="s">
        <v>478</v>
      </c>
      <c r="S4707" s="150"/>
    </row>
    <row r="4708" spans="1:19" hidden="1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36</v>
      </c>
      <c r="R4708" s="170" t="s">
        <v>478</v>
      </c>
      <c r="S4708" s="150"/>
    </row>
    <row r="4709" spans="1:19" hidden="1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36</v>
      </c>
      <c r="R4709" s="170" t="s">
        <v>478</v>
      </c>
      <c r="S4709" s="150"/>
    </row>
    <row r="4710" spans="1:19" hidden="1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36</v>
      </c>
      <c r="R4710" s="170" t="s">
        <v>478</v>
      </c>
      <c r="S4710" s="150"/>
    </row>
    <row r="4711" spans="1:19" hidden="1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36</v>
      </c>
      <c r="R4711" s="170" t="s">
        <v>478</v>
      </c>
      <c r="S4711" s="150"/>
    </row>
    <row r="4712" spans="1:19" hidden="1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36</v>
      </c>
      <c r="R4712" s="170" t="s">
        <v>478</v>
      </c>
      <c r="S4712" s="150"/>
    </row>
    <row r="4713" spans="1:19" hidden="1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36</v>
      </c>
      <c r="R4713" s="170" t="s">
        <v>478</v>
      </c>
      <c r="S4713" s="150"/>
    </row>
    <row r="4714" spans="1:19" hidden="1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36</v>
      </c>
      <c r="R4714" s="170" t="s">
        <v>478</v>
      </c>
      <c r="S4714" s="150"/>
    </row>
    <row r="4715" spans="1:19" hidden="1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34</v>
      </c>
      <c r="R4715" s="170" t="s">
        <v>515</v>
      </c>
      <c r="S4715" s="150"/>
    </row>
    <row r="4716" spans="1:19" hidden="1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34</v>
      </c>
      <c r="R4716" s="170" t="s">
        <v>515</v>
      </c>
      <c r="S4716" s="150"/>
    </row>
    <row r="4717" spans="1:19" hidden="1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34</v>
      </c>
      <c r="R4717" s="170" t="s">
        <v>515</v>
      </c>
      <c r="S4717" s="150"/>
    </row>
    <row r="4718" spans="1:19" hidden="1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34</v>
      </c>
      <c r="R4718" s="170" t="s">
        <v>515</v>
      </c>
      <c r="S4718" s="150"/>
    </row>
    <row r="4719" spans="1:19" hidden="1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34</v>
      </c>
      <c r="R4719" s="170" t="s">
        <v>515</v>
      </c>
      <c r="S4719" s="150"/>
    </row>
    <row r="4720" spans="1:19" hidden="1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34</v>
      </c>
      <c r="R4720" s="170" t="s">
        <v>515</v>
      </c>
      <c r="S4720" s="150"/>
    </row>
    <row r="4721" spans="1:19" hidden="1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34</v>
      </c>
      <c r="R4721" s="170" t="s">
        <v>515</v>
      </c>
      <c r="S4721" s="150"/>
    </row>
    <row r="4722" spans="1:19" hidden="1">
      <c r="A4722" t="s">
        <v>6929</v>
      </c>
      <c r="B4722" s="150" t="str">
        <f>IFERROR(VLOOKUP(Proc[[#This Row],[App]],Table2[],3,0),"open")</f>
        <v>ok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32</v>
      </c>
      <c r="R4722" s="170" t="s">
        <v>489</v>
      </c>
      <c r="S4722" s="150"/>
    </row>
    <row r="4723" spans="1:19" hidden="1">
      <c r="A4723" s="149" t="s">
        <v>6929</v>
      </c>
      <c r="B4723" s="150" t="str">
        <f>IFERROR(VLOOKUP(Proc[[#This Row],[App]],Table2[],3,0),"open")</f>
        <v>ok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32</v>
      </c>
      <c r="R4723" s="170" t="s">
        <v>489</v>
      </c>
      <c r="S4723" s="150"/>
    </row>
    <row r="4724" spans="1:19" hidden="1">
      <c r="A4724" s="149" t="s">
        <v>6929</v>
      </c>
      <c r="B4724" s="150" t="str">
        <f>IFERROR(VLOOKUP(Proc[[#This Row],[App]],Table2[],3,0),"open")</f>
        <v>ok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32</v>
      </c>
      <c r="R4724" s="170" t="s">
        <v>489</v>
      </c>
      <c r="S4724" s="150"/>
    </row>
    <row r="4725" spans="1:19" hidden="1">
      <c r="A4725" s="149" t="s">
        <v>6929</v>
      </c>
      <c r="B4725" s="150" t="str">
        <f>IFERROR(VLOOKUP(Proc[[#This Row],[App]],Table2[],3,0),"open")</f>
        <v>ok</v>
      </c>
      <c r="C4725" s="149" t="s">
        <v>369</v>
      </c>
      <c r="D4725" t="s">
        <v>6930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32</v>
      </c>
      <c r="R4725" s="170" t="s">
        <v>489</v>
      </c>
      <c r="S4725" s="150"/>
    </row>
    <row r="4726" spans="1:19" hidden="1">
      <c r="A4726" s="149" t="s">
        <v>6929</v>
      </c>
      <c r="B4726" s="150" t="str">
        <f>IFERROR(VLOOKUP(Proc[[#This Row],[App]],Table2[],3,0),"open")</f>
        <v>ok</v>
      </c>
      <c r="C4726" s="149" t="s">
        <v>369</v>
      </c>
      <c r="D4726" t="s">
        <v>6967</v>
      </c>
      <c r="E4726" t="s">
        <v>6932</v>
      </c>
      <c r="F4726" s="150" t="s">
        <v>6932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32</v>
      </c>
      <c r="R4726" s="170" t="s">
        <v>489</v>
      </c>
      <c r="S4726" s="150"/>
    </row>
    <row r="4727" spans="1:19" hidden="1">
      <c r="A4727" s="149" t="s">
        <v>6929</v>
      </c>
      <c r="B4727" s="150" t="str">
        <f>IFERROR(VLOOKUP(Proc[[#This Row],[App]],Table2[],3,0),"open")</f>
        <v>ok</v>
      </c>
      <c r="C4727" s="149" t="s">
        <v>369</v>
      </c>
      <c r="D4727" t="s">
        <v>6931</v>
      </c>
      <c r="E4727" t="s">
        <v>6933</v>
      </c>
      <c r="F4727" s="150" t="s">
        <v>6933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32</v>
      </c>
      <c r="R4727" s="170" t="s">
        <v>489</v>
      </c>
      <c r="S4727" s="150"/>
    </row>
    <row r="4728" spans="1:19" hidden="1">
      <c r="A4728" t="s">
        <v>6934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32</v>
      </c>
      <c r="R4728" s="170" t="s">
        <v>489</v>
      </c>
      <c r="S4728" s="150"/>
    </row>
    <row r="4729" spans="1:19" hidden="1">
      <c r="A4729" s="149" t="s">
        <v>6934</v>
      </c>
      <c r="B4729" s="150" t="str">
        <f>IFERROR(VLOOKUP(Proc[[#This Row],[App]],Table2[],3,0),"open")</f>
        <v>ok</v>
      </c>
      <c r="C4729" s="149" t="s">
        <v>369</v>
      </c>
      <c r="D4729" t="s">
        <v>6935</v>
      </c>
      <c r="E4729" t="s">
        <v>6954</v>
      </c>
      <c r="F4729" s="150" t="s">
        <v>6954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32</v>
      </c>
      <c r="R4729" s="170" t="s">
        <v>489</v>
      </c>
      <c r="S4729" s="150"/>
    </row>
    <row r="4730" spans="1:19" hidden="1">
      <c r="A4730" s="149" t="s">
        <v>6934</v>
      </c>
      <c r="B4730" s="150" t="str">
        <f>IFERROR(VLOOKUP(Proc[[#This Row],[App]],Table2[],3,0),"open")</f>
        <v>ok</v>
      </c>
      <c r="C4730" s="149" t="s">
        <v>369</v>
      </c>
      <c r="D4730" t="s">
        <v>6936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32</v>
      </c>
      <c r="R4730" s="170" t="s">
        <v>489</v>
      </c>
      <c r="S4730" s="150"/>
    </row>
    <row r="4731" spans="1:19" hidden="1">
      <c r="A4731" s="149" t="s">
        <v>6934</v>
      </c>
      <c r="B4731" s="150" t="str">
        <f>IFERROR(VLOOKUP(Proc[[#This Row],[App]],Table2[],3,0),"open")</f>
        <v>ok</v>
      </c>
      <c r="C4731" s="149" t="s">
        <v>369</v>
      </c>
      <c r="D4731" t="s">
        <v>6937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32</v>
      </c>
      <c r="R4731" s="170" t="s">
        <v>489</v>
      </c>
      <c r="S4731" s="150"/>
    </row>
    <row r="4732" spans="1:19" hidden="1">
      <c r="A4732" s="149" t="s">
        <v>6934</v>
      </c>
      <c r="B4732" s="150" t="str">
        <f>IFERROR(VLOOKUP(Proc[[#This Row],[App]],Table2[],3,0),"open")</f>
        <v>ok</v>
      </c>
      <c r="C4732" s="149" t="s">
        <v>369</v>
      </c>
      <c r="D4732" t="s">
        <v>6938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32</v>
      </c>
      <c r="R4732" s="170" t="s">
        <v>489</v>
      </c>
      <c r="S4732" s="150"/>
    </row>
    <row r="4733" spans="1:19" hidden="1">
      <c r="A4733" s="149" t="s">
        <v>6934</v>
      </c>
      <c r="B4733" s="150" t="str">
        <f>IFERROR(VLOOKUP(Proc[[#This Row],[App]],Table2[],3,0),"open")</f>
        <v>ok</v>
      </c>
      <c r="C4733" s="149" t="s">
        <v>369</v>
      </c>
      <c r="D4733" t="s">
        <v>5789</v>
      </c>
      <c r="E4733" t="s">
        <v>6955</v>
      </c>
      <c r="F4733" s="150" t="s">
        <v>6955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32</v>
      </c>
      <c r="R4733" s="170" t="s">
        <v>489</v>
      </c>
      <c r="S4733" s="150"/>
    </row>
    <row r="4734" spans="1:19" hidden="1">
      <c r="A4734" s="149" t="s">
        <v>6934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32</v>
      </c>
      <c r="R4734" s="170" t="s">
        <v>489</v>
      </c>
      <c r="S4734" s="150"/>
    </row>
    <row r="4735" spans="1:19" hidden="1">
      <c r="A4735" s="149" t="s">
        <v>6934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6956</v>
      </c>
      <c r="F4735" s="150" t="s">
        <v>6956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32</v>
      </c>
      <c r="R4735" s="170" t="s">
        <v>489</v>
      </c>
      <c r="S4735" s="150"/>
    </row>
    <row r="4736" spans="1:19" hidden="1">
      <c r="A4736" s="149" t="s">
        <v>6934</v>
      </c>
      <c r="B4736" s="150" t="str">
        <f>IFERROR(VLOOKUP(Proc[[#This Row],[App]],Table2[],3,0),"open")</f>
        <v>ok</v>
      </c>
      <c r="C4736" s="149" t="s">
        <v>369</v>
      </c>
      <c r="D4736" t="s">
        <v>6939</v>
      </c>
      <c r="E4736" t="s">
        <v>6957</v>
      </c>
      <c r="F4736" s="150" t="s">
        <v>6957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32</v>
      </c>
      <c r="R4736" s="170" t="s">
        <v>489</v>
      </c>
      <c r="S4736" s="150"/>
    </row>
    <row r="4737" spans="1:19" hidden="1">
      <c r="A4737" s="149" t="s">
        <v>6934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6958</v>
      </c>
      <c r="F4737" s="150" t="s">
        <v>6958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32</v>
      </c>
      <c r="R4737" s="170" t="s">
        <v>489</v>
      </c>
      <c r="S4737" s="150"/>
    </row>
    <row r="4738" spans="1:19" hidden="1">
      <c r="A4738" s="149" t="s">
        <v>6934</v>
      </c>
      <c r="B4738" s="150" t="str">
        <f>IFERROR(VLOOKUP(Proc[[#This Row],[App]],Table2[],3,0),"open")</f>
        <v>ok</v>
      </c>
      <c r="C4738" s="149" t="s">
        <v>369</v>
      </c>
      <c r="D4738" t="s">
        <v>6940</v>
      </c>
      <c r="E4738" t="s">
        <v>6959</v>
      </c>
      <c r="F4738" s="150" t="s">
        <v>6959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32</v>
      </c>
      <c r="R4738" s="170" t="s">
        <v>489</v>
      </c>
      <c r="S4738" s="150"/>
    </row>
    <row r="4739" spans="1:19" hidden="1">
      <c r="A4739" s="149" t="s">
        <v>6934</v>
      </c>
      <c r="B4739" s="150" t="str">
        <f>IFERROR(VLOOKUP(Proc[[#This Row],[App]],Table2[],3,0),"open")</f>
        <v>ok</v>
      </c>
      <c r="C4739" s="149" t="s">
        <v>369</v>
      </c>
      <c r="D4739" t="s">
        <v>6941</v>
      </c>
      <c r="E4739" t="s">
        <v>6960</v>
      </c>
      <c r="F4739" s="150" t="s">
        <v>6960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32</v>
      </c>
      <c r="R4739" s="170" t="s">
        <v>489</v>
      </c>
      <c r="S4739" s="150"/>
    </row>
    <row r="4740" spans="1:19" hidden="1">
      <c r="A4740" s="149" t="s">
        <v>6934</v>
      </c>
      <c r="B4740" s="150" t="str">
        <f>IFERROR(VLOOKUP(Proc[[#This Row],[App]],Table2[],3,0),"open")</f>
        <v>ok</v>
      </c>
      <c r="C4740" s="149" t="s">
        <v>369</v>
      </c>
      <c r="D4740" t="s">
        <v>6942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32</v>
      </c>
      <c r="R4740" s="170" t="s">
        <v>489</v>
      </c>
      <c r="S4740" s="150"/>
    </row>
    <row r="4741" spans="1:19" hidden="1">
      <c r="A4741" s="149" t="s">
        <v>6934</v>
      </c>
      <c r="B4741" s="150" t="str">
        <f>IFERROR(VLOOKUP(Proc[[#This Row],[App]],Table2[],3,0),"open")</f>
        <v>ok</v>
      </c>
      <c r="C4741" s="149" t="s">
        <v>369</v>
      </c>
      <c r="D4741" t="s">
        <v>6943</v>
      </c>
      <c r="E4741" t="s">
        <v>6961</v>
      </c>
      <c r="F4741" s="150" t="s">
        <v>6961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32</v>
      </c>
      <c r="R4741" s="170" t="s">
        <v>489</v>
      </c>
      <c r="S4741" s="150"/>
    </row>
    <row r="4742" spans="1:19" hidden="1">
      <c r="A4742" s="149" t="s">
        <v>6934</v>
      </c>
      <c r="B4742" s="150" t="str">
        <f>IFERROR(VLOOKUP(Proc[[#This Row],[App]],Table2[],3,0),"open")</f>
        <v>ok</v>
      </c>
      <c r="C4742" s="149" t="s">
        <v>369</v>
      </c>
      <c r="D4742" t="s">
        <v>6944</v>
      </c>
      <c r="E4742" t="s">
        <v>6962</v>
      </c>
      <c r="F4742" s="150" t="s">
        <v>6962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32</v>
      </c>
      <c r="R4742" s="170" t="s">
        <v>489</v>
      </c>
      <c r="S4742" s="150"/>
    </row>
    <row r="4743" spans="1:19" hidden="1">
      <c r="A4743" s="149" t="s">
        <v>6934</v>
      </c>
      <c r="B4743" s="150" t="str">
        <f>IFERROR(VLOOKUP(Proc[[#This Row],[App]],Table2[],3,0),"open")</f>
        <v>ok</v>
      </c>
      <c r="C4743" s="149" t="s">
        <v>369</v>
      </c>
      <c r="D4743" t="s">
        <v>6945</v>
      </c>
      <c r="E4743" t="s">
        <v>6963</v>
      </c>
      <c r="F4743" s="150" t="s">
        <v>6963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32</v>
      </c>
      <c r="R4743" s="170" t="s">
        <v>489</v>
      </c>
      <c r="S4743" s="150"/>
    </row>
    <row r="4744" spans="1:19" hidden="1">
      <c r="A4744" s="149" t="s">
        <v>6934</v>
      </c>
      <c r="B4744" s="150" t="str">
        <f>IFERROR(VLOOKUP(Proc[[#This Row],[App]],Table2[],3,0),"open")</f>
        <v>ok</v>
      </c>
      <c r="C4744" s="149" t="s">
        <v>369</v>
      </c>
      <c r="D4744" t="s">
        <v>6946</v>
      </c>
      <c r="E4744" t="s">
        <v>6963</v>
      </c>
      <c r="F4744" s="150" t="s">
        <v>6963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32</v>
      </c>
      <c r="R4744" s="170" t="s">
        <v>489</v>
      </c>
      <c r="S4744" s="150"/>
    </row>
    <row r="4745" spans="1:19" hidden="1">
      <c r="A4745" s="149" t="s">
        <v>6934</v>
      </c>
      <c r="B4745" s="150" t="str">
        <f>IFERROR(VLOOKUP(Proc[[#This Row],[App]],Table2[],3,0),"open")</f>
        <v>ok</v>
      </c>
      <c r="C4745" s="149" t="s">
        <v>369</v>
      </c>
      <c r="D4745" t="s">
        <v>6947</v>
      </c>
      <c r="E4745" t="s">
        <v>6964</v>
      </c>
      <c r="F4745" s="150" t="s">
        <v>6964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32</v>
      </c>
      <c r="R4745" s="170" t="s">
        <v>489</v>
      </c>
      <c r="S4745" s="150"/>
    </row>
    <row r="4746" spans="1:19" hidden="1">
      <c r="A4746" s="149" t="s">
        <v>6934</v>
      </c>
      <c r="B4746" s="150" t="str">
        <f>IFERROR(VLOOKUP(Proc[[#This Row],[App]],Table2[],3,0),"open")</f>
        <v>ok</v>
      </c>
      <c r="C4746" s="149" t="s">
        <v>369</v>
      </c>
      <c r="D4746" t="s">
        <v>6948</v>
      </c>
      <c r="E4746" t="s">
        <v>6965</v>
      </c>
      <c r="F4746" s="150" t="s">
        <v>6965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32</v>
      </c>
      <c r="R4746" s="170" t="s">
        <v>489</v>
      </c>
      <c r="S4746" s="150"/>
    </row>
    <row r="4747" spans="1:19" hidden="1">
      <c r="A4747" s="149" t="s">
        <v>6934</v>
      </c>
      <c r="B4747" s="150" t="str">
        <f>IFERROR(VLOOKUP(Proc[[#This Row],[App]],Table2[],3,0),"open")</f>
        <v>ok</v>
      </c>
      <c r="C4747" s="149" t="s">
        <v>369</v>
      </c>
      <c r="D4747" t="s">
        <v>6949</v>
      </c>
      <c r="E4747" t="s">
        <v>6966</v>
      </c>
      <c r="F4747" s="150" t="s">
        <v>6966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32</v>
      </c>
      <c r="R4747" s="170" t="s">
        <v>489</v>
      </c>
      <c r="S4747" s="150"/>
    </row>
    <row r="4748" spans="1:19" hidden="1">
      <c r="A4748" s="149" t="s">
        <v>6934</v>
      </c>
      <c r="B4748" s="150" t="str">
        <f>IFERROR(VLOOKUP(Proc[[#This Row],[App]],Table2[],3,0),"open")</f>
        <v>ok</v>
      </c>
      <c r="C4748" s="149" t="s">
        <v>369</v>
      </c>
      <c r="D4748" t="s">
        <v>6950</v>
      </c>
      <c r="E4748" t="s">
        <v>6966</v>
      </c>
      <c r="F4748" s="150" t="s">
        <v>6966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32</v>
      </c>
      <c r="R4748" s="170" t="s">
        <v>489</v>
      </c>
      <c r="S4748" s="150"/>
    </row>
    <row r="4749" spans="1:19" hidden="1">
      <c r="A4749" s="149" t="s">
        <v>6934</v>
      </c>
      <c r="B4749" s="150" t="str">
        <f>IFERROR(VLOOKUP(Proc[[#This Row],[App]],Table2[],3,0),"open")</f>
        <v>ok</v>
      </c>
      <c r="C4749" s="149" t="s">
        <v>369</v>
      </c>
      <c r="D4749" t="s">
        <v>6951</v>
      </c>
      <c r="E4749" t="s">
        <v>4797</v>
      </c>
      <c r="F4749" s="150" t="s">
        <v>4797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32</v>
      </c>
      <c r="R4749" s="170" t="s">
        <v>489</v>
      </c>
      <c r="S4749" s="150"/>
    </row>
    <row r="4750" spans="1:19" hidden="1">
      <c r="A4750" s="149" t="s">
        <v>6934</v>
      </c>
      <c r="B4750" s="150" t="str">
        <f>IFERROR(VLOOKUP(Proc[[#This Row],[App]],Table2[],3,0),"open")</f>
        <v>ok</v>
      </c>
      <c r="C4750" s="149" t="s">
        <v>369</v>
      </c>
      <c r="D4750" t="s">
        <v>6952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32</v>
      </c>
      <c r="R4750" s="170" t="s">
        <v>489</v>
      </c>
      <c r="S4750" s="150"/>
    </row>
    <row r="4751" spans="1:19" hidden="1">
      <c r="A4751" s="149" t="s">
        <v>6934</v>
      </c>
      <c r="B4751" s="150" t="str">
        <f>IFERROR(VLOOKUP(Proc[[#This Row],[App]],Table2[],3,0),"open")</f>
        <v>ok</v>
      </c>
      <c r="C4751" s="149" t="s">
        <v>369</v>
      </c>
      <c r="D4751" t="s">
        <v>6953</v>
      </c>
      <c r="E4751" t="s">
        <v>6473</v>
      </c>
      <c r="F4751" s="150" t="s">
        <v>6473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32</v>
      </c>
      <c r="R4751" s="170" t="s">
        <v>489</v>
      </c>
      <c r="S4751" s="150"/>
    </row>
    <row r="4752" spans="1:19" hidden="1">
      <c r="A4752" t="s">
        <v>6968</v>
      </c>
      <c r="B4752" s="150" t="str">
        <f>IFERROR(VLOOKUP(Proc[[#This Row],[App]],Table2[],3,0),"open")</f>
        <v>ok</v>
      </c>
      <c r="C4752" s="149" t="s">
        <v>369</v>
      </c>
      <c r="D4752" t="s">
        <v>6969</v>
      </c>
      <c r="E4752" t="s">
        <v>6972</v>
      </c>
      <c r="F4752" s="150" t="s">
        <v>6972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32</v>
      </c>
      <c r="R4752" s="172" t="s">
        <v>515</v>
      </c>
      <c r="S4752" s="150"/>
    </row>
    <row r="4753" spans="1:19" hidden="1">
      <c r="A4753" t="s">
        <v>6968</v>
      </c>
      <c r="B4753" s="150" t="str">
        <f>IFERROR(VLOOKUP(Proc[[#This Row],[App]],Table2[],3,0),"open")</f>
        <v>ok</v>
      </c>
      <c r="C4753" s="149" t="s">
        <v>369</v>
      </c>
      <c r="D4753" t="s">
        <v>6970</v>
      </c>
      <c r="E4753" t="s">
        <v>6973</v>
      </c>
      <c r="F4753" s="150" t="s">
        <v>6973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32</v>
      </c>
      <c r="R4753" s="172" t="s">
        <v>515</v>
      </c>
      <c r="S4753" s="150"/>
    </row>
    <row r="4754" spans="1:19" hidden="1">
      <c r="A4754" t="s">
        <v>6968</v>
      </c>
      <c r="B4754" s="150" t="str">
        <f>IFERROR(VLOOKUP(Proc[[#This Row],[App]],Table2[],3,0),"open")</f>
        <v>ok</v>
      </c>
      <c r="C4754" s="149" t="s">
        <v>369</v>
      </c>
      <c r="D4754" t="s">
        <v>6971</v>
      </c>
      <c r="E4754" t="s">
        <v>6973</v>
      </c>
      <c r="F4754" s="150" t="s">
        <v>6973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32</v>
      </c>
      <c r="R4754" s="172" t="s">
        <v>515</v>
      </c>
      <c r="S4754" s="150"/>
    </row>
    <row r="4755" spans="1:19" hidden="1">
      <c r="A4755" t="s">
        <v>6974</v>
      </c>
      <c r="B4755" s="150" t="str">
        <f>IFERROR(VLOOKUP(Proc[[#This Row],[App]],Table2[],3,0),"open")</f>
        <v>ok</v>
      </c>
      <c r="C4755" s="149" t="s">
        <v>369</v>
      </c>
      <c r="D4755" t="s">
        <v>6751</v>
      </c>
      <c r="E4755" t="s">
        <v>6983</v>
      </c>
      <c r="F4755" s="150" t="s">
        <v>6983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32</v>
      </c>
      <c r="R4755" s="172" t="s">
        <v>5709</v>
      </c>
      <c r="S4755" s="150"/>
    </row>
    <row r="4756" spans="1:19" hidden="1">
      <c r="A4756" t="s">
        <v>6974</v>
      </c>
      <c r="B4756" s="150" t="str">
        <f>IFERROR(VLOOKUP(Proc[[#This Row],[App]],Table2[],3,0),"open")</f>
        <v>ok</v>
      </c>
      <c r="C4756" s="149" t="s">
        <v>369</v>
      </c>
      <c r="D4756" t="s">
        <v>6752</v>
      </c>
      <c r="E4756" s="149" t="s">
        <v>6983</v>
      </c>
      <c r="F4756" s="150" t="s">
        <v>6983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32</v>
      </c>
      <c r="R4756" s="172" t="s">
        <v>5709</v>
      </c>
      <c r="S4756" s="150"/>
    </row>
    <row r="4757" spans="1:19" hidden="1">
      <c r="A4757" s="149" t="s">
        <v>6974</v>
      </c>
      <c r="B4757" s="150" t="str">
        <f>IFERROR(VLOOKUP(Proc[[#This Row],[App]],Table2[],3,0),"open")</f>
        <v>ok</v>
      </c>
      <c r="C4757" s="149" t="s">
        <v>369</v>
      </c>
      <c r="D4757" t="s">
        <v>6753</v>
      </c>
      <c r="E4757" s="149" t="s">
        <v>6983</v>
      </c>
      <c r="F4757" s="150" t="s">
        <v>6983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32</v>
      </c>
      <c r="R4757" s="172" t="s">
        <v>5709</v>
      </c>
      <c r="S4757" s="150"/>
    </row>
    <row r="4758" spans="1:19" hidden="1">
      <c r="A4758" s="149" t="s">
        <v>6974</v>
      </c>
      <c r="B4758" s="150" t="str">
        <f>IFERROR(VLOOKUP(Proc[[#This Row],[App]],Table2[],3,0),"open")</f>
        <v>ok</v>
      </c>
      <c r="C4758" s="149" t="s">
        <v>369</v>
      </c>
      <c r="D4758" t="s">
        <v>6754</v>
      </c>
      <c r="E4758" s="149" t="s">
        <v>6983</v>
      </c>
      <c r="F4758" s="150" t="s">
        <v>6983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32</v>
      </c>
      <c r="R4758" s="172" t="s">
        <v>5709</v>
      </c>
      <c r="S4758" s="150"/>
    </row>
    <row r="4759" spans="1:19" hidden="1">
      <c r="A4759" s="149" t="s">
        <v>6974</v>
      </c>
      <c r="B4759" s="150" t="str">
        <f>IFERROR(VLOOKUP(Proc[[#This Row],[App]],Table2[],3,0),"open")</f>
        <v>ok</v>
      </c>
      <c r="C4759" s="149" t="s">
        <v>369</v>
      </c>
      <c r="D4759" t="s">
        <v>6755</v>
      </c>
      <c r="E4759" s="149" t="s">
        <v>6983</v>
      </c>
      <c r="F4759" s="150" t="s">
        <v>6983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32</v>
      </c>
      <c r="R4759" s="172" t="s">
        <v>5709</v>
      </c>
      <c r="S4759" s="150"/>
    </row>
    <row r="4760" spans="1:19" hidden="1">
      <c r="A4760" s="149" t="s">
        <v>6974</v>
      </c>
      <c r="B4760" s="150" t="str">
        <f>IFERROR(VLOOKUP(Proc[[#This Row],[App]],Table2[],3,0),"open")</f>
        <v>ok</v>
      </c>
      <c r="C4760" s="149" t="s">
        <v>369</v>
      </c>
      <c r="D4760" t="s">
        <v>6756</v>
      </c>
      <c r="E4760" s="149" t="s">
        <v>6983</v>
      </c>
      <c r="F4760" s="150" t="s">
        <v>6983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32</v>
      </c>
      <c r="R4760" s="172" t="s">
        <v>5709</v>
      </c>
      <c r="S4760" s="150"/>
    </row>
    <row r="4761" spans="1:19" hidden="1">
      <c r="A4761" s="149" t="s">
        <v>6974</v>
      </c>
      <c r="B4761" s="150" t="str">
        <f>IFERROR(VLOOKUP(Proc[[#This Row],[App]],Table2[],3,0),"open")</f>
        <v>ok</v>
      </c>
      <c r="C4761" s="149" t="s">
        <v>369</v>
      </c>
      <c r="D4761" t="s">
        <v>6757</v>
      </c>
      <c r="E4761" s="149" t="s">
        <v>6983</v>
      </c>
      <c r="F4761" s="150" t="s">
        <v>6983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32</v>
      </c>
      <c r="R4761" s="172" t="s">
        <v>5709</v>
      </c>
      <c r="S4761" s="150"/>
    </row>
    <row r="4762" spans="1:19" hidden="1">
      <c r="A4762" s="149" t="s">
        <v>6974</v>
      </c>
      <c r="B4762" s="150" t="str">
        <f>IFERROR(VLOOKUP(Proc[[#This Row],[App]],Table2[],3,0),"open")</f>
        <v>ok</v>
      </c>
      <c r="C4762" s="149" t="s">
        <v>369</v>
      </c>
      <c r="D4762" t="s">
        <v>6758</v>
      </c>
      <c r="E4762" s="149" t="s">
        <v>6983</v>
      </c>
      <c r="F4762" s="150" t="s">
        <v>6983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32</v>
      </c>
      <c r="R4762" s="172" t="s">
        <v>5709</v>
      </c>
      <c r="S4762" s="150"/>
    </row>
    <row r="4763" spans="1:19" hidden="1">
      <c r="A4763" s="149" t="s">
        <v>6974</v>
      </c>
      <c r="B4763" s="150" t="str">
        <f>IFERROR(VLOOKUP(Proc[[#This Row],[App]],Table2[],3,0),"open")</f>
        <v>ok</v>
      </c>
      <c r="C4763" s="149" t="s">
        <v>369</v>
      </c>
      <c r="D4763" t="s">
        <v>6759</v>
      </c>
      <c r="E4763" s="149" t="s">
        <v>6983</v>
      </c>
      <c r="F4763" s="150" t="s">
        <v>6983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32</v>
      </c>
      <c r="R4763" s="172" t="s">
        <v>5709</v>
      </c>
      <c r="S4763" s="150"/>
    </row>
    <row r="4764" spans="1:19" hidden="1">
      <c r="A4764" s="149" t="s">
        <v>6974</v>
      </c>
      <c r="B4764" s="150" t="str">
        <f>IFERROR(VLOOKUP(Proc[[#This Row],[App]],Table2[],3,0),"open")</f>
        <v>ok</v>
      </c>
      <c r="C4764" s="149" t="s">
        <v>369</v>
      </c>
      <c r="D4764" t="s">
        <v>6760</v>
      </c>
      <c r="E4764" s="149" t="s">
        <v>6983</v>
      </c>
      <c r="F4764" s="150" t="s">
        <v>6983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32</v>
      </c>
      <c r="R4764" s="172" t="s">
        <v>5709</v>
      </c>
      <c r="S4764" s="150"/>
    </row>
    <row r="4765" spans="1:19" hidden="1">
      <c r="A4765" s="149" t="s">
        <v>6974</v>
      </c>
      <c r="B4765" s="150" t="str">
        <f>IFERROR(VLOOKUP(Proc[[#This Row],[App]],Table2[],3,0),"open")</f>
        <v>ok</v>
      </c>
      <c r="C4765" s="149" t="s">
        <v>369</v>
      </c>
      <c r="D4765" t="s">
        <v>6761</v>
      </c>
      <c r="E4765" s="149" t="s">
        <v>6983</v>
      </c>
      <c r="F4765" s="150" t="s">
        <v>6983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32</v>
      </c>
      <c r="R4765" s="172" t="s">
        <v>5709</v>
      </c>
      <c r="S4765" s="150"/>
    </row>
    <row r="4766" spans="1:19" hidden="1">
      <c r="A4766" s="149" t="s">
        <v>6974</v>
      </c>
      <c r="B4766" s="150" t="str">
        <f>IFERROR(VLOOKUP(Proc[[#This Row],[App]],Table2[],3,0),"open")</f>
        <v>ok</v>
      </c>
      <c r="C4766" s="149" t="s">
        <v>369</v>
      </c>
      <c r="D4766" t="s">
        <v>6762</v>
      </c>
      <c r="E4766" s="149" t="s">
        <v>6983</v>
      </c>
      <c r="F4766" s="150" t="s">
        <v>6983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32</v>
      </c>
      <c r="R4766" s="172" t="s">
        <v>5709</v>
      </c>
      <c r="S4766" s="150"/>
    </row>
    <row r="4767" spans="1:19" hidden="1">
      <c r="A4767" s="149" t="s">
        <v>6974</v>
      </c>
      <c r="B4767" s="150" t="str">
        <f>IFERROR(VLOOKUP(Proc[[#This Row],[App]],Table2[],3,0),"open")</f>
        <v>ok</v>
      </c>
      <c r="C4767" s="149" t="s">
        <v>369</v>
      </c>
      <c r="D4767" t="s">
        <v>6763</v>
      </c>
      <c r="E4767" s="149" t="s">
        <v>6983</v>
      </c>
      <c r="F4767" s="150" t="s">
        <v>6983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32</v>
      </c>
      <c r="R4767" s="172" t="s">
        <v>5709</v>
      </c>
      <c r="S4767" s="150"/>
    </row>
    <row r="4768" spans="1:19" hidden="1">
      <c r="A4768" s="149" t="s">
        <v>6974</v>
      </c>
      <c r="B4768" s="150" t="str">
        <f>IFERROR(VLOOKUP(Proc[[#This Row],[App]],Table2[],3,0),"open")</f>
        <v>ok</v>
      </c>
      <c r="C4768" s="149" t="s">
        <v>369</v>
      </c>
      <c r="D4768" t="s">
        <v>6764</v>
      </c>
      <c r="E4768" s="149" t="s">
        <v>6983</v>
      </c>
      <c r="F4768" s="150" t="s">
        <v>6983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32</v>
      </c>
      <c r="R4768" s="172" t="s">
        <v>5709</v>
      </c>
      <c r="S4768" s="150"/>
    </row>
    <row r="4769" spans="1:19" hidden="1">
      <c r="A4769" s="149" t="s">
        <v>6974</v>
      </c>
      <c r="B4769" s="150" t="str">
        <f>IFERROR(VLOOKUP(Proc[[#This Row],[App]],Table2[],3,0),"open")</f>
        <v>ok</v>
      </c>
      <c r="C4769" s="149" t="s">
        <v>369</v>
      </c>
      <c r="D4769" t="s">
        <v>6765</v>
      </c>
      <c r="E4769" s="149" t="s">
        <v>6983</v>
      </c>
      <c r="F4769" s="150" t="s">
        <v>6983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32</v>
      </c>
      <c r="R4769" s="172" t="s">
        <v>5709</v>
      </c>
      <c r="S4769" s="150"/>
    </row>
    <row r="4770" spans="1:19" hidden="1">
      <c r="A4770" s="149" t="s">
        <v>6974</v>
      </c>
      <c r="B4770" s="150" t="str">
        <f>IFERROR(VLOOKUP(Proc[[#This Row],[App]],Table2[],3,0),"open")</f>
        <v>ok</v>
      </c>
      <c r="C4770" s="149" t="s">
        <v>369</v>
      </c>
      <c r="D4770" t="s">
        <v>6766</v>
      </c>
      <c r="E4770" s="149" t="s">
        <v>6983</v>
      </c>
      <c r="F4770" s="150" t="s">
        <v>6983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32</v>
      </c>
      <c r="R4770" s="172" t="s">
        <v>5709</v>
      </c>
      <c r="S4770" s="150"/>
    </row>
    <row r="4771" spans="1:19" hidden="1">
      <c r="A4771" s="149" t="s">
        <v>6974</v>
      </c>
      <c r="B4771" s="150" t="str">
        <f>IFERROR(VLOOKUP(Proc[[#This Row],[App]],Table2[],3,0),"open")</f>
        <v>ok</v>
      </c>
      <c r="C4771" s="149" t="s">
        <v>369</v>
      </c>
      <c r="D4771" t="s">
        <v>6767</v>
      </c>
      <c r="E4771" s="149" t="s">
        <v>6983</v>
      </c>
      <c r="F4771" s="150" t="s">
        <v>6983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32</v>
      </c>
      <c r="R4771" s="172" t="s">
        <v>5709</v>
      </c>
      <c r="S4771" s="150"/>
    </row>
    <row r="4772" spans="1:19" hidden="1">
      <c r="A4772" s="149" t="s">
        <v>6974</v>
      </c>
      <c r="B4772" s="150" t="str">
        <f>IFERROR(VLOOKUP(Proc[[#This Row],[App]],Table2[],3,0),"open")</f>
        <v>ok</v>
      </c>
      <c r="C4772" s="149" t="s">
        <v>369</v>
      </c>
      <c r="D4772" t="s">
        <v>6768</v>
      </c>
      <c r="E4772" s="149" t="s">
        <v>6983</v>
      </c>
      <c r="F4772" s="150" t="s">
        <v>6983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32</v>
      </c>
      <c r="R4772" s="172" t="s">
        <v>5709</v>
      </c>
      <c r="S4772" s="150"/>
    </row>
    <row r="4773" spans="1:19" hidden="1">
      <c r="A4773" s="149" t="s">
        <v>6974</v>
      </c>
      <c r="B4773" s="150" t="str">
        <f>IFERROR(VLOOKUP(Proc[[#This Row],[App]],Table2[],3,0),"open")</f>
        <v>ok</v>
      </c>
      <c r="C4773" s="149" t="s">
        <v>369</v>
      </c>
      <c r="D4773" t="s">
        <v>6769</v>
      </c>
      <c r="E4773" s="149" t="s">
        <v>6983</v>
      </c>
      <c r="F4773" s="150" t="s">
        <v>6983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32</v>
      </c>
      <c r="R4773" s="172" t="s">
        <v>5709</v>
      </c>
      <c r="S4773" s="150"/>
    </row>
    <row r="4774" spans="1:19" hidden="1">
      <c r="A4774" s="149" t="s">
        <v>6974</v>
      </c>
      <c r="B4774" s="150" t="str">
        <f>IFERROR(VLOOKUP(Proc[[#This Row],[App]],Table2[],3,0),"open")</f>
        <v>ok</v>
      </c>
      <c r="C4774" s="149" t="s">
        <v>369</v>
      </c>
      <c r="D4774" t="s">
        <v>6770</v>
      </c>
      <c r="E4774" s="149" t="s">
        <v>6983</v>
      </c>
      <c r="F4774" s="150" t="s">
        <v>6983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32</v>
      </c>
      <c r="R4774" s="172" t="s">
        <v>5709</v>
      </c>
      <c r="S4774" s="150"/>
    </row>
    <row r="4775" spans="1:19" hidden="1">
      <c r="A4775" s="149" t="s">
        <v>6974</v>
      </c>
      <c r="B4775" s="150" t="str">
        <f>IFERROR(VLOOKUP(Proc[[#This Row],[App]],Table2[],3,0),"open")</f>
        <v>ok</v>
      </c>
      <c r="C4775" s="149" t="s">
        <v>369</v>
      </c>
      <c r="D4775" t="s">
        <v>6771</v>
      </c>
      <c r="E4775" s="149" t="s">
        <v>6983</v>
      </c>
      <c r="F4775" s="150" t="s">
        <v>6983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32</v>
      </c>
      <c r="R4775" s="172" t="s">
        <v>5709</v>
      </c>
      <c r="S4775" s="150"/>
    </row>
    <row r="4776" spans="1:19" hidden="1">
      <c r="A4776" s="149" t="s">
        <v>6974</v>
      </c>
      <c r="B4776" s="150" t="str">
        <f>IFERROR(VLOOKUP(Proc[[#This Row],[App]],Table2[],3,0),"open")</f>
        <v>ok</v>
      </c>
      <c r="C4776" s="149" t="s">
        <v>369</v>
      </c>
      <c r="D4776" t="s">
        <v>6772</v>
      </c>
      <c r="E4776" s="149" t="s">
        <v>6983</v>
      </c>
      <c r="F4776" s="150" t="s">
        <v>6983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32</v>
      </c>
      <c r="R4776" s="172" t="s">
        <v>5709</v>
      </c>
      <c r="S4776" s="150"/>
    </row>
    <row r="4777" spans="1:19" hidden="1">
      <c r="A4777" s="149" t="s">
        <v>6974</v>
      </c>
      <c r="B4777" s="150" t="str">
        <f>IFERROR(VLOOKUP(Proc[[#This Row],[App]],Table2[],3,0),"open")</f>
        <v>ok</v>
      </c>
      <c r="C4777" s="149" t="s">
        <v>369</v>
      </c>
      <c r="D4777" t="s">
        <v>6773</v>
      </c>
      <c r="E4777" s="149" t="s">
        <v>6983</v>
      </c>
      <c r="F4777" s="150" t="s">
        <v>6983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32</v>
      </c>
      <c r="R4777" s="172" t="s">
        <v>5709</v>
      </c>
      <c r="S4777" s="150"/>
    </row>
    <row r="4778" spans="1:19" hidden="1">
      <c r="A4778" s="149" t="s">
        <v>6974</v>
      </c>
      <c r="B4778" s="150" t="str">
        <f>IFERROR(VLOOKUP(Proc[[#This Row],[App]],Table2[],3,0),"open")</f>
        <v>ok</v>
      </c>
      <c r="C4778" s="149" t="s">
        <v>369</v>
      </c>
      <c r="D4778" t="s">
        <v>6774</v>
      </c>
      <c r="E4778" s="149" t="s">
        <v>6983</v>
      </c>
      <c r="F4778" s="150" t="s">
        <v>6983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32</v>
      </c>
      <c r="R4778" s="172" t="s">
        <v>5709</v>
      </c>
      <c r="S4778" s="150"/>
    </row>
    <row r="4779" spans="1:19" hidden="1">
      <c r="A4779" s="149" t="s">
        <v>6974</v>
      </c>
      <c r="B4779" s="150" t="str">
        <f>IFERROR(VLOOKUP(Proc[[#This Row],[App]],Table2[],3,0),"open")</f>
        <v>ok</v>
      </c>
      <c r="C4779" s="149" t="s">
        <v>369</v>
      </c>
      <c r="D4779" t="s">
        <v>6775</v>
      </c>
      <c r="E4779" s="149" t="s">
        <v>6983</v>
      </c>
      <c r="F4779" s="150" t="s">
        <v>6983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32</v>
      </c>
      <c r="R4779" s="172" t="s">
        <v>5709</v>
      </c>
      <c r="S4779" s="150"/>
    </row>
    <row r="4780" spans="1:19" hidden="1">
      <c r="A4780" t="s">
        <v>6975</v>
      </c>
      <c r="B4780" s="150" t="str">
        <f>IFERROR(VLOOKUP(Proc[[#This Row],[App]],Table2[],3,0),"open")</f>
        <v>ok</v>
      </c>
      <c r="C4780" s="149" t="s">
        <v>369</v>
      </c>
      <c r="D4780" t="s">
        <v>6976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32</v>
      </c>
      <c r="R4780" s="172" t="s">
        <v>6982</v>
      </c>
      <c r="S4780" s="150"/>
    </row>
    <row r="4781" spans="1:19" hidden="1">
      <c r="A4781" t="s">
        <v>6975</v>
      </c>
      <c r="B4781" s="150" t="str">
        <f>IFERROR(VLOOKUP(Proc[[#This Row],[App]],Table2[],3,0),"open")</f>
        <v>ok</v>
      </c>
      <c r="C4781" s="149" t="s">
        <v>369</v>
      </c>
      <c r="D4781" t="s">
        <v>6977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32</v>
      </c>
      <c r="R4781" s="172" t="s">
        <v>6982</v>
      </c>
      <c r="S4781" s="150"/>
    </row>
    <row r="4782" spans="1:19" hidden="1">
      <c r="A4782" s="149" t="s">
        <v>6975</v>
      </c>
      <c r="B4782" s="150" t="str">
        <f>IFERROR(VLOOKUP(Proc[[#This Row],[App]],Table2[],3,0),"open")</f>
        <v>ok</v>
      </c>
      <c r="C4782" s="149" t="s">
        <v>369</v>
      </c>
      <c r="D4782" t="s">
        <v>6978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32</v>
      </c>
      <c r="R4782" s="172" t="s">
        <v>6982</v>
      </c>
      <c r="S4782" s="150"/>
    </row>
    <row r="4783" spans="1:19" hidden="1">
      <c r="A4783" s="149" t="s">
        <v>6975</v>
      </c>
      <c r="B4783" s="150" t="str">
        <f>IFERROR(VLOOKUP(Proc[[#This Row],[App]],Table2[],3,0),"open")</f>
        <v>ok</v>
      </c>
      <c r="C4783" s="149" t="s">
        <v>369</v>
      </c>
      <c r="D4783" t="s">
        <v>6979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32</v>
      </c>
      <c r="R4783" s="172" t="s">
        <v>6982</v>
      </c>
      <c r="S4783" s="150"/>
    </row>
    <row r="4784" spans="1:19" hidden="1">
      <c r="A4784" s="149" t="s">
        <v>6975</v>
      </c>
      <c r="B4784" s="150" t="str">
        <f>IFERROR(VLOOKUP(Proc[[#This Row],[App]],Table2[],3,0),"open")</f>
        <v>ok</v>
      </c>
      <c r="C4784" s="149" t="s">
        <v>369</v>
      </c>
      <c r="D4784" t="s">
        <v>6980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32</v>
      </c>
      <c r="R4784" s="172" t="s">
        <v>6982</v>
      </c>
      <c r="S4784" s="150"/>
    </row>
    <row r="4785" spans="1:19" hidden="1">
      <c r="A4785" s="149" t="s">
        <v>6975</v>
      </c>
      <c r="B4785" s="150" t="str">
        <f>IFERROR(VLOOKUP(Proc[[#This Row],[App]],Table2[],3,0),"open")</f>
        <v>ok</v>
      </c>
      <c r="C4785" s="149" t="s">
        <v>369</v>
      </c>
      <c r="D4785" t="s">
        <v>6981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32</v>
      </c>
      <c r="R4785" s="172" t="s">
        <v>6982</v>
      </c>
      <c r="S4785" s="150"/>
    </row>
    <row r="4786" spans="1:19" hidden="1">
      <c r="A4786" t="s">
        <v>6984</v>
      </c>
      <c r="B4786" s="150" t="str">
        <f>IFERROR(VLOOKUP(Proc[[#This Row],[App]],Table2[],3,0),"open")</f>
        <v>ok</v>
      </c>
      <c r="C4786" s="149" t="s">
        <v>369</v>
      </c>
      <c r="D4786" t="s">
        <v>6985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6435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31</v>
      </c>
      <c r="R4786" s="173" t="s">
        <v>6990</v>
      </c>
      <c r="S4786" s="150"/>
    </row>
    <row r="4787" spans="1:19" hidden="1">
      <c r="A4787" t="s">
        <v>6984</v>
      </c>
      <c r="B4787" s="150" t="str">
        <f>IFERROR(VLOOKUP(Proc[[#This Row],[App]],Table2[],3,0),"open")</f>
        <v>ok</v>
      </c>
      <c r="C4787" s="149" t="s">
        <v>369</v>
      </c>
      <c r="D4787" t="s">
        <v>6986</v>
      </c>
      <c r="E4787" t="s">
        <v>6744</v>
      </c>
      <c r="F4787" s="150" t="s">
        <v>6744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6435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31</v>
      </c>
      <c r="R4787" s="173" t="s">
        <v>6990</v>
      </c>
      <c r="S4787" s="150"/>
    </row>
    <row r="4788" spans="1:19" hidden="1">
      <c r="A4788" s="149" t="s">
        <v>6984</v>
      </c>
      <c r="B4788" s="150" t="str">
        <f>IFERROR(VLOOKUP(Proc[[#This Row],[App]],Table2[],3,0),"open")</f>
        <v>ok</v>
      </c>
      <c r="C4788" s="149" t="s">
        <v>369</v>
      </c>
      <c r="D4788" t="s">
        <v>6987</v>
      </c>
      <c r="E4788" t="s">
        <v>6989</v>
      </c>
      <c r="F4788" s="150" t="s">
        <v>6989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6435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31</v>
      </c>
      <c r="R4788" s="173" t="s">
        <v>6990</v>
      </c>
      <c r="S4788" s="150"/>
    </row>
    <row r="4789" spans="1:19" hidden="1">
      <c r="A4789" s="149" t="s">
        <v>6984</v>
      </c>
      <c r="B4789" s="150" t="str">
        <f>IFERROR(VLOOKUP(Proc[[#This Row],[App]],Table2[],3,0),"open")</f>
        <v>ok</v>
      </c>
      <c r="C4789" s="149" t="s">
        <v>369</v>
      </c>
      <c r="D4789" t="s">
        <v>6988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6435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31</v>
      </c>
      <c r="R4789" s="173" t="s">
        <v>6990</v>
      </c>
      <c r="S4789" s="150"/>
    </row>
    <row r="4790" spans="1:19" hidden="1">
      <c r="A4790" t="s">
        <v>6991</v>
      </c>
      <c r="B4790" s="150" t="str">
        <f>IFERROR(VLOOKUP(Proc[[#This Row],[App]],Table2[],3,0),"open")</f>
        <v>ok</v>
      </c>
      <c r="C4790" s="149" t="s">
        <v>369</v>
      </c>
      <c r="D4790" t="s">
        <v>6992</v>
      </c>
      <c r="E4790" t="s">
        <v>6997</v>
      </c>
      <c r="F4790" s="150" t="s">
        <v>6997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6435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31</v>
      </c>
      <c r="R4790" s="172" t="s">
        <v>515</v>
      </c>
      <c r="S4790" s="150"/>
    </row>
    <row r="4791" spans="1:19" hidden="1">
      <c r="A4791" s="149" t="s">
        <v>6991</v>
      </c>
      <c r="B4791" s="150" t="str">
        <f>IFERROR(VLOOKUP(Proc[[#This Row],[App]],Table2[],3,0),"open")</f>
        <v>ok</v>
      </c>
      <c r="C4791" s="149" t="s">
        <v>369</v>
      </c>
      <c r="D4791" t="s">
        <v>6993</v>
      </c>
      <c r="E4791" t="s">
        <v>6997</v>
      </c>
      <c r="F4791" s="150" t="s">
        <v>6997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6435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31</v>
      </c>
      <c r="R4791" s="172" t="s">
        <v>515</v>
      </c>
      <c r="S4791" s="150"/>
    </row>
    <row r="4792" spans="1:19" hidden="1">
      <c r="A4792" s="149" t="s">
        <v>6991</v>
      </c>
      <c r="B4792" s="150" t="str">
        <f>IFERROR(VLOOKUP(Proc[[#This Row],[App]],Table2[],3,0),"open")</f>
        <v>ok</v>
      </c>
      <c r="C4792" s="149" t="s">
        <v>369</v>
      </c>
      <c r="D4792" t="s">
        <v>6994</v>
      </c>
      <c r="E4792" t="s">
        <v>6997</v>
      </c>
      <c r="F4792" s="150" t="s">
        <v>6997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6435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31</v>
      </c>
      <c r="R4792" s="172" t="s">
        <v>515</v>
      </c>
      <c r="S4792" s="150"/>
    </row>
    <row r="4793" spans="1:19" hidden="1">
      <c r="A4793" s="149" t="s">
        <v>6991</v>
      </c>
      <c r="B4793" s="150" t="str">
        <f>IFERROR(VLOOKUP(Proc[[#This Row],[App]],Table2[],3,0),"open")</f>
        <v>ok</v>
      </c>
      <c r="C4793" s="149" t="s">
        <v>369</v>
      </c>
      <c r="D4793" t="s">
        <v>6995</v>
      </c>
      <c r="E4793" t="s">
        <v>6997</v>
      </c>
      <c r="F4793" s="150" t="s">
        <v>6997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6435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31</v>
      </c>
      <c r="R4793" s="172" t="s">
        <v>515</v>
      </c>
      <c r="S4793" s="150"/>
    </row>
    <row r="4794" spans="1:19" hidden="1">
      <c r="A4794" s="149" t="s">
        <v>6991</v>
      </c>
      <c r="B4794" s="150" t="str">
        <f>IFERROR(VLOOKUP(Proc[[#This Row],[App]],Table2[],3,0),"open")</f>
        <v>ok</v>
      </c>
      <c r="C4794" s="149" t="s">
        <v>369</v>
      </c>
      <c r="D4794" t="s">
        <v>6996</v>
      </c>
      <c r="E4794" t="s">
        <v>6997</v>
      </c>
      <c r="F4794" s="150" t="s">
        <v>6997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6435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31</v>
      </c>
      <c r="R4794" s="172" t="s">
        <v>515</v>
      </c>
      <c r="S4794" s="150"/>
    </row>
    <row r="4795" spans="1:19" hidden="1">
      <c r="A4795" t="s">
        <v>6999</v>
      </c>
      <c r="B4795" s="150" t="str">
        <f>IFERROR(VLOOKUP(Proc[[#This Row],[App]],Table2[],3,0),"open")</f>
        <v>ok</v>
      </c>
      <c r="C4795" s="149" t="s">
        <v>369</v>
      </c>
      <c r="D4795" t="s">
        <v>7000</v>
      </c>
      <c r="E4795" t="s">
        <v>6498</v>
      </c>
      <c r="F4795" s="150" t="s">
        <v>6498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6435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31</v>
      </c>
      <c r="R4795" s="173" t="s">
        <v>489</v>
      </c>
      <c r="S4795" s="150"/>
    </row>
    <row r="4796" spans="1:19" hidden="1">
      <c r="A4796" t="s">
        <v>7001</v>
      </c>
      <c r="B4796" s="150" t="str">
        <f>IFERROR(VLOOKUP(Proc[[#This Row],[App]],Table2[],3,0),"open")</f>
        <v>ok</v>
      </c>
      <c r="C4796" s="149" t="s">
        <v>369</v>
      </c>
      <c r="D4796" t="s">
        <v>7005</v>
      </c>
      <c r="E4796" t="s">
        <v>7002</v>
      </c>
      <c r="F4796" s="150" t="s">
        <v>7002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6435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29</v>
      </c>
      <c r="R4796" s="174" t="s">
        <v>485</v>
      </c>
      <c r="S4796" s="150"/>
    </row>
    <row r="4797" spans="1:19" hidden="1">
      <c r="A4797" t="s">
        <v>7001</v>
      </c>
      <c r="B4797" s="150" t="str">
        <f>IFERROR(VLOOKUP(Proc[[#This Row],[App]],Table2[],3,0),"open")</f>
        <v>ok</v>
      </c>
      <c r="C4797" s="149" t="s">
        <v>369</v>
      </c>
      <c r="D4797" t="s">
        <v>7006</v>
      </c>
      <c r="E4797" t="s">
        <v>7003</v>
      </c>
      <c r="F4797" s="150" t="s">
        <v>7003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6435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29</v>
      </c>
      <c r="R4797" s="174" t="s">
        <v>485</v>
      </c>
      <c r="S4797" s="150"/>
    </row>
    <row r="4798" spans="1:19" hidden="1">
      <c r="A4798" s="149" t="s">
        <v>7001</v>
      </c>
      <c r="B4798" s="150" t="str">
        <f>IFERROR(VLOOKUP(Proc[[#This Row],[App]],Table2[],3,0),"open")</f>
        <v>ok</v>
      </c>
      <c r="C4798" s="149" t="s">
        <v>369</v>
      </c>
      <c r="D4798" t="s">
        <v>7007</v>
      </c>
      <c r="E4798" t="s">
        <v>7003</v>
      </c>
      <c r="F4798" s="150" t="s">
        <v>7003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6435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29</v>
      </c>
      <c r="R4798" s="174" t="s">
        <v>485</v>
      </c>
      <c r="S4798" s="150"/>
    </row>
    <row r="4799" spans="1:19" hidden="1">
      <c r="A4799" s="149" t="s">
        <v>7001</v>
      </c>
      <c r="B4799" s="150" t="str">
        <f>IFERROR(VLOOKUP(Proc[[#This Row],[App]],Table2[],3,0),"open")</f>
        <v>ok</v>
      </c>
      <c r="C4799" s="149" t="s">
        <v>369</v>
      </c>
      <c r="D4799" t="s">
        <v>7008</v>
      </c>
      <c r="E4799" t="s">
        <v>7003</v>
      </c>
      <c r="F4799" s="150" t="s">
        <v>7003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6435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29</v>
      </c>
      <c r="R4799" s="174" t="s">
        <v>485</v>
      </c>
      <c r="S4799" s="150"/>
    </row>
    <row r="4800" spans="1:19" hidden="1">
      <c r="A4800" s="149" t="s">
        <v>7001</v>
      </c>
      <c r="B4800" s="150" t="str">
        <f>IFERROR(VLOOKUP(Proc[[#This Row],[App]],Table2[],3,0),"open")</f>
        <v>ok</v>
      </c>
      <c r="C4800" s="149" t="s">
        <v>369</v>
      </c>
      <c r="D4800" t="s">
        <v>7009</v>
      </c>
      <c r="E4800" t="s">
        <v>7003</v>
      </c>
      <c r="F4800" s="150" t="s">
        <v>7003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6435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29</v>
      </c>
      <c r="R4800" s="174" t="s">
        <v>485</v>
      </c>
      <c r="S4800" s="150"/>
    </row>
    <row r="4801" spans="1:19" hidden="1">
      <c r="A4801" s="149" t="s">
        <v>7001</v>
      </c>
      <c r="B4801" s="150" t="str">
        <f>IFERROR(VLOOKUP(Proc[[#This Row],[App]],Table2[],3,0),"open")</f>
        <v>ok</v>
      </c>
      <c r="C4801" s="149" t="s">
        <v>369</v>
      </c>
      <c r="D4801" t="s">
        <v>7010</v>
      </c>
      <c r="E4801" t="s">
        <v>7003</v>
      </c>
      <c r="F4801" s="150" t="s">
        <v>7003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6435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29</v>
      </c>
      <c r="R4801" s="174" t="s">
        <v>485</v>
      </c>
      <c r="S4801" s="150"/>
    </row>
    <row r="4802" spans="1:19" hidden="1">
      <c r="A4802" s="149" t="s">
        <v>7001</v>
      </c>
      <c r="B4802" s="150" t="str">
        <f>IFERROR(VLOOKUP(Proc[[#This Row],[App]],Table2[],3,0),"open")</f>
        <v>ok</v>
      </c>
      <c r="C4802" s="149" t="s">
        <v>369</v>
      </c>
      <c r="D4802" t="s">
        <v>7011</v>
      </c>
      <c r="E4802" t="s">
        <v>7003</v>
      </c>
      <c r="F4802" s="150" t="s">
        <v>7003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6435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29</v>
      </c>
      <c r="R4802" s="174" t="s">
        <v>485</v>
      </c>
      <c r="S4802" s="150"/>
    </row>
    <row r="4803" spans="1:19" hidden="1">
      <c r="A4803" s="149" t="s">
        <v>7001</v>
      </c>
      <c r="B4803" s="150" t="str">
        <f>IFERROR(VLOOKUP(Proc[[#This Row],[App]],Table2[],3,0),"open")</f>
        <v>ok</v>
      </c>
      <c r="C4803" s="149" t="s">
        <v>369</v>
      </c>
      <c r="D4803" t="s">
        <v>7012</v>
      </c>
      <c r="E4803" t="s">
        <v>7003</v>
      </c>
      <c r="F4803" s="150" t="s">
        <v>7003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6435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29</v>
      </c>
      <c r="R4803" s="174" t="s">
        <v>485</v>
      </c>
      <c r="S4803" s="150"/>
    </row>
    <row r="4804" spans="1:19" hidden="1">
      <c r="A4804" s="149" t="s">
        <v>7001</v>
      </c>
      <c r="B4804" s="150" t="str">
        <f>IFERROR(VLOOKUP(Proc[[#This Row],[App]],Table2[],3,0),"open")</f>
        <v>ok</v>
      </c>
      <c r="C4804" s="149" t="s">
        <v>369</v>
      </c>
      <c r="D4804" t="s">
        <v>7013</v>
      </c>
      <c r="E4804" t="s">
        <v>7003</v>
      </c>
      <c r="F4804" s="150" t="s">
        <v>7003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6435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29</v>
      </c>
      <c r="R4804" s="174" t="s">
        <v>485</v>
      </c>
      <c r="S4804" s="150"/>
    </row>
    <row r="4805" spans="1:19" hidden="1">
      <c r="A4805" s="149" t="s">
        <v>7001</v>
      </c>
      <c r="B4805" s="150" t="str">
        <f>IFERROR(VLOOKUP(Proc[[#This Row],[App]],Table2[],3,0),"open")</f>
        <v>ok</v>
      </c>
      <c r="C4805" s="149" t="s">
        <v>369</v>
      </c>
      <c r="D4805" t="s">
        <v>7014</v>
      </c>
      <c r="E4805" t="s">
        <v>7002</v>
      </c>
      <c r="F4805" s="150" t="s">
        <v>7002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6435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29</v>
      </c>
      <c r="R4805" s="174" t="s">
        <v>485</v>
      </c>
      <c r="S4805" s="150"/>
    </row>
    <row r="4806" spans="1:19" hidden="1">
      <c r="A4806" s="149" t="s">
        <v>7001</v>
      </c>
      <c r="B4806" s="150" t="str">
        <f>IFERROR(VLOOKUP(Proc[[#This Row],[App]],Table2[],3,0),"open")</f>
        <v>ok</v>
      </c>
      <c r="C4806" s="149" t="s">
        <v>369</v>
      </c>
      <c r="D4806" t="s">
        <v>7015</v>
      </c>
      <c r="E4806" t="s">
        <v>7002</v>
      </c>
      <c r="F4806" s="150" t="s">
        <v>7002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6435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29</v>
      </c>
      <c r="R4806" s="174" t="s">
        <v>485</v>
      </c>
      <c r="S4806" s="150"/>
    </row>
    <row r="4807" spans="1:19" hidden="1">
      <c r="A4807" s="149" t="s">
        <v>7001</v>
      </c>
      <c r="B4807" s="150" t="str">
        <f>IFERROR(VLOOKUP(Proc[[#This Row],[App]],Table2[],3,0),"open")</f>
        <v>ok</v>
      </c>
      <c r="C4807" s="149" t="s">
        <v>369</v>
      </c>
      <c r="D4807" t="s">
        <v>7016</v>
      </c>
      <c r="E4807" t="s">
        <v>7002</v>
      </c>
      <c r="F4807" s="150" t="s">
        <v>7002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6435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29</v>
      </c>
      <c r="R4807" s="174" t="s">
        <v>485</v>
      </c>
      <c r="S4807" s="150"/>
    </row>
    <row r="4808" spans="1:19" hidden="1">
      <c r="A4808" s="149" t="s">
        <v>7001</v>
      </c>
      <c r="B4808" s="150" t="str">
        <f>IFERROR(VLOOKUP(Proc[[#This Row],[App]],Table2[],3,0),"open")</f>
        <v>ok</v>
      </c>
      <c r="C4808" s="149" t="s">
        <v>369</v>
      </c>
      <c r="D4808" t="s">
        <v>7017</v>
      </c>
      <c r="E4808" t="s">
        <v>7004</v>
      </c>
      <c r="F4808" s="150" t="s">
        <v>7004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6435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29</v>
      </c>
      <c r="R4808" s="174" t="s">
        <v>485</v>
      </c>
      <c r="S4808" s="150"/>
    </row>
    <row r="4809" spans="1:19" hidden="1">
      <c r="A4809" s="149" t="s">
        <v>7001</v>
      </c>
      <c r="B4809" s="150" t="str">
        <f>IFERROR(VLOOKUP(Proc[[#This Row],[App]],Table2[],3,0),"open")</f>
        <v>ok</v>
      </c>
      <c r="C4809" s="149" t="s">
        <v>369</v>
      </c>
      <c r="D4809" t="s">
        <v>7018</v>
      </c>
      <c r="E4809" t="s">
        <v>7002</v>
      </c>
      <c r="F4809" s="150" t="s">
        <v>7002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6435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29</v>
      </c>
      <c r="R4809" s="174" t="s">
        <v>485</v>
      </c>
      <c r="S4809" s="150"/>
    </row>
    <row r="4810" spans="1:19" hidden="1">
      <c r="A4810" s="149" t="s">
        <v>7001</v>
      </c>
      <c r="B4810" s="150" t="str">
        <f>IFERROR(VLOOKUP(Proc[[#This Row],[App]],Table2[],3,0),"open")</f>
        <v>ok</v>
      </c>
      <c r="C4810" s="149" t="s">
        <v>369</v>
      </c>
      <c r="D4810" t="s">
        <v>7019</v>
      </c>
      <c r="E4810" t="s">
        <v>7002</v>
      </c>
      <c r="F4810" s="150" t="s">
        <v>7002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6435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29</v>
      </c>
      <c r="R4810" s="174" t="s">
        <v>485</v>
      </c>
      <c r="S4810" s="150"/>
    </row>
    <row r="4811" spans="1:19" hidden="1">
      <c r="A4811" s="149" t="s">
        <v>7001</v>
      </c>
      <c r="B4811" s="150" t="str">
        <f>IFERROR(VLOOKUP(Proc[[#This Row],[App]],Table2[],3,0),"open")</f>
        <v>ok</v>
      </c>
      <c r="C4811" s="149" t="s">
        <v>369</v>
      </c>
      <c r="D4811" t="s">
        <v>7020</v>
      </c>
      <c r="E4811" t="s">
        <v>7002</v>
      </c>
      <c r="F4811" s="150" t="s">
        <v>7002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6435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29</v>
      </c>
      <c r="R4811" s="174" t="s">
        <v>485</v>
      </c>
      <c r="S4811" s="150"/>
    </row>
    <row r="4812" spans="1:19" hidden="1">
      <c r="A4812" s="149" t="s">
        <v>7001</v>
      </c>
      <c r="B4812" s="150" t="str">
        <f>IFERROR(VLOOKUP(Proc[[#This Row],[App]],Table2[],3,0),"open")</f>
        <v>ok</v>
      </c>
      <c r="C4812" s="149" t="s">
        <v>369</v>
      </c>
      <c r="D4812" t="s">
        <v>7021</v>
      </c>
      <c r="E4812" t="s">
        <v>7002</v>
      </c>
      <c r="F4812" s="150" t="s">
        <v>7002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6435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29</v>
      </c>
      <c r="R4812" s="174" t="s">
        <v>485</v>
      </c>
      <c r="S4812" s="150"/>
    </row>
    <row r="4813" spans="1:19" hidden="1">
      <c r="A4813" s="149" t="s">
        <v>7001</v>
      </c>
      <c r="B4813" s="150" t="str">
        <f>IFERROR(VLOOKUP(Proc[[#This Row],[App]],Table2[],3,0),"open")</f>
        <v>ok</v>
      </c>
      <c r="C4813" s="149" t="s">
        <v>369</v>
      </c>
      <c r="D4813" t="s">
        <v>7022</v>
      </c>
      <c r="E4813" t="s">
        <v>7002</v>
      </c>
      <c r="F4813" s="150" t="s">
        <v>7002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6435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29</v>
      </c>
      <c r="R4813" s="174" t="s">
        <v>485</v>
      </c>
      <c r="S4813" s="150"/>
    </row>
    <row r="4814" spans="1:19" hidden="1">
      <c r="A4814" s="149" t="s">
        <v>7001</v>
      </c>
      <c r="B4814" s="150" t="str">
        <f>IFERROR(VLOOKUP(Proc[[#This Row],[App]],Table2[],3,0),"open")</f>
        <v>ok</v>
      </c>
      <c r="C4814" s="149" t="s">
        <v>369</v>
      </c>
      <c r="D4814" t="s">
        <v>7023</v>
      </c>
      <c r="E4814" t="s">
        <v>7002</v>
      </c>
      <c r="F4814" s="150" t="s">
        <v>7002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6435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29</v>
      </c>
      <c r="R4814" s="174" t="s">
        <v>485</v>
      </c>
      <c r="S4814" s="150"/>
    </row>
    <row r="4815" spans="1:19" hidden="1">
      <c r="A4815" s="149" t="s">
        <v>7001</v>
      </c>
      <c r="B4815" s="150" t="str">
        <f>IFERROR(VLOOKUP(Proc[[#This Row],[App]],Table2[],3,0),"open")</f>
        <v>ok</v>
      </c>
      <c r="C4815" s="149" t="s">
        <v>369</v>
      </c>
      <c r="D4815" t="s">
        <v>7024</v>
      </c>
      <c r="E4815" t="s">
        <v>7004</v>
      </c>
      <c r="F4815" s="150" t="s">
        <v>7004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6435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29</v>
      </c>
      <c r="R4815" s="174" t="s">
        <v>485</v>
      </c>
      <c r="S4815" s="150"/>
    </row>
    <row r="4816" spans="1:19" hidden="1">
      <c r="A4816" s="149" t="s">
        <v>7001</v>
      </c>
      <c r="B4816" s="150" t="str">
        <f>IFERROR(VLOOKUP(Proc[[#This Row],[App]],Table2[],3,0),"open")</f>
        <v>ok</v>
      </c>
      <c r="C4816" s="149" t="s">
        <v>369</v>
      </c>
      <c r="D4816" t="s">
        <v>7025</v>
      </c>
      <c r="E4816" t="s">
        <v>7002</v>
      </c>
      <c r="F4816" s="150" t="s">
        <v>7002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6435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29</v>
      </c>
      <c r="R4816" s="174" t="s">
        <v>485</v>
      </c>
      <c r="S4816" s="150"/>
    </row>
    <row r="4817" spans="1:19" hidden="1">
      <c r="A4817" s="149" t="s">
        <v>7001</v>
      </c>
      <c r="B4817" s="150" t="str">
        <f>IFERROR(VLOOKUP(Proc[[#This Row],[App]],Table2[],3,0),"open")</f>
        <v>ok</v>
      </c>
      <c r="C4817" s="149" t="s">
        <v>369</v>
      </c>
      <c r="D4817" t="s">
        <v>7026</v>
      </c>
      <c r="E4817" t="s">
        <v>7002</v>
      </c>
      <c r="F4817" s="150" t="s">
        <v>7002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6435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29</v>
      </c>
      <c r="R4817" s="174" t="s">
        <v>485</v>
      </c>
      <c r="S4817" s="150"/>
    </row>
    <row r="4818" spans="1:19" hidden="1">
      <c r="A4818" s="149" t="s">
        <v>7001</v>
      </c>
      <c r="B4818" s="150" t="str">
        <f>IFERROR(VLOOKUP(Proc[[#This Row],[App]],Table2[],3,0),"open")</f>
        <v>ok</v>
      </c>
      <c r="C4818" s="149" t="s">
        <v>369</v>
      </c>
      <c r="D4818" t="s">
        <v>7027</v>
      </c>
      <c r="E4818" t="s">
        <v>7002</v>
      </c>
      <c r="F4818" s="150" t="s">
        <v>7002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6435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29</v>
      </c>
      <c r="R4818" s="174" t="s">
        <v>485</v>
      </c>
      <c r="S4818" s="150"/>
    </row>
    <row r="4819" spans="1:19" hidden="1">
      <c r="A4819" s="149" t="s">
        <v>7001</v>
      </c>
      <c r="B4819" s="150" t="str">
        <f>IFERROR(VLOOKUP(Proc[[#This Row],[App]],Table2[],3,0),"open")</f>
        <v>ok</v>
      </c>
      <c r="C4819" s="149" t="s">
        <v>369</v>
      </c>
      <c r="D4819" t="s">
        <v>7028</v>
      </c>
      <c r="E4819" t="s">
        <v>7002</v>
      </c>
      <c r="F4819" s="150" t="s">
        <v>7002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6435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29</v>
      </c>
      <c r="R4819" s="174" t="s">
        <v>485</v>
      </c>
      <c r="S4819" s="150"/>
    </row>
    <row r="4820" spans="1:19" hidden="1">
      <c r="A4820" s="149" t="s">
        <v>7001</v>
      </c>
      <c r="B4820" s="150" t="str">
        <f>IFERROR(VLOOKUP(Proc[[#This Row],[App]],Table2[],3,0),"open")</f>
        <v>ok</v>
      </c>
      <c r="C4820" s="149" t="s">
        <v>369</v>
      </c>
      <c r="D4820" t="s">
        <v>7029</v>
      </c>
      <c r="E4820" t="s">
        <v>7002</v>
      </c>
      <c r="F4820" s="150" t="s">
        <v>7002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6435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29</v>
      </c>
      <c r="R4820" s="174" t="s">
        <v>485</v>
      </c>
      <c r="S4820" s="150"/>
    </row>
    <row r="4821" spans="1:19" hidden="1">
      <c r="A4821" s="149" t="s">
        <v>7001</v>
      </c>
      <c r="B4821" s="150" t="str">
        <f>IFERROR(VLOOKUP(Proc[[#This Row],[App]],Table2[],3,0),"open")</f>
        <v>ok</v>
      </c>
      <c r="C4821" s="149" t="s">
        <v>369</v>
      </c>
      <c r="D4821" t="s">
        <v>7030</v>
      </c>
      <c r="E4821" t="s">
        <v>7002</v>
      </c>
      <c r="F4821" s="150" t="s">
        <v>7002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6435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29</v>
      </c>
      <c r="R4821" s="174" t="s">
        <v>485</v>
      </c>
      <c r="S4821" s="150"/>
    </row>
    <row r="4822" spans="1:19" hidden="1">
      <c r="A4822" s="149" t="s">
        <v>7001</v>
      </c>
      <c r="B4822" s="150" t="str">
        <f>IFERROR(VLOOKUP(Proc[[#This Row],[App]],Table2[],3,0),"open")</f>
        <v>ok</v>
      </c>
      <c r="C4822" s="149" t="s">
        <v>369</v>
      </c>
      <c r="D4822" t="s">
        <v>7031</v>
      </c>
      <c r="E4822" t="s">
        <v>7002</v>
      </c>
      <c r="F4822" s="150" t="s">
        <v>7002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6435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29</v>
      </c>
      <c r="R4822" s="174" t="s">
        <v>485</v>
      </c>
      <c r="S4822" s="150"/>
    </row>
    <row r="4823" spans="1:19" hidden="1">
      <c r="A4823" s="149" t="s">
        <v>7001</v>
      </c>
      <c r="B4823" s="150" t="str">
        <f>IFERROR(VLOOKUP(Proc[[#This Row],[App]],Table2[],3,0),"open")</f>
        <v>ok</v>
      </c>
      <c r="C4823" s="149" t="s">
        <v>369</v>
      </c>
      <c r="D4823" t="s">
        <v>7032</v>
      </c>
      <c r="E4823" t="s">
        <v>7004</v>
      </c>
      <c r="F4823" s="150" t="s">
        <v>7004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6435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29</v>
      </c>
      <c r="R4823" s="174" t="s">
        <v>485</v>
      </c>
      <c r="S4823" s="150"/>
    </row>
    <row r="4824" spans="1:19" hidden="1">
      <c r="A4824" s="149" t="s">
        <v>7001</v>
      </c>
      <c r="B4824" s="150" t="str">
        <f>IFERROR(VLOOKUP(Proc[[#This Row],[App]],Table2[],3,0),"open")</f>
        <v>ok</v>
      </c>
      <c r="C4824" s="149" t="s">
        <v>369</v>
      </c>
      <c r="D4824" t="s">
        <v>7033</v>
      </c>
      <c r="E4824" t="s">
        <v>7004</v>
      </c>
      <c r="F4824" s="150" t="s">
        <v>7004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6435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29</v>
      </c>
      <c r="R4824" s="174" t="s">
        <v>485</v>
      </c>
      <c r="S4824" s="150"/>
    </row>
    <row r="4825" spans="1:19" hidden="1">
      <c r="A4825" s="149" t="s">
        <v>7001</v>
      </c>
      <c r="B4825" s="150" t="str">
        <f>IFERROR(VLOOKUP(Proc[[#This Row],[App]],Table2[],3,0),"open")</f>
        <v>ok</v>
      </c>
      <c r="C4825" s="149" t="s">
        <v>369</v>
      </c>
      <c r="D4825" t="s">
        <v>7034</v>
      </c>
      <c r="E4825" t="s">
        <v>7002</v>
      </c>
      <c r="F4825" s="150" t="s">
        <v>7002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6435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29</v>
      </c>
      <c r="R4825" s="174" t="s">
        <v>485</v>
      </c>
      <c r="S4825" s="150"/>
    </row>
    <row r="4826" spans="1:19" hidden="1">
      <c r="A4826" s="149" t="s">
        <v>7001</v>
      </c>
      <c r="B4826" s="150" t="str">
        <f>IFERROR(VLOOKUP(Proc[[#This Row],[App]],Table2[],3,0),"open")</f>
        <v>ok</v>
      </c>
      <c r="C4826" s="149" t="s">
        <v>369</v>
      </c>
      <c r="D4826" t="s">
        <v>7035</v>
      </c>
      <c r="E4826" t="s">
        <v>7002</v>
      </c>
      <c r="F4826" s="150" t="s">
        <v>7002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6435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29</v>
      </c>
      <c r="R4826" s="174" t="s">
        <v>485</v>
      </c>
      <c r="S4826" s="150"/>
    </row>
    <row r="4827" spans="1:19" hidden="1">
      <c r="A4827" s="149" t="s">
        <v>7001</v>
      </c>
      <c r="B4827" s="150" t="str">
        <f>IFERROR(VLOOKUP(Proc[[#This Row],[App]],Table2[],3,0),"open")</f>
        <v>ok</v>
      </c>
      <c r="C4827" s="149" t="s">
        <v>369</v>
      </c>
      <c r="D4827" t="s">
        <v>7036</v>
      </c>
      <c r="E4827" t="s">
        <v>7002</v>
      </c>
      <c r="F4827" s="150" t="s">
        <v>7002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6435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29</v>
      </c>
      <c r="R4827" s="174" t="s">
        <v>485</v>
      </c>
      <c r="S4827" s="150"/>
    </row>
    <row r="4828" spans="1:19" hidden="1">
      <c r="A4828" s="149" t="s">
        <v>7001</v>
      </c>
      <c r="B4828" s="150" t="str">
        <f>IFERROR(VLOOKUP(Proc[[#This Row],[App]],Table2[],3,0),"open")</f>
        <v>ok</v>
      </c>
      <c r="C4828" s="149" t="s">
        <v>369</v>
      </c>
      <c r="D4828" t="s">
        <v>7037</v>
      </c>
      <c r="E4828" t="s">
        <v>7004</v>
      </c>
      <c r="F4828" s="150" t="s">
        <v>7004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6435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29</v>
      </c>
      <c r="R4828" s="174" t="s">
        <v>485</v>
      </c>
      <c r="S4828" s="150"/>
    </row>
    <row r="4829" spans="1:19" hidden="1">
      <c r="A4829" s="149" t="s">
        <v>7001</v>
      </c>
      <c r="B4829" s="150" t="str">
        <f>IFERROR(VLOOKUP(Proc[[#This Row],[App]],Table2[],3,0),"open")</f>
        <v>ok</v>
      </c>
      <c r="C4829" s="149" t="s">
        <v>369</v>
      </c>
      <c r="D4829" t="s">
        <v>7038</v>
      </c>
      <c r="E4829" t="s">
        <v>7002</v>
      </c>
      <c r="F4829" s="150" t="s">
        <v>7002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6435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29</v>
      </c>
      <c r="R4829" s="174" t="s">
        <v>485</v>
      </c>
      <c r="S4829" s="150"/>
    </row>
    <row r="4830" spans="1:19" hidden="1">
      <c r="A4830" t="s">
        <v>7039</v>
      </c>
      <c r="B4830" s="150" t="str">
        <f>IFERROR(VLOOKUP(Proc[[#This Row],[App]],Table2[],3,0),"open")</f>
        <v>ok</v>
      </c>
      <c r="C4830" s="149" t="s">
        <v>369</v>
      </c>
      <c r="D4830" t="s">
        <v>7040</v>
      </c>
      <c r="E4830" t="s">
        <v>7228</v>
      </c>
      <c r="F4830" s="150" t="s">
        <v>7228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7228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6435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28</v>
      </c>
      <c r="R4830" s="174" t="s">
        <v>5709</v>
      </c>
      <c r="S4830" s="150"/>
    </row>
    <row r="4831" spans="1:19" hidden="1">
      <c r="A4831" t="s">
        <v>7039</v>
      </c>
      <c r="B4831" s="150" t="str">
        <f>IFERROR(VLOOKUP(Proc[[#This Row],[App]],Table2[],3,0),"open")</f>
        <v>ok</v>
      </c>
      <c r="C4831" s="149" t="s">
        <v>369</v>
      </c>
      <c r="D4831" t="s">
        <v>7041</v>
      </c>
      <c r="E4831" s="149" t="s">
        <v>7228</v>
      </c>
      <c r="F4831" s="150" t="s">
        <v>7228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7228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6435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28</v>
      </c>
      <c r="R4831" s="174" t="s">
        <v>5709</v>
      </c>
      <c r="S4831" s="150"/>
    </row>
    <row r="4832" spans="1:19" hidden="1">
      <c r="A4832" s="149" t="s">
        <v>7039</v>
      </c>
      <c r="B4832" s="150" t="str">
        <f>IFERROR(VLOOKUP(Proc[[#This Row],[App]],Table2[],3,0),"open")</f>
        <v>ok</v>
      </c>
      <c r="C4832" s="149" t="s">
        <v>369</v>
      </c>
      <c r="D4832" t="s">
        <v>7042</v>
      </c>
      <c r="E4832" s="149" t="s">
        <v>7228</v>
      </c>
      <c r="F4832" s="150" t="s">
        <v>7228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7228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6435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28</v>
      </c>
      <c r="R4832" s="174" t="s">
        <v>5709</v>
      </c>
      <c r="S4832" s="150"/>
    </row>
    <row r="4833" spans="1:19" hidden="1">
      <c r="A4833" s="149" t="s">
        <v>7039</v>
      </c>
      <c r="B4833" s="150" t="str">
        <f>IFERROR(VLOOKUP(Proc[[#This Row],[App]],Table2[],3,0),"open")</f>
        <v>ok</v>
      </c>
      <c r="C4833" s="149" t="s">
        <v>369</v>
      </c>
      <c r="D4833" t="s">
        <v>7043</v>
      </c>
      <c r="E4833" s="149" t="s">
        <v>7228</v>
      </c>
      <c r="F4833" s="150" t="s">
        <v>7228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7228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6435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28</v>
      </c>
      <c r="R4833" s="174" t="s">
        <v>5709</v>
      </c>
      <c r="S4833" s="150"/>
    </row>
    <row r="4834" spans="1:19" hidden="1">
      <c r="A4834" s="149" t="s">
        <v>7039</v>
      </c>
      <c r="B4834" s="150" t="str">
        <f>IFERROR(VLOOKUP(Proc[[#This Row],[App]],Table2[],3,0),"open")</f>
        <v>ok</v>
      </c>
      <c r="C4834" s="149" t="s">
        <v>369</v>
      </c>
      <c r="D4834" t="s">
        <v>7044</v>
      </c>
      <c r="E4834" s="149" t="s">
        <v>7228</v>
      </c>
      <c r="F4834" s="150" t="s">
        <v>7228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7228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6435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28</v>
      </c>
      <c r="R4834" s="174" t="s">
        <v>5709</v>
      </c>
      <c r="S4834" s="150"/>
    </row>
    <row r="4835" spans="1:19" hidden="1">
      <c r="A4835" s="149" t="s">
        <v>7039</v>
      </c>
      <c r="B4835" s="150" t="str">
        <f>IFERROR(VLOOKUP(Proc[[#This Row],[App]],Table2[],3,0),"open")</f>
        <v>ok</v>
      </c>
      <c r="C4835" s="149" t="s">
        <v>369</v>
      </c>
      <c r="D4835" t="s">
        <v>7045</v>
      </c>
      <c r="E4835" s="149" t="s">
        <v>7229</v>
      </c>
      <c r="F4835" s="150" t="s">
        <v>7229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7229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6435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28</v>
      </c>
      <c r="R4835" s="174" t="s">
        <v>5709</v>
      </c>
      <c r="S4835" s="150"/>
    </row>
    <row r="4836" spans="1:19" hidden="1">
      <c r="A4836" s="149" t="s">
        <v>7039</v>
      </c>
      <c r="B4836" s="150" t="str">
        <f>IFERROR(VLOOKUP(Proc[[#This Row],[App]],Table2[],3,0),"open")</f>
        <v>ok</v>
      </c>
      <c r="C4836" s="149" t="s">
        <v>369</v>
      </c>
      <c r="D4836" t="s">
        <v>7046</v>
      </c>
      <c r="E4836" s="149" t="s">
        <v>7229</v>
      </c>
      <c r="F4836" s="150" t="s">
        <v>7229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7229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6435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28</v>
      </c>
      <c r="R4836" s="174" t="s">
        <v>5709</v>
      </c>
      <c r="S4836" s="150"/>
    </row>
    <row r="4837" spans="1:19" hidden="1">
      <c r="A4837" s="149" t="s">
        <v>7039</v>
      </c>
      <c r="B4837" s="150" t="str">
        <f>IFERROR(VLOOKUP(Proc[[#This Row],[App]],Table2[],3,0),"open")</f>
        <v>ok</v>
      </c>
      <c r="C4837" s="149" t="s">
        <v>369</v>
      </c>
      <c r="D4837" t="s">
        <v>7047</v>
      </c>
      <c r="E4837" s="149" t="s">
        <v>7229</v>
      </c>
      <c r="F4837" s="150" t="s">
        <v>7229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7229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6435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28</v>
      </c>
      <c r="R4837" s="174" t="s">
        <v>5709</v>
      </c>
      <c r="S4837" s="150"/>
    </row>
    <row r="4838" spans="1:19" hidden="1">
      <c r="A4838" s="149" t="s">
        <v>7039</v>
      </c>
      <c r="B4838" s="150" t="str">
        <f>IFERROR(VLOOKUP(Proc[[#This Row],[App]],Table2[],3,0),"open")</f>
        <v>ok</v>
      </c>
      <c r="C4838" s="149" t="s">
        <v>369</v>
      </c>
      <c r="D4838" t="s">
        <v>7048</v>
      </c>
      <c r="E4838" s="149" t="s">
        <v>7229</v>
      </c>
      <c r="F4838" s="150" t="s">
        <v>7229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7229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6435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28</v>
      </c>
      <c r="R4838" s="174" t="s">
        <v>5709</v>
      </c>
      <c r="S4838" s="150"/>
    </row>
    <row r="4839" spans="1:19" hidden="1">
      <c r="A4839" s="149" t="s">
        <v>7039</v>
      </c>
      <c r="B4839" s="150" t="str">
        <f>IFERROR(VLOOKUP(Proc[[#This Row],[App]],Table2[],3,0),"open")</f>
        <v>ok</v>
      </c>
      <c r="C4839" s="149" t="s">
        <v>369</v>
      </c>
      <c r="D4839" t="s">
        <v>7049</v>
      </c>
      <c r="E4839" s="149" t="s">
        <v>7229</v>
      </c>
      <c r="F4839" s="150" t="s">
        <v>7229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7229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6435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28</v>
      </c>
      <c r="R4839" s="174" t="s">
        <v>5709</v>
      </c>
      <c r="S4839" s="150"/>
    </row>
    <row r="4840" spans="1:19" hidden="1">
      <c r="A4840" s="149" t="s">
        <v>7039</v>
      </c>
      <c r="B4840" s="150" t="str">
        <f>IFERROR(VLOOKUP(Proc[[#This Row],[App]],Table2[],3,0),"open")</f>
        <v>ok</v>
      </c>
      <c r="C4840" s="149" t="s">
        <v>369</v>
      </c>
      <c r="D4840" t="s">
        <v>7050</v>
      </c>
      <c r="E4840" s="149" t="s">
        <v>7229</v>
      </c>
      <c r="F4840" s="150" t="s">
        <v>7229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7229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6435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28</v>
      </c>
      <c r="R4840" s="174" t="s">
        <v>5709</v>
      </c>
      <c r="S4840" s="150"/>
    </row>
    <row r="4841" spans="1:19" hidden="1">
      <c r="A4841" s="149" t="s">
        <v>7039</v>
      </c>
      <c r="B4841" s="150" t="str">
        <f>IFERROR(VLOOKUP(Proc[[#This Row],[App]],Table2[],3,0),"open")</f>
        <v>ok</v>
      </c>
      <c r="C4841" s="149" t="s">
        <v>369</v>
      </c>
      <c r="D4841" t="s">
        <v>7051</v>
      </c>
      <c r="E4841" s="149" t="s">
        <v>7229</v>
      </c>
      <c r="F4841" s="150" t="s">
        <v>7229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7229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6435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28</v>
      </c>
      <c r="R4841" s="174" t="s">
        <v>5709</v>
      </c>
      <c r="S4841" s="150"/>
    </row>
    <row r="4842" spans="1:19" hidden="1">
      <c r="A4842" s="149" t="s">
        <v>7039</v>
      </c>
      <c r="B4842" s="150" t="str">
        <f>IFERROR(VLOOKUP(Proc[[#This Row],[App]],Table2[],3,0),"open")</f>
        <v>ok</v>
      </c>
      <c r="C4842" s="149" t="s">
        <v>369</v>
      </c>
      <c r="D4842" t="s">
        <v>7052</v>
      </c>
      <c r="E4842" s="149" t="s">
        <v>7229</v>
      </c>
      <c r="F4842" s="150" t="s">
        <v>7229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7229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6435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28</v>
      </c>
      <c r="R4842" s="174" t="s">
        <v>5709</v>
      </c>
      <c r="S4842" s="150"/>
    </row>
    <row r="4843" spans="1:19" hidden="1">
      <c r="A4843" s="149" t="s">
        <v>7039</v>
      </c>
      <c r="B4843" s="150" t="str">
        <f>IFERROR(VLOOKUP(Proc[[#This Row],[App]],Table2[],3,0),"open")</f>
        <v>ok</v>
      </c>
      <c r="C4843" s="149" t="s">
        <v>369</v>
      </c>
      <c r="D4843" t="s">
        <v>7053</v>
      </c>
      <c r="E4843" s="149" t="s">
        <v>7229</v>
      </c>
      <c r="F4843" s="150" t="s">
        <v>7229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7229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6435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28</v>
      </c>
      <c r="R4843" s="174" t="s">
        <v>5709</v>
      </c>
      <c r="S4843" s="150"/>
    </row>
    <row r="4844" spans="1:19" hidden="1">
      <c r="A4844" s="149" t="s">
        <v>7039</v>
      </c>
      <c r="B4844" s="150" t="str">
        <f>IFERROR(VLOOKUP(Proc[[#This Row],[App]],Table2[],3,0),"open")</f>
        <v>ok</v>
      </c>
      <c r="C4844" s="149" t="s">
        <v>369</v>
      </c>
      <c r="D4844" t="s">
        <v>7246</v>
      </c>
      <c r="E4844" s="149" t="s">
        <v>7229</v>
      </c>
      <c r="F4844" s="150" t="s">
        <v>7229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7229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6435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28</v>
      </c>
      <c r="R4844" s="174" t="s">
        <v>5709</v>
      </c>
      <c r="S4844" s="150"/>
    </row>
    <row r="4845" spans="1:19" hidden="1">
      <c r="A4845" s="149" t="s">
        <v>7039</v>
      </c>
      <c r="B4845" s="150" t="str">
        <f>IFERROR(VLOOKUP(Proc[[#This Row],[App]],Table2[],3,0),"open")</f>
        <v>ok</v>
      </c>
      <c r="C4845" s="149" t="s">
        <v>369</v>
      </c>
      <c r="D4845" t="s">
        <v>7054</v>
      </c>
      <c r="E4845" s="149" t="s">
        <v>7229</v>
      </c>
      <c r="F4845" s="150" t="s">
        <v>7229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7229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6435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28</v>
      </c>
      <c r="R4845" s="174" t="s">
        <v>5709</v>
      </c>
      <c r="S4845" s="150"/>
    </row>
    <row r="4846" spans="1:19" hidden="1">
      <c r="A4846" s="149" t="s">
        <v>7039</v>
      </c>
      <c r="B4846" s="150" t="str">
        <f>IFERROR(VLOOKUP(Proc[[#This Row],[App]],Table2[],3,0),"open")</f>
        <v>ok</v>
      </c>
      <c r="C4846" s="149" t="s">
        <v>369</v>
      </c>
      <c r="D4846" t="s">
        <v>7055</v>
      </c>
      <c r="E4846" s="149" t="s">
        <v>7229</v>
      </c>
      <c r="F4846" s="150" t="s">
        <v>7229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7229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6435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28</v>
      </c>
      <c r="R4846" s="174" t="s">
        <v>5709</v>
      </c>
      <c r="S4846" s="150"/>
    </row>
    <row r="4847" spans="1:19" hidden="1">
      <c r="A4847" s="149" t="s">
        <v>7039</v>
      </c>
      <c r="B4847" s="150" t="str">
        <f>IFERROR(VLOOKUP(Proc[[#This Row],[App]],Table2[],3,0),"open")</f>
        <v>ok</v>
      </c>
      <c r="C4847" s="149" t="s">
        <v>369</v>
      </c>
      <c r="D4847" t="s">
        <v>7056</v>
      </c>
      <c r="E4847" s="149" t="s">
        <v>7229</v>
      </c>
      <c r="F4847" s="150" t="s">
        <v>7229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7229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6435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28</v>
      </c>
      <c r="R4847" s="174" t="s">
        <v>5709</v>
      </c>
      <c r="S4847" s="150"/>
    </row>
    <row r="4848" spans="1:19" hidden="1">
      <c r="A4848" s="149" t="s">
        <v>7039</v>
      </c>
      <c r="B4848" s="150" t="str">
        <f>IFERROR(VLOOKUP(Proc[[#This Row],[App]],Table2[],3,0),"open")</f>
        <v>ok</v>
      </c>
      <c r="C4848" s="149" t="s">
        <v>369</v>
      </c>
      <c r="D4848" t="s">
        <v>7057</v>
      </c>
      <c r="E4848" s="149" t="s">
        <v>7229</v>
      </c>
      <c r="F4848" s="150" t="s">
        <v>7229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7229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6435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28</v>
      </c>
      <c r="R4848" s="174" t="s">
        <v>5709</v>
      </c>
      <c r="S4848" s="150"/>
    </row>
    <row r="4849" spans="1:19" hidden="1">
      <c r="A4849" s="149" t="s">
        <v>7039</v>
      </c>
      <c r="B4849" s="150" t="str">
        <f>IFERROR(VLOOKUP(Proc[[#This Row],[App]],Table2[],3,0),"open")</f>
        <v>ok</v>
      </c>
      <c r="C4849" s="149" t="s">
        <v>377</v>
      </c>
      <c r="D4849" t="s">
        <v>7058</v>
      </c>
      <c r="E4849" s="149" t="s">
        <v>7229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7229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6435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28</v>
      </c>
      <c r="R4849" s="174" t="s">
        <v>5709</v>
      </c>
      <c r="S4849" s="150"/>
    </row>
    <row r="4850" spans="1:19" hidden="1">
      <c r="A4850" s="149" t="s">
        <v>7039</v>
      </c>
      <c r="B4850" s="150" t="str">
        <f>IFERROR(VLOOKUP(Proc[[#This Row],[App]],Table2[],3,0),"open")</f>
        <v>ok</v>
      </c>
      <c r="C4850" s="149" t="s">
        <v>377</v>
      </c>
      <c r="D4850" t="s">
        <v>7059</v>
      </c>
      <c r="E4850" s="149" t="s">
        <v>7229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7229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6435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28</v>
      </c>
      <c r="R4850" s="174" t="s">
        <v>5709</v>
      </c>
      <c r="S4850" s="150"/>
    </row>
    <row r="4851" spans="1:19" hidden="1">
      <c r="A4851" s="149" t="s">
        <v>7039</v>
      </c>
      <c r="B4851" s="150" t="str">
        <f>IFERROR(VLOOKUP(Proc[[#This Row],[App]],Table2[],3,0),"open")</f>
        <v>ok</v>
      </c>
      <c r="C4851" s="149" t="s">
        <v>377</v>
      </c>
      <c r="D4851" t="s">
        <v>7060</v>
      </c>
      <c r="E4851" s="149" t="s">
        <v>7229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7229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6435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28</v>
      </c>
      <c r="R4851" s="174" t="s">
        <v>5709</v>
      </c>
      <c r="S4851" s="150"/>
    </row>
    <row r="4852" spans="1:19" hidden="1">
      <c r="A4852" s="149" t="s">
        <v>7039</v>
      </c>
      <c r="B4852" s="150" t="str">
        <f>IFERROR(VLOOKUP(Proc[[#This Row],[App]],Table2[],3,0),"open")</f>
        <v>ok</v>
      </c>
      <c r="C4852" s="149" t="s">
        <v>369</v>
      </c>
      <c r="D4852" t="s">
        <v>7061</v>
      </c>
      <c r="E4852" s="149" t="s">
        <v>7229</v>
      </c>
      <c r="F4852" s="150" t="s">
        <v>7229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7229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6435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28</v>
      </c>
      <c r="R4852" s="174" t="s">
        <v>5709</v>
      </c>
      <c r="S4852" s="150"/>
    </row>
    <row r="4853" spans="1:19" hidden="1">
      <c r="A4853" s="149" t="s">
        <v>7039</v>
      </c>
      <c r="B4853" s="150" t="str">
        <f>IFERROR(VLOOKUP(Proc[[#This Row],[App]],Table2[],3,0),"open")</f>
        <v>ok</v>
      </c>
      <c r="C4853" s="149" t="s">
        <v>369</v>
      </c>
      <c r="D4853" t="s">
        <v>7062</v>
      </c>
      <c r="E4853" s="149" t="s">
        <v>7229</v>
      </c>
      <c r="F4853" s="150" t="s">
        <v>7229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7229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6435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28</v>
      </c>
      <c r="R4853" s="174" t="s">
        <v>5709</v>
      </c>
      <c r="S4853" s="150"/>
    </row>
    <row r="4854" spans="1:19" hidden="1">
      <c r="A4854" s="149" t="s">
        <v>7039</v>
      </c>
      <c r="B4854" s="150" t="str">
        <f>IFERROR(VLOOKUP(Proc[[#This Row],[App]],Table2[],3,0),"open")</f>
        <v>ok</v>
      </c>
      <c r="C4854" s="149" t="s">
        <v>369</v>
      </c>
      <c r="D4854" t="s">
        <v>7063</v>
      </c>
      <c r="E4854" s="149" t="s">
        <v>7229</v>
      </c>
      <c r="F4854" s="150" t="s">
        <v>7229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7229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6435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28</v>
      </c>
      <c r="R4854" s="174" t="s">
        <v>5709</v>
      </c>
      <c r="S4854" s="150"/>
    </row>
    <row r="4855" spans="1:19" hidden="1">
      <c r="A4855" s="149" t="s">
        <v>7039</v>
      </c>
      <c r="B4855" s="150" t="str">
        <f>IFERROR(VLOOKUP(Proc[[#This Row],[App]],Table2[],3,0),"open")</f>
        <v>ok</v>
      </c>
      <c r="C4855" s="149" t="s">
        <v>369</v>
      </c>
      <c r="D4855" t="s">
        <v>7064</v>
      </c>
      <c r="E4855" s="149" t="s">
        <v>7229</v>
      </c>
      <c r="F4855" s="150" t="s">
        <v>7229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7229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6435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28</v>
      </c>
      <c r="R4855" s="174" t="s">
        <v>5709</v>
      </c>
      <c r="S4855" s="150"/>
    </row>
    <row r="4856" spans="1:19" hidden="1">
      <c r="A4856" s="149" t="s">
        <v>7039</v>
      </c>
      <c r="B4856" s="150" t="str">
        <f>IFERROR(VLOOKUP(Proc[[#This Row],[App]],Table2[],3,0),"open")</f>
        <v>ok</v>
      </c>
      <c r="C4856" s="149" t="s">
        <v>369</v>
      </c>
      <c r="D4856" t="s">
        <v>7065</v>
      </c>
      <c r="E4856" s="149" t="s">
        <v>7230</v>
      </c>
      <c r="F4856" s="150" t="s">
        <v>7230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7230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6435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28</v>
      </c>
      <c r="R4856" s="174" t="s">
        <v>5709</v>
      </c>
      <c r="S4856" s="150"/>
    </row>
    <row r="4857" spans="1:19" hidden="1">
      <c r="A4857" s="149" t="s">
        <v>7039</v>
      </c>
      <c r="B4857" s="150" t="str">
        <f>IFERROR(VLOOKUP(Proc[[#This Row],[App]],Table2[],3,0),"open")</f>
        <v>ok</v>
      </c>
      <c r="C4857" s="149" t="s">
        <v>369</v>
      </c>
      <c r="D4857" t="s">
        <v>7066</v>
      </c>
      <c r="E4857" s="149" t="s">
        <v>7230</v>
      </c>
      <c r="F4857" s="150" t="s">
        <v>7230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7230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6435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28</v>
      </c>
      <c r="R4857" s="174" t="s">
        <v>5709</v>
      </c>
      <c r="S4857" s="150"/>
    </row>
    <row r="4858" spans="1:19" hidden="1">
      <c r="A4858" s="149" t="s">
        <v>7039</v>
      </c>
      <c r="B4858" s="150" t="str">
        <f>IFERROR(VLOOKUP(Proc[[#This Row],[App]],Table2[],3,0),"open")</f>
        <v>ok</v>
      </c>
      <c r="C4858" s="149" t="s">
        <v>369</v>
      </c>
      <c r="D4858" t="s">
        <v>7067</v>
      </c>
      <c r="E4858" s="149" t="s">
        <v>7230</v>
      </c>
      <c r="F4858" s="150" t="s">
        <v>7230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7230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6435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28</v>
      </c>
      <c r="R4858" s="174" t="s">
        <v>5709</v>
      </c>
      <c r="S4858" s="150"/>
    </row>
    <row r="4859" spans="1:19" hidden="1">
      <c r="A4859" s="149" t="s">
        <v>7039</v>
      </c>
      <c r="B4859" s="150" t="str">
        <f>IFERROR(VLOOKUP(Proc[[#This Row],[App]],Table2[],3,0),"open")</f>
        <v>ok</v>
      </c>
      <c r="C4859" s="149" t="s">
        <v>369</v>
      </c>
      <c r="D4859" t="s">
        <v>7068</v>
      </c>
      <c r="E4859" s="149" t="s">
        <v>7230</v>
      </c>
      <c r="F4859" s="150" t="s">
        <v>7230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7230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6435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28</v>
      </c>
      <c r="R4859" s="174" t="s">
        <v>5709</v>
      </c>
      <c r="S4859" s="150"/>
    </row>
    <row r="4860" spans="1:19" hidden="1">
      <c r="A4860" s="149" t="s">
        <v>7039</v>
      </c>
      <c r="B4860" s="150" t="str">
        <f>IFERROR(VLOOKUP(Proc[[#This Row],[App]],Table2[],3,0),"open")</f>
        <v>ok</v>
      </c>
      <c r="C4860" s="149" t="s">
        <v>369</v>
      </c>
      <c r="D4860" t="s">
        <v>7069</v>
      </c>
      <c r="E4860" s="149" t="s">
        <v>7230</v>
      </c>
      <c r="F4860" s="150" t="s">
        <v>7230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7230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6435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28</v>
      </c>
      <c r="R4860" s="174" t="s">
        <v>5709</v>
      </c>
      <c r="S4860" s="150"/>
    </row>
    <row r="4861" spans="1:19" hidden="1">
      <c r="A4861" s="149" t="s">
        <v>7039</v>
      </c>
      <c r="B4861" s="150" t="str">
        <f>IFERROR(VLOOKUP(Proc[[#This Row],[App]],Table2[],3,0),"open")</f>
        <v>ok</v>
      </c>
      <c r="C4861" s="149" t="s">
        <v>369</v>
      </c>
      <c r="D4861" t="s">
        <v>7070</v>
      </c>
      <c r="E4861" s="149" t="s">
        <v>7230</v>
      </c>
      <c r="F4861" s="150" t="s">
        <v>7230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7230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6435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28</v>
      </c>
      <c r="R4861" s="174" t="s">
        <v>5709</v>
      </c>
      <c r="S4861" s="150"/>
    </row>
    <row r="4862" spans="1:19" hidden="1">
      <c r="A4862" s="149" t="s">
        <v>7039</v>
      </c>
      <c r="B4862" s="150" t="str">
        <f>IFERROR(VLOOKUP(Proc[[#This Row],[App]],Table2[],3,0),"open")</f>
        <v>ok</v>
      </c>
      <c r="C4862" s="149" t="s">
        <v>369</v>
      </c>
      <c r="D4862" t="s">
        <v>7071</v>
      </c>
      <c r="E4862" s="149" t="s">
        <v>7230</v>
      </c>
      <c r="F4862" s="150" t="s">
        <v>7230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7230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6435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28</v>
      </c>
      <c r="R4862" s="174" t="s">
        <v>5709</v>
      </c>
      <c r="S4862" s="150"/>
    </row>
    <row r="4863" spans="1:19" hidden="1">
      <c r="A4863" s="149" t="s">
        <v>7039</v>
      </c>
      <c r="B4863" s="150" t="str">
        <f>IFERROR(VLOOKUP(Proc[[#This Row],[App]],Table2[],3,0),"open")</f>
        <v>ok</v>
      </c>
      <c r="C4863" s="149" t="s">
        <v>369</v>
      </c>
      <c r="D4863" t="s">
        <v>7072</v>
      </c>
      <c r="E4863" s="149" t="s">
        <v>7231</v>
      </c>
      <c r="F4863" s="150" t="s">
        <v>7231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7231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6435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28</v>
      </c>
      <c r="R4863" s="174" t="s">
        <v>5709</v>
      </c>
      <c r="S4863" s="150"/>
    </row>
    <row r="4864" spans="1:19" hidden="1">
      <c r="A4864" s="149" t="s">
        <v>7039</v>
      </c>
      <c r="B4864" s="150" t="str">
        <f>IFERROR(VLOOKUP(Proc[[#This Row],[App]],Table2[],3,0),"open")</f>
        <v>ok</v>
      </c>
      <c r="C4864" s="149" t="s">
        <v>369</v>
      </c>
      <c r="D4864" t="s">
        <v>7073</v>
      </c>
      <c r="E4864" s="149" t="s">
        <v>7231</v>
      </c>
      <c r="F4864" s="150" t="s">
        <v>7231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7231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6435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28</v>
      </c>
      <c r="R4864" s="174" t="s">
        <v>5709</v>
      </c>
      <c r="S4864" s="150"/>
    </row>
    <row r="4865" spans="1:19" hidden="1">
      <c r="A4865" s="149" t="s">
        <v>7039</v>
      </c>
      <c r="B4865" s="150" t="str">
        <f>IFERROR(VLOOKUP(Proc[[#This Row],[App]],Table2[],3,0),"open")</f>
        <v>ok</v>
      </c>
      <c r="C4865" s="149" t="s">
        <v>369</v>
      </c>
      <c r="D4865" t="s">
        <v>7074</v>
      </c>
      <c r="E4865" s="149" t="s">
        <v>7231</v>
      </c>
      <c r="F4865" s="150" t="s">
        <v>7231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7231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6435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28</v>
      </c>
      <c r="R4865" s="174" t="s">
        <v>5709</v>
      </c>
      <c r="S4865" s="150"/>
    </row>
    <row r="4866" spans="1:19" hidden="1">
      <c r="A4866" s="149" t="s">
        <v>7039</v>
      </c>
      <c r="B4866" s="150" t="str">
        <f>IFERROR(VLOOKUP(Proc[[#This Row],[App]],Table2[],3,0),"open")</f>
        <v>ok</v>
      </c>
      <c r="C4866" s="149" t="s">
        <v>369</v>
      </c>
      <c r="D4866" t="s">
        <v>7075</v>
      </c>
      <c r="E4866" s="149" t="s">
        <v>7231</v>
      </c>
      <c r="F4866" s="150" t="s">
        <v>7231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7231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6435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28</v>
      </c>
      <c r="R4866" s="174" t="s">
        <v>5709</v>
      </c>
      <c r="S4866" s="150"/>
    </row>
    <row r="4867" spans="1:19" hidden="1">
      <c r="A4867" s="149" t="s">
        <v>7039</v>
      </c>
      <c r="B4867" s="150" t="str">
        <f>IFERROR(VLOOKUP(Proc[[#This Row],[App]],Table2[],3,0),"open")</f>
        <v>ok</v>
      </c>
      <c r="C4867" s="149" t="s">
        <v>369</v>
      </c>
      <c r="D4867" t="s">
        <v>7076</v>
      </c>
      <c r="E4867" s="149" t="s">
        <v>7231</v>
      </c>
      <c r="F4867" s="150" t="s">
        <v>7231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7231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6435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28</v>
      </c>
      <c r="R4867" s="174" t="s">
        <v>5709</v>
      </c>
      <c r="S4867" s="150"/>
    </row>
    <row r="4868" spans="1:19" hidden="1">
      <c r="A4868" s="149" t="s">
        <v>7039</v>
      </c>
      <c r="B4868" s="150" t="str">
        <f>IFERROR(VLOOKUP(Proc[[#This Row],[App]],Table2[],3,0),"open")</f>
        <v>ok</v>
      </c>
      <c r="C4868" s="149" t="s">
        <v>369</v>
      </c>
      <c r="D4868" t="s">
        <v>7077</v>
      </c>
      <c r="E4868" s="149" t="s">
        <v>7231</v>
      </c>
      <c r="F4868" s="150" t="s">
        <v>7231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7231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6435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28</v>
      </c>
      <c r="R4868" s="174" t="s">
        <v>5709</v>
      </c>
      <c r="S4868" s="150"/>
    </row>
    <row r="4869" spans="1:19" hidden="1">
      <c r="A4869" s="149" t="s">
        <v>7039</v>
      </c>
      <c r="B4869" s="150" t="str">
        <f>IFERROR(VLOOKUP(Proc[[#This Row],[App]],Table2[],3,0),"open")</f>
        <v>ok</v>
      </c>
      <c r="C4869" s="149" t="s">
        <v>369</v>
      </c>
      <c r="D4869" t="s">
        <v>7078</v>
      </c>
      <c r="E4869" s="149" t="s">
        <v>7232</v>
      </c>
      <c r="F4869" s="150" t="s">
        <v>7232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7232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6435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28</v>
      </c>
      <c r="R4869" s="174" t="s">
        <v>5709</v>
      </c>
      <c r="S4869" s="150"/>
    </row>
    <row r="4870" spans="1:19" hidden="1">
      <c r="A4870" s="149" t="s">
        <v>7039</v>
      </c>
      <c r="B4870" s="150" t="str">
        <f>IFERROR(VLOOKUP(Proc[[#This Row],[App]],Table2[],3,0),"open")</f>
        <v>ok</v>
      </c>
      <c r="C4870" s="149" t="s">
        <v>369</v>
      </c>
      <c r="D4870" t="s">
        <v>7079</v>
      </c>
      <c r="E4870" s="149" t="s">
        <v>7232</v>
      </c>
      <c r="F4870" s="150" t="s">
        <v>7232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7232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6435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28</v>
      </c>
      <c r="R4870" s="174" t="s">
        <v>5709</v>
      </c>
      <c r="S4870" s="150"/>
    </row>
    <row r="4871" spans="1:19" hidden="1">
      <c r="A4871" s="149" t="s">
        <v>7039</v>
      </c>
      <c r="B4871" s="150" t="str">
        <f>IFERROR(VLOOKUP(Proc[[#This Row],[App]],Table2[],3,0),"open")</f>
        <v>ok</v>
      </c>
      <c r="C4871" s="149" t="s">
        <v>369</v>
      </c>
      <c r="D4871" t="s">
        <v>7080</v>
      </c>
      <c r="E4871" s="149" t="s">
        <v>7232</v>
      </c>
      <c r="F4871" s="150" t="s">
        <v>7232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7232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6435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28</v>
      </c>
      <c r="R4871" s="174" t="s">
        <v>5709</v>
      </c>
      <c r="S4871" s="150"/>
    </row>
    <row r="4872" spans="1:19" hidden="1">
      <c r="A4872" s="149" t="s">
        <v>7039</v>
      </c>
      <c r="B4872" s="150" t="str">
        <f>IFERROR(VLOOKUP(Proc[[#This Row],[App]],Table2[],3,0),"open")</f>
        <v>ok</v>
      </c>
      <c r="C4872" s="149" t="s">
        <v>369</v>
      </c>
      <c r="D4872" t="s">
        <v>7081</v>
      </c>
      <c r="E4872" s="149" t="s">
        <v>7232</v>
      </c>
      <c r="F4872" s="150" t="s">
        <v>7232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7232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6435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28</v>
      </c>
      <c r="R4872" s="174" t="s">
        <v>5709</v>
      </c>
      <c r="S4872" s="150"/>
    </row>
    <row r="4873" spans="1:19" hidden="1">
      <c r="A4873" s="149" t="s">
        <v>7039</v>
      </c>
      <c r="B4873" s="150" t="str">
        <f>IFERROR(VLOOKUP(Proc[[#This Row],[App]],Table2[],3,0),"open")</f>
        <v>ok</v>
      </c>
      <c r="C4873" s="149" t="s">
        <v>369</v>
      </c>
      <c r="D4873" t="s">
        <v>7082</v>
      </c>
      <c r="E4873" s="149" t="s">
        <v>7232</v>
      </c>
      <c r="F4873" s="150" t="s">
        <v>7232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7232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6435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28</v>
      </c>
      <c r="R4873" s="174" t="s">
        <v>5709</v>
      </c>
      <c r="S4873" s="150"/>
    </row>
    <row r="4874" spans="1:19" hidden="1">
      <c r="A4874" s="149" t="s">
        <v>7039</v>
      </c>
      <c r="B4874" s="150" t="str">
        <f>IFERROR(VLOOKUP(Proc[[#This Row],[App]],Table2[],3,0),"open")</f>
        <v>ok</v>
      </c>
      <c r="C4874" s="149" t="s">
        <v>369</v>
      </c>
      <c r="D4874" t="s">
        <v>7083</v>
      </c>
      <c r="E4874" s="149" t="s">
        <v>7232</v>
      </c>
      <c r="F4874" s="150" t="s">
        <v>7232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7232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6435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28</v>
      </c>
      <c r="R4874" s="174" t="s">
        <v>5709</v>
      </c>
      <c r="S4874" s="150"/>
    </row>
    <row r="4875" spans="1:19" hidden="1">
      <c r="A4875" s="149" t="s">
        <v>7039</v>
      </c>
      <c r="B4875" s="150" t="str">
        <f>IFERROR(VLOOKUP(Proc[[#This Row],[App]],Table2[],3,0),"open")</f>
        <v>ok</v>
      </c>
      <c r="C4875" s="149" t="s">
        <v>369</v>
      </c>
      <c r="D4875" t="s">
        <v>7084</v>
      </c>
      <c r="E4875" s="149" t="s">
        <v>7232</v>
      </c>
      <c r="F4875" s="150" t="s">
        <v>7232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7232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6435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28</v>
      </c>
      <c r="R4875" s="174" t="s">
        <v>5709</v>
      </c>
      <c r="S4875" s="150"/>
    </row>
    <row r="4876" spans="1:19" hidden="1">
      <c r="A4876" s="149" t="s">
        <v>7039</v>
      </c>
      <c r="B4876" s="150" t="str">
        <f>IFERROR(VLOOKUP(Proc[[#This Row],[App]],Table2[],3,0),"open")</f>
        <v>ok</v>
      </c>
      <c r="C4876" s="149" t="s">
        <v>369</v>
      </c>
      <c r="D4876" t="s">
        <v>7085</v>
      </c>
      <c r="E4876" s="149" t="s">
        <v>7232</v>
      </c>
      <c r="F4876" s="150" t="s">
        <v>7232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7232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6435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28</v>
      </c>
      <c r="R4876" s="174" t="s">
        <v>5709</v>
      </c>
      <c r="S4876" s="150"/>
    </row>
    <row r="4877" spans="1:19" hidden="1">
      <c r="A4877" s="149" t="s">
        <v>7039</v>
      </c>
      <c r="B4877" s="150" t="str">
        <f>IFERROR(VLOOKUP(Proc[[#This Row],[App]],Table2[],3,0),"open")</f>
        <v>ok</v>
      </c>
      <c r="C4877" s="149" t="s">
        <v>369</v>
      </c>
      <c r="D4877" t="s">
        <v>7086</v>
      </c>
      <c r="E4877" s="149" t="s">
        <v>7232</v>
      </c>
      <c r="F4877" s="150" t="s">
        <v>7232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7232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6435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28</v>
      </c>
      <c r="R4877" s="174" t="s">
        <v>5709</v>
      </c>
      <c r="S4877" s="150"/>
    </row>
    <row r="4878" spans="1:19" hidden="1">
      <c r="A4878" s="149" t="s">
        <v>7039</v>
      </c>
      <c r="B4878" s="150" t="str">
        <f>IFERROR(VLOOKUP(Proc[[#This Row],[App]],Table2[],3,0),"open")</f>
        <v>ok</v>
      </c>
      <c r="C4878" s="149" t="s">
        <v>369</v>
      </c>
      <c r="D4878" t="s">
        <v>7087</v>
      </c>
      <c r="E4878" s="149" t="s">
        <v>7230</v>
      </c>
      <c r="F4878" s="150" t="s">
        <v>7230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7230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6435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28</v>
      </c>
      <c r="R4878" s="174" t="s">
        <v>5709</v>
      </c>
      <c r="S4878" s="150"/>
    </row>
    <row r="4879" spans="1:19" hidden="1">
      <c r="A4879" s="149" t="s">
        <v>7039</v>
      </c>
      <c r="B4879" s="150" t="str">
        <f>IFERROR(VLOOKUP(Proc[[#This Row],[App]],Table2[],3,0),"open")</f>
        <v>ok</v>
      </c>
      <c r="C4879" s="149" t="s">
        <v>369</v>
      </c>
      <c r="D4879" t="s">
        <v>7088</v>
      </c>
      <c r="E4879" s="149" t="s">
        <v>7233</v>
      </c>
      <c r="F4879" s="150" t="s">
        <v>7233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7233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6435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28</v>
      </c>
      <c r="R4879" s="174" t="s">
        <v>5709</v>
      </c>
      <c r="S4879" s="150"/>
    </row>
    <row r="4880" spans="1:19" hidden="1">
      <c r="A4880" s="149" t="s">
        <v>7039</v>
      </c>
      <c r="B4880" s="150" t="str">
        <f>IFERROR(VLOOKUP(Proc[[#This Row],[App]],Table2[],3,0),"open")</f>
        <v>ok</v>
      </c>
      <c r="C4880" s="149" t="s">
        <v>369</v>
      </c>
      <c r="D4880" t="s">
        <v>7089</v>
      </c>
      <c r="E4880" s="149" t="s">
        <v>7233</v>
      </c>
      <c r="F4880" s="150" t="s">
        <v>7233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7233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6435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28</v>
      </c>
      <c r="R4880" s="174" t="s">
        <v>5709</v>
      </c>
      <c r="S4880" s="150"/>
    </row>
    <row r="4881" spans="1:19" hidden="1">
      <c r="A4881" s="149" t="s">
        <v>7039</v>
      </c>
      <c r="B4881" s="150" t="str">
        <f>IFERROR(VLOOKUP(Proc[[#This Row],[App]],Table2[],3,0),"open")</f>
        <v>ok</v>
      </c>
      <c r="C4881" s="149" t="s">
        <v>369</v>
      </c>
      <c r="D4881" t="s">
        <v>7090</v>
      </c>
      <c r="E4881" s="149" t="s">
        <v>7233</v>
      </c>
      <c r="F4881" s="150" t="s">
        <v>7233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7233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6435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28</v>
      </c>
      <c r="R4881" s="174" t="s">
        <v>5709</v>
      </c>
      <c r="S4881" s="150"/>
    </row>
    <row r="4882" spans="1:19" hidden="1">
      <c r="A4882" s="149" t="s">
        <v>7039</v>
      </c>
      <c r="B4882" s="150" t="str">
        <f>IFERROR(VLOOKUP(Proc[[#This Row],[App]],Table2[],3,0),"open")</f>
        <v>ok</v>
      </c>
      <c r="C4882" s="149" t="s">
        <v>369</v>
      </c>
      <c r="D4882" t="s">
        <v>7091</v>
      </c>
      <c r="E4882" s="149" t="s">
        <v>7234</v>
      </c>
      <c r="F4882" s="150" t="s">
        <v>7234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7234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6435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28</v>
      </c>
      <c r="R4882" s="174" t="s">
        <v>5709</v>
      </c>
      <c r="S4882" s="150"/>
    </row>
    <row r="4883" spans="1:19" hidden="1">
      <c r="A4883" s="149" t="s">
        <v>7039</v>
      </c>
      <c r="B4883" s="150" t="str">
        <f>IFERROR(VLOOKUP(Proc[[#This Row],[App]],Table2[],3,0),"open")</f>
        <v>ok</v>
      </c>
      <c r="C4883" s="149" t="s">
        <v>369</v>
      </c>
      <c r="D4883" t="s">
        <v>7092</v>
      </c>
      <c r="E4883" s="149" t="s">
        <v>7234</v>
      </c>
      <c r="F4883" s="150" t="s">
        <v>7234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7234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6435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28</v>
      </c>
      <c r="R4883" s="174" t="s">
        <v>5709</v>
      </c>
      <c r="S4883" s="150"/>
    </row>
    <row r="4884" spans="1:19" hidden="1">
      <c r="A4884" s="149" t="s">
        <v>7039</v>
      </c>
      <c r="B4884" s="150" t="str">
        <f>IFERROR(VLOOKUP(Proc[[#This Row],[App]],Table2[],3,0),"open")</f>
        <v>ok</v>
      </c>
      <c r="C4884" s="149" t="s">
        <v>369</v>
      </c>
      <c r="D4884" t="s">
        <v>7093</v>
      </c>
      <c r="E4884" s="149" t="s">
        <v>7234</v>
      </c>
      <c r="F4884" s="150" t="s">
        <v>7234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7234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6435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28</v>
      </c>
      <c r="R4884" s="174" t="s">
        <v>5709</v>
      </c>
      <c r="S4884" s="150"/>
    </row>
    <row r="4885" spans="1:19" hidden="1">
      <c r="A4885" s="149" t="s">
        <v>7039</v>
      </c>
      <c r="B4885" s="150" t="str">
        <f>IFERROR(VLOOKUP(Proc[[#This Row],[App]],Table2[],3,0),"open")</f>
        <v>ok</v>
      </c>
      <c r="C4885" s="149" t="s">
        <v>369</v>
      </c>
      <c r="D4885" t="s">
        <v>7094</v>
      </c>
      <c r="E4885" s="149" t="s">
        <v>7234</v>
      </c>
      <c r="F4885" s="150" t="s">
        <v>7234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7234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6435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28</v>
      </c>
      <c r="R4885" s="174" t="s">
        <v>5709</v>
      </c>
      <c r="S4885" s="150"/>
    </row>
    <row r="4886" spans="1:19" hidden="1">
      <c r="A4886" s="149" t="s">
        <v>7039</v>
      </c>
      <c r="B4886" s="150" t="str">
        <f>IFERROR(VLOOKUP(Proc[[#This Row],[App]],Table2[],3,0),"open")</f>
        <v>ok</v>
      </c>
      <c r="C4886" s="149" t="s">
        <v>369</v>
      </c>
      <c r="D4886" t="s">
        <v>7095</v>
      </c>
      <c r="E4886" s="149" t="s">
        <v>7234</v>
      </c>
      <c r="F4886" s="150" t="s">
        <v>7234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7234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6435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28</v>
      </c>
      <c r="R4886" s="174" t="s">
        <v>5709</v>
      </c>
      <c r="S4886" s="150"/>
    </row>
    <row r="4887" spans="1:19" hidden="1">
      <c r="A4887" s="149" t="s">
        <v>7039</v>
      </c>
      <c r="B4887" s="150" t="str">
        <f>IFERROR(VLOOKUP(Proc[[#This Row],[App]],Table2[],3,0),"open")</f>
        <v>ok</v>
      </c>
      <c r="C4887" s="149" t="s">
        <v>369</v>
      </c>
      <c r="D4887" t="s">
        <v>7096</v>
      </c>
      <c r="E4887" s="149" t="s">
        <v>7234</v>
      </c>
      <c r="F4887" s="150" t="s">
        <v>7234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7234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6435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28</v>
      </c>
      <c r="R4887" s="174" t="s">
        <v>5709</v>
      </c>
      <c r="S4887" s="150"/>
    </row>
    <row r="4888" spans="1:19" hidden="1">
      <c r="A4888" s="149" t="s">
        <v>7039</v>
      </c>
      <c r="B4888" s="150" t="str">
        <f>IFERROR(VLOOKUP(Proc[[#This Row],[App]],Table2[],3,0),"open")</f>
        <v>ok</v>
      </c>
      <c r="C4888" s="149" t="s">
        <v>369</v>
      </c>
      <c r="D4888" t="s">
        <v>7097</v>
      </c>
      <c r="E4888" s="149" t="s">
        <v>7234</v>
      </c>
      <c r="F4888" s="150" t="s">
        <v>7234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7234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6435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28</v>
      </c>
      <c r="R4888" s="174" t="s">
        <v>5709</v>
      </c>
      <c r="S4888" s="150"/>
    </row>
    <row r="4889" spans="1:19" hidden="1">
      <c r="A4889" s="149" t="s">
        <v>7039</v>
      </c>
      <c r="B4889" s="150" t="str">
        <f>IFERROR(VLOOKUP(Proc[[#This Row],[App]],Table2[],3,0),"open")</f>
        <v>ok</v>
      </c>
      <c r="C4889" s="149" t="s">
        <v>369</v>
      </c>
      <c r="D4889" t="s">
        <v>7098</v>
      </c>
      <c r="E4889" s="149" t="s">
        <v>7234</v>
      </c>
      <c r="F4889" s="150" t="s">
        <v>7234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7234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6435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28</v>
      </c>
      <c r="R4889" s="174" t="s">
        <v>5709</v>
      </c>
      <c r="S4889" s="150"/>
    </row>
    <row r="4890" spans="1:19" hidden="1">
      <c r="A4890" s="149" t="s">
        <v>7039</v>
      </c>
      <c r="B4890" s="150" t="str">
        <f>IFERROR(VLOOKUP(Proc[[#This Row],[App]],Table2[],3,0),"open")</f>
        <v>ok</v>
      </c>
      <c r="C4890" s="149" t="s">
        <v>369</v>
      </c>
      <c r="D4890" t="s">
        <v>7099</v>
      </c>
      <c r="E4890" s="149" t="s">
        <v>7234</v>
      </c>
      <c r="F4890" s="150" t="s">
        <v>7234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7234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6435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28</v>
      </c>
      <c r="R4890" s="174" t="s">
        <v>5709</v>
      </c>
      <c r="S4890" s="150"/>
    </row>
    <row r="4891" spans="1:19" hidden="1">
      <c r="A4891" s="149" t="s">
        <v>7039</v>
      </c>
      <c r="B4891" s="150" t="str">
        <f>IFERROR(VLOOKUP(Proc[[#This Row],[App]],Table2[],3,0),"open")</f>
        <v>ok</v>
      </c>
      <c r="C4891" s="149" t="s">
        <v>369</v>
      </c>
      <c r="D4891" t="s">
        <v>7100</v>
      </c>
      <c r="E4891" s="149" t="s">
        <v>7234</v>
      </c>
      <c r="F4891" s="150" t="s">
        <v>7234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7234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6435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28</v>
      </c>
      <c r="R4891" s="174" t="s">
        <v>5709</v>
      </c>
      <c r="S4891" s="150"/>
    </row>
    <row r="4892" spans="1:19" hidden="1">
      <c r="A4892" s="149" t="s">
        <v>7039</v>
      </c>
      <c r="B4892" s="150" t="str">
        <f>IFERROR(VLOOKUP(Proc[[#This Row],[App]],Table2[],3,0),"open")</f>
        <v>ok</v>
      </c>
      <c r="C4892" s="149" t="s">
        <v>369</v>
      </c>
      <c r="D4892" t="s">
        <v>7101</v>
      </c>
      <c r="E4892" s="149" t="s">
        <v>7234</v>
      </c>
      <c r="F4892" s="150" t="s">
        <v>7234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7234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6435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28</v>
      </c>
      <c r="R4892" s="174" t="s">
        <v>5709</v>
      </c>
      <c r="S4892" s="150"/>
    </row>
    <row r="4893" spans="1:19" hidden="1">
      <c r="A4893" s="149" t="s">
        <v>7039</v>
      </c>
      <c r="B4893" s="150" t="str">
        <f>IFERROR(VLOOKUP(Proc[[#This Row],[App]],Table2[],3,0),"open")</f>
        <v>ok</v>
      </c>
      <c r="C4893" s="149" t="s">
        <v>369</v>
      </c>
      <c r="D4893" t="s">
        <v>7102</v>
      </c>
      <c r="E4893" s="149" t="s">
        <v>7234</v>
      </c>
      <c r="F4893" s="150" t="s">
        <v>7234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7234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6435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28</v>
      </c>
      <c r="R4893" s="174" t="s">
        <v>5709</v>
      </c>
      <c r="S4893" s="150"/>
    </row>
    <row r="4894" spans="1:19" hidden="1">
      <c r="A4894" s="149" t="s">
        <v>7039</v>
      </c>
      <c r="B4894" s="150" t="str">
        <f>IFERROR(VLOOKUP(Proc[[#This Row],[App]],Table2[],3,0),"open")</f>
        <v>ok</v>
      </c>
      <c r="C4894" s="149" t="s">
        <v>369</v>
      </c>
      <c r="D4894" t="s">
        <v>7103</v>
      </c>
      <c r="E4894" s="149" t="s">
        <v>7234</v>
      </c>
      <c r="F4894" s="150" t="s">
        <v>7234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7234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6435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28</v>
      </c>
      <c r="R4894" s="174" t="s">
        <v>5709</v>
      </c>
      <c r="S4894" s="150"/>
    </row>
    <row r="4895" spans="1:19" hidden="1">
      <c r="A4895" s="149" t="s">
        <v>7039</v>
      </c>
      <c r="B4895" s="150" t="str">
        <f>IFERROR(VLOOKUP(Proc[[#This Row],[App]],Table2[],3,0),"open")</f>
        <v>ok</v>
      </c>
      <c r="C4895" s="149" t="s">
        <v>369</v>
      </c>
      <c r="D4895" t="s">
        <v>7104</v>
      </c>
      <c r="E4895" s="149" t="s">
        <v>7234</v>
      </c>
      <c r="F4895" s="150" t="s">
        <v>7234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7234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6435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28</v>
      </c>
      <c r="R4895" s="174" t="s">
        <v>5709</v>
      </c>
      <c r="S4895" s="150"/>
    </row>
    <row r="4896" spans="1:19" hidden="1">
      <c r="A4896" s="149" t="s">
        <v>7039</v>
      </c>
      <c r="B4896" s="150" t="str">
        <f>IFERROR(VLOOKUP(Proc[[#This Row],[App]],Table2[],3,0),"open")</f>
        <v>ok</v>
      </c>
      <c r="C4896" s="149" t="s">
        <v>369</v>
      </c>
      <c r="D4896" t="s">
        <v>7105</v>
      </c>
      <c r="E4896" s="149" t="s">
        <v>7234</v>
      </c>
      <c r="F4896" s="150" t="s">
        <v>7234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7234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6435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28</v>
      </c>
      <c r="R4896" s="174" t="s">
        <v>5709</v>
      </c>
      <c r="S4896" s="150"/>
    </row>
    <row r="4897" spans="1:19" hidden="1">
      <c r="A4897" s="149" t="s">
        <v>7039</v>
      </c>
      <c r="B4897" s="150" t="str">
        <f>IFERROR(VLOOKUP(Proc[[#This Row],[App]],Table2[],3,0),"open")</f>
        <v>ok</v>
      </c>
      <c r="C4897" s="149" t="s">
        <v>369</v>
      </c>
      <c r="D4897" t="s">
        <v>7106</v>
      </c>
      <c r="E4897" s="149" t="s">
        <v>7234</v>
      </c>
      <c r="F4897" s="150" t="s">
        <v>7234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7234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6435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28</v>
      </c>
      <c r="R4897" s="174" t="s">
        <v>5709</v>
      </c>
      <c r="S4897" s="150"/>
    </row>
    <row r="4898" spans="1:19" hidden="1">
      <c r="A4898" s="149" t="s">
        <v>7039</v>
      </c>
      <c r="B4898" s="150" t="str">
        <f>IFERROR(VLOOKUP(Proc[[#This Row],[App]],Table2[],3,0),"open")</f>
        <v>ok</v>
      </c>
      <c r="C4898" s="149" t="s">
        <v>369</v>
      </c>
      <c r="D4898" t="s">
        <v>7107</v>
      </c>
      <c r="E4898" s="149" t="s">
        <v>7234</v>
      </c>
      <c r="F4898" s="150" t="s">
        <v>7234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7234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6435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28</v>
      </c>
      <c r="R4898" s="174" t="s">
        <v>5709</v>
      </c>
      <c r="S4898" s="150"/>
    </row>
    <row r="4899" spans="1:19" hidden="1">
      <c r="A4899" s="149" t="s">
        <v>7039</v>
      </c>
      <c r="B4899" s="150" t="str">
        <f>IFERROR(VLOOKUP(Proc[[#This Row],[App]],Table2[],3,0),"open")</f>
        <v>ok</v>
      </c>
      <c r="C4899" s="149" t="s">
        <v>369</v>
      </c>
      <c r="D4899" t="s">
        <v>7108</v>
      </c>
      <c r="E4899" s="149" t="s">
        <v>7234</v>
      </c>
      <c r="F4899" s="150" t="s">
        <v>7234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7234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6435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28</v>
      </c>
      <c r="R4899" s="174" t="s">
        <v>5709</v>
      </c>
      <c r="S4899" s="150"/>
    </row>
    <row r="4900" spans="1:19" hidden="1">
      <c r="A4900" s="149" t="s">
        <v>7039</v>
      </c>
      <c r="B4900" s="150" t="str">
        <f>IFERROR(VLOOKUP(Proc[[#This Row],[App]],Table2[],3,0),"open")</f>
        <v>ok</v>
      </c>
      <c r="C4900" s="149" t="s">
        <v>369</v>
      </c>
      <c r="D4900" t="s">
        <v>7109</v>
      </c>
      <c r="E4900" s="149" t="s">
        <v>7234</v>
      </c>
      <c r="F4900" s="150" t="s">
        <v>7234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7234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6435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28</v>
      </c>
      <c r="R4900" s="174" t="s">
        <v>5709</v>
      </c>
      <c r="S4900" s="150"/>
    </row>
    <row r="4901" spans="1:19" hidden="1">
      <c r="A4901" s="149" t="s">
        <v>7039</v>
      </c>
      <c r="B4901" s="150" t="str">
        <f>IFERROR(VLOOKUP(Proc[[#This Row],[App]],Table2[],3,0),"open")</f>
        <v>ok</v>
      </c>
      <c r="C4901" s="149" t="s">
        <v>369</v>
      </c>
      <c r="D4901" t="s">
        <v>7110</v>
      </c>
      <c r="E4901" s="149" t="s">
        <v>7234</v>
      </c>
      <c r="F4901" s="150" t="s">
        <v>7234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7234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6435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28</v>
      </c>
      <c r="R4901" s="174" t="s">
        <v>5709</v>
      </c>
      <c r="S4901" s="150"/>
    </row>
    <row r="4902" spans="1:19" hidden="1">
      <c r="A4902" s="149" t="s">
        <v>7039</v>
      </c>
      <c r="B4902" s="150" t="str">
        <f>IFERROR(VLOOKUP(Proc[[#This Row],[App]],Table2[],3,0),"open")</f>
        <v>ok</v>
      </c>
      <c r="C4902" s="149" t="s">
        <v>369</v>
      </c>
      <c r="D4902" t="s">
        <v>7111</v>
      </c>
      <c r="E4902" s="149" t="s">
        <v>7234</v>
      </c>
      <c r="F4902" s="150" t="s">
        <v>7234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7234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6435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28</v>
      </c>
      <c r="R4902" s="174" t="s">
        <v>5709</v>
      </c>
      <c r="S4902" s="150"/>
    </row>
    <row r="4903" spans="1:19" hidden="1">
      <c r="A4903" s="149" t="s">
        <v>7039</v>
      </c>
      <c r="B4903" s="150" t="str">
        <f>IFERROR(VLOOKUP(Proc[[#This Row],[App]],Table2[],3,0),"open")</f>
        <v>ok</v>
      </c>
      <c r="C4903" s="149" t="s">
        <v>369</v>
      </c>
      <c r="D4903" t="s">
        <v>7112</v>
      </c>
      <c r="E4903" s="149" t="s">
        <v>7234</v>
      </c>
      <c r="F4903" s="150" t="s">
        <v>7234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7234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6435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28</v>
      </c>
      <c r="R4903" s="174" t="s">
        <v>5709</v>
      </c>
      <c r="S4903" s="150"/>
    </row>
    <row r="4904" spans="1:19" hidden="1">
      <c r="A4904" s="149" t="s">
        <v>7039</v>
      </c>
      <c r="B4904" s="150" t="str">
        <f>IFERROR(VLOOKUP(Proc[[#This Row],[App]],Table2[],3,0),"open")</f>
        <v>ok</v>
      </c>
      <c r="C4904" s="149" t="s">
        <v>369</v>
      </c>
      <c r="D4904" t="s">
        <v>7113</v>
      </c>
      <c r="E4904" s="149" t="s">
        <v>7234</v>
      </c>
      <c r="F4904" s="150" t="s">
        <v>7234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7234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6435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28</v>
      </c>
      <c r="R4904" s="174" t="s">
        <v>5709</v>
      </c>
      <c r="S4904" s="150"/>
    </row>
    <row r="4905" spans="1:19" hidden="1">
      <c r="A4905" s="149" t="s">
        <v>7039</v>
      </c>
      <c r="B4905" s="150" t="str">
        <f>IFERROR(VLOOKUP(Proc[[#This Row],[App]],Table2[],3,0),"open")</f>
        <v>ok</v>
      </c>
      <c r="C4905" s="149" t="s">
        <v>369</v>
      </c>
      <c r="D4905" t="s">
        <v>7114</v>
      </c>
      <c r="E4905" s="149" t="s">
        <v>7234</v>
      </c>
      <c r="F4905" s="150" t="s">
        <v>7234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7234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6435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28</v>
      </c>
      <c r="R4905" s="174" t="s">
        <v>5709</v>
      </c>
      <c r="S4905" s="150"/>
    </row>
    <row r="4906" spans="1:19" hidden="1">
      <c r="A4906" s="149" t="s">
        <v>7039</v>
      </c>
      <c r="B4906" s="150" t="str">
        <f>IFERROR(VLOOKUP(Proc[[#This Row],[App]],Table2[],3,0),"open")</f>
        <v>ok</v>
      </c>
      <c r="C4906" s="149" t="s">
        <v>369</v>
      </c>
      <c r="D4906" t="s">
        <v>7115</v>
      </c>
      <c r="E4906" s="149" t="s">
        <v>7234</v>
      </c>
      <c r="F4906" s="150" t="s">
        <v>7234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7234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6435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28</v>
      </c>
      <c r="R4906" s="174" t="s">
        <v>5709</v>
      </c>
      <c r="S4906" s="150"/>
    </row>
    <row r="4907" spans="1:19" hidden="1">
      <c r="A4907" s="149" t="s">
        <v>7039</v>
      </c>
      <c r="B4907" s="150" t="str">
        <f>IFERROR(VLOOKUP(Proc[[#This Row],[App]],Table2[],3,0),"open")</f>
        <v>ok</v>
      </c>
      <c r="C4907" s="149" t="s">
        <v>369</v>
      </c>
      <c r="D4907" t="s">
        <v>7116</v>
      </c>
      <c r="E4907" s="149" t="s">
        <v>7234</v>
      </c>
      <c r="F4907" s="150" t="s">
        <v>7234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7234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6435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28</v>
      </c>
      <c r="R4907" s="174" t="s">
        <v>5709</v>
      </c>
      <c r="S4907" s="150"/>
    </row>
    <row r="4908" spans="1:19" hidden="1">
      <c r="A4908" s="149" t="s">
        <v>7039</v>
      </c>
      <c r="B4908" s="150" t="str">
        <f>IFERROR(VLOOKUP(Proc[[#This Row],[App]],Table2[],3,0),"open")</f>
        <v>ok</v>
      </c>
      <c r="C4908" s="149" t="s">
        <v>369</v>
      </c>
      <c r="D4908" t="s">
        <v>7117</v>
      </c>
      <c r="E4908" s="149" t="s">
        <v>7234</v>
      </c>
      <c r="F4908" s="150" t="s">
        <v>7234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7234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6435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28</v>
      </c>
      <c r="R4908" s="174" t="s">
        <v>5709</v>
      </c>
      <c r="S4908" s="150"/>
    </row>
    <row r="4909" spans="1:19" hidden="1">
      <c r="A4909" s="149" t="s">
        <v>7039</v>
      </c>
      <c r="B4909" s="150" t="str">
        <f>IFERROR(VLOOKUP(Proc[[#This Row],[App]],Table2[],3,0),"open")</f>
        <v>ok</v>
      </c>
      <c r="C4909" s="149" t="s">
        <v>369</v>
      </c>
      <c r="D4909" t="s">
        <v>7118</v>
      </c>
      <c r="E4909" s="149" t="s">
        <v>7234</v>
      </c>
      <c r="F4909" s="150" t="s">
        <v>7234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7234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6435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28</v>
      </c>
      <c r="R4909" s="174" t="s">
        <v>5709</v>
      </c>
      <c r="S4909" s="150"/>
    </row>
    <row r="4910" spans="1:19" hidden="1">
      <c r="A4910" s="149" t="s">
        <v>7039</v>
      </c>
      <c r="B4910" s="150" t="str">
        <f>IFERROR(VLOOKUP(Proc[[#This Row],[App]],Table2[],3,0),"open")</f>
        <v>ok</v>
      </c>
      <c r="C4910" s="149" t="s">
        <v>369</v>
      </c>
      <c r="D4910" t="s">
        <v>7119</v>
      </c>
      <c r="E4910" s="149" t="s">
        <v>7234</v>
      </c>
      <c r="F4910" s="150" t="s">
        <v>7234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7234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6435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28</v>
      </c>
      <c r="R4910" s="174" t="s">
        <v>5709</v>
      </c>
      <c r="S4910" s="150"/>
    </row>
    <row r="4911" spans="1:19" hidden="1">
      <c r="A4911" s="149" t="s">
        <v>7039</v>
      </c>
      <c r="B4911" s="150" t="str">
        <f>IFERROR(VLOOKUP(Proc[[#This Row],[App]],Table2[],3,0),"open")</f>
        <v>ok</v>
      </c>
      <c r="C4911" s="149" t="s">
        <v>369</v>
      </c>
      <c r="D4911" t="s">
        <v>7120</v>
      </c>
      <c r="E4911" s="149" t="s">
        <v>7234</v>
      </c>
      <c r="F4911" s="150" t="s">
        <v>7234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7234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6435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28</v>
      </c>
      <c r="R4911" s="174" t="s">
        <v>5709</v>
      </c>
      <c r="S4911" s="150"/>
    </row>
    <row r="4912" spans="1:19" hidden="1">
      <c r="A4912" s="149" t="s">
        <v>7039</v>
      </c>
      <c r="B4912" s="150" t="str">
        <f>IFERROR(VLOOKUP(Proc[[#This Row],[App]],Table2[],3,0),"open")</f>
        <v>ok</v>
      </c>
      <c r="C4912" s="149" t="s">
        <v>369</v>
      </c>
      <c r="D4912" t="s">
        <v>7121</v>
      </c>
      <c r="E4912" s="149" t="s">
        <v>7234</v>
      </c>
      <c r="F4912" s="150" t="s">
        <v>7234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7234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6435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28</v>
      </c>
      <c r="R4912" s="174" t="s">
        <v>5709</v>
      </c>
      <c r="S4912" s="150"/>
    </row>
    <row r="4913" spans="1:19" hidden="1">
      <c r="A4913" s="149" t="s">
        <v>7039</v>
      </c>
      <c r="B4913" s="150" t="str">
        <f>IFERROR(VLOOKUP(Proc[[#This Row],[App]],Table2[],3,0),"open")</f>
        <v>ok</v>
      </c>
      <c r="C4913" s="149" t="s">
        <v>369</v>
      </c>
      <c r="D4913" t="s">
        <v>7122</v>
      </c>
      <c r="E4913" s="149" t="s">
        <v>7234</v>
      </c>
      <c r="F4913" s="150" t="s">
        <v>7234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7234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6435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28</v>
      </c>
      <c r="R4913" s="174" t="s">
        <v>5709</v>
      </c>
      <c r="S4913" s="150"/>
    </row>
    <row r="4914" spans="1:19" hidden="1">
      <c r="A4914" s="149" t="s">
        <v>7039</v>
      </c>
      <c r="B4914" s="150" t="str">
        <f>IFERROR(VLOOKUP(Proc[[#This Row],[App]],Table2[],3,0),"open")</f>
        <v>ok</v>
      </c>
      <c r="C4914" s="149" t="s">
        <v>369</v>
      </c>
      <c r="D4914" t="s">
        <v>7123</v>
      </c>
      <c r="E4914" s="149" t="s">
        <v>7234</v>
      </c>
      <c r="F4914" s="150" t="s">
        <v>7234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7234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6435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28</v>
      </c>
      <c r="R4914" s="174" t="s">
        <v>5709</v>
      </c>
      <c r="S4914" s="150"/>
    </row>
    <row r="4915" spans="1:19" hidden="1">
      <c r="A4915" s="149" t="s">
        <v>7039</v>
      </c>
      <c r="B4915" s="150" t="str">
        <f>IFERROR(VLOOKUP(Proc[[#This Row],[App]],Table2[],3,0),"open")</f>
        <v>ok</v>
      </c>
      <c r="C4915" s="149" t="s">
        <v>369</v>
      </c>
      <c r="D4915" t="s">
        <v>7124</v>
      </c>
      <c r="E4915" s="149" t="s">
        <v>7234</v>
      </c>
      <c r="F4915" s="150" t="s">
        <v>7234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7234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6435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28</v>
      </c>
      <c r="R4915" s="174" t="s">
        <v>5709</v>
      </c>
      <c r="S4915" s="150"/>
    </row>
    <row r="4916" spans="1:19" hidden="1">
      <c r="A4916" s="149" t="s">
        <v>7039</v>
      </c>
      <c r="B4916" s="150" t="str">
        <f>IFERROR(VLOOKUP(Proc[[#This Row],[App]],Table2[],3,0),"open")</f>
        <v>ok</v>
      </c>
      <c r="C4916" s="149" t="s">
        <v>369</v>
      </c>
      <c r="D4916" t="s">
        <v>7125</v>
      </c>
      <c r="E4916" s="149" t="s">
        <v>7234</v>
      </c>
      <c r="F4916" s="150" t="s">
        <v>7234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7234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6435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28</v>
      </c>
      <c r="R4916" s="174" t="s">
        <v>5709</v>
      </c>
      <c r="S4916" s="150"/>
    </row>
    <row r="4917" spans="1:19" hidden="1">
      <c r="A4917" s="149" t="s">
        <v>7039</v>
      </c>
      <c r="B4917" s="150" t="str">
        <f>IFERROR(VLOOKUP(Proc[[#This Row],[App]],Table2[],3,0),"open")</f>
        <v>ok</v>
      </c>
      <c r="C4917" s="149" t="s">
        <v>369</v>
      </c>
      <c r="D4917" t="s">
        <v>7126</v>
      </c>
      <c r="E4917" s="149" t="s">
        <v>7234</v>
      </c>
      <c r="F4917" s="150" t="s">
        <v>7234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7234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6435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28</v>
      </c>
      <c r="R4917" s="174" t="s">
        <v>5709</v>
      </c>
      <c r="S4917" s="150"/>
    </row>
    <row r="4918" spans="1:19" hidden="1">
      <c r="A4918" s="149" t="s">
        <v>7039</v>
      </c>
      <c r="B4918" s="150" t="str">
        <f>IFERROR(VLOOKUP(Proc[[#This Row],[App]],Table2[],3,0),"open")</f>
        <v>ok</v>
      </c>
      <c r="C4918" s="149" t="s">
        <v>369</v>
      </c>
      <c r="D4918" t="s">
        <v>7127</v>
      </c>
      <c r="E4918" s="149" t="s">
        <v>7235</v>
      </c>
      <c r="F4918" s="150" t="s">
        <v>7235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7235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6435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28</v>
      </c>
      <c r="R4918" s="174" t="s">
        <v>5709</v>
      </c>
      <c r="S4918" s="150"/>
    </row>
    <row r="4919" spans="1:19" hidden="1">
      <c r="A4919" s="149" t="s">
        <v>7039</v>
      </c>
      <c r="B4919" s="150" t="str">
        <f>IFERROR(VLOOKUP(Proc[[#This Row],[App]],Table2[],3,0),"open")</f>
        <v>ok</v>
      </c>
      <c r="C4919" s="149" t="s">
        <v>369</v>
      </c>
      <c r="D4919" t="s">
        <v>7128</v>
      </c>
      <c r="E4919" s="149" t="s">
        <v>7235</v>
      </c>
      <c r="F4919" s="150" t="s">
        <v>7235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7235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6435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28</v>
      </c>
      <c r="R4919" s="174" t="s">
        <v>5709</v>
      </c>
      <c r="S4919" s="150"/>
    </row>
    <row r="4920" spans="1:19" hidden="1">
      <c r="A4920" s="149" t="s">
        <v>7039</v>
      </c>
      <c r="B4920" s="150" t="str">
        <f>IFERROR(VLOOKUP(Proc[[#This Row],[App]],Table2[],3,0),"open")</f>
        <v>ok</v>
      </c>
      <c r="C4920" s="149" t="s">
        <v>369</v>
      </c>
      <c r="D4920" t="s">
        <v>7129</v>
      </c>
      <c r="E4920" s="149" t="s">
        <v>7235</v>
      </c>
      <c r="F4920" s="150" t="s">
        <v>7235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7235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6435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28</v>
      </c>
      <c r="R4920" s="174" t="s">
        <v>5709</v>
      </c>
      <c r="S4920" s="150"/>
    </row>
    <row r="4921" spans="1:19" hidden="1">
      <c r="A4921" s="149" t="s">
        <v>7039</v>
      </c>
      <c r="B4921" s="150" t="str">
        <f>IFERROR(VLOOKUP(Proc[[#This Row],[App]],Table2[],3,0),"open")</f>
        <v>ok</v>
      </c>
      <c r="C4921" s="149" t="s">
        <v>369</v>
      </c>
      <c r="D4921" t="s">
        <v>7130</v>
      </c>
      <c r="E4921" s="149" t="s">
        <v>7235</v>
      </c>
      <c r="F4921" s="150" t="s">
        <v>7235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7235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6435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28</v>
      </c>
      <c r="R4921" s="174" t="s">
        <v>5709</v>
      </c>
      <c r="S4921" s="150"/>
    </row>
    <row r="4922" spans="1:19" hidden="1">
      <c r="A4922" s="149" t="s">
        <v>7039</v>
      </c>
      <c r="B4922" s="150" t="str">
        <f>IFERROR(VLOOKUP(Proc[[#This Row],[App]],Table2[],3,0),"open")</f>
        <v>ok</v>
      </c>
      <c r="C4922" s="149" t="s">
        <v>369</v>
      </c>
      <c r="D4922" t="s">
        <v>7131</v>
      </c>
      <c r="E4922" s="149" t="s">
        <v>7236</v>
      </c>
      <c r="F4922" s="150" t="s">
        <v>7236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7236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6435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28</v>
      </c>
      <c r="R4922" s="174" t="s">
        <v>5709</v>
      </c>
      <c r="S4922" s="150"/>
    </row>
    <row r="4923" spans="1:19" hidden="1">
      <c r="A4923" s="149" t="s">
        <v>7039</v>
      </c>
      <c r="B4923" s="150" t="str">
        <f>IFERROR(VLOOKUP(Proc[[#This Row],[App]],Table2[],3,0),"open")</f>
        <v>ok</v>
      </c>
      <c r="C4923" s="149" t="s">
        <v>369</v>
      </c>
      <c r="D4923" t="s">
        <v>7132</v>
      </c>
      <c r="E4923" s="149" t="s">
        <v>7236</v>
      </c>
      <c r="F4923" s="150" t="s">
        <v>7236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7236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6435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28</v>
      </c>
      <c r="R4923" s="174" t="s">
        <v>5709</v>
      </c>
      <c r="S4923" s="150"/>
    </row>
    <row r="4924" spans="1:19" hidden="1">
      <c r="A4924" s="149" t="s">
        <v>7039</v>
      </c>
      <c r="B4924" s="150" t="str">
        <f>IFERROR(VLOOKUP(Proc[[#This Row],[App]],Table2[],3,0),"open")</f>
        <v>ok</v>
      </c>
      <c r="C4924" s="149" t="s">
        <v>369</v>
      </c>
      <c r="D4924" t="s">
        <v>7133</v>
      </c>
      <c r="E4924" s="149" t="s">
        <v>7236</v>
      </c>
      <c r="F4924" s="150" t="s">
        <v>7236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7236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6435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28</v>
      </c>
      <c r="R4924" s="174" t="s">
        <v>5709</v>
      </c>
      <c r="S4924" s="150"/>
    </row>
    <row r="4925" spans="1:19" hidden="1">
      <c r="A4925" s="149" t="s">
        <v>7039</v>
      </c>
      <c r="B4925" s="150" t="str">
        <f>IFERROR(VLOOKUP(Proc[[#This Row],[App]],Table2[],3,0),"open")</f>
        <v>ok</v>
      </c>
      <c r="C4925" s="149" t="s">
        <v>369</v>
      </c>
      <c r="D4925" t="s">
        <v>7134</v>
      </c>
      <c r="E4925" s="149" t="s">
        <v>7236</v>
      </c>
      <c r="F4925" s="150" t="s">
        <v>7236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7236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6435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28</v>
      </c>
      <c r="R4925" s="174" t="s">
        <v>5709</v>
      </c>
      <c r="S4925" s="150"/>
    </row>
    <row r="4926" spans="1:19" hidden="1">
      <c r="A4926" s="149" t="s">
        <v>7039</v>
      </c>
      <c r="B4926" s="150" t="str">
        <f>IFERROR(VLOOKUP(Proc[[#This Row],[App]],Table2[],3,0),"open")</f>
        <v>ok</v>
      </c>
      <c r="C4926" s="149" t="s">
        <v>369</v>
      </c>
      <c r="D4926" t="s">
        <v>7135</v>
      </c>
      <c r="E4926" s="149" t="s">
        <v>7236</v>
      </c>
      <c r="F4926" s="150" t="s">
        <v>7236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7236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6435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28</v>
      </c>
      <c r="R4926" s="174" t="s">
        <v>5709</v>
      </c>
      <c r="S4926" s="150"/>
    </row>
    <row r="4927" spans="1:19" hidden="1">
      <c r="A4927" s="149" t="s">
        <v>7039</v>
      </c>
      <c r="B4927" s="150" t="str">
        <f>IFERROR(VLOOKUP(Proc[[#This Row],[App]],Table2[],3,0),"open")</f>
        <v>ok</v>
      </c>
      <c r="C4927" s="149" t="s">
        <v>369</v>
      </c>
      <c r="D4927" t="s">
        <v>7136</v>
      </c>
      <c r="E4927" s="149" t="s">
        <v>7236</v>
      </c>
      <c r="F4927" s="150" t="s">
        <v>7236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7236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6435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28</v>
      </c>
      <c r="R4927" s="174" t="s">
        <v>5709</v>
      </c>
      <c r="S4927" s="150"/>
    </row>
    <row r="4928" spans="1:19" hidden="1">
      <c r="A4928" s="149" t="s">
        <v>7039</v>
      </c>
      <c r="B4928" s="150" t="str">
        <f>IFERROR(VLOOKUP(Proc[[#This Row],[App]],Table2[],3,0),"open")</f>
        <v>ok</v>
      </c>
      <c r="C4928" s="149" t="s">
        <v>369</v>
      </c>
      <c r="D4928" t="s">
        <v>7137</v>
      </c>
      <c r="E4928" s="149" t="s">
        <v>7236</v>
      </c>
      <c r="F4928" s="150" t="s">
        <v>7236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7236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6435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28</v>
      </c>
      <c r="R4928" s="174" t="s">
        <v>5709</v>
      </c>
      <c r="S4928" s="150"/>
    </row>
    <row r="4929" spans="1:19" hidden="1">
      <c r="A4929" s="149" t="s">
        <v>7039</v>
      </c>
      <c r="B4929" s="150" t="str">
        <f>IFERROR(VLOOKUP(Proc[[#This Row],[App]],Table2[],3,0),"open")</f>
        <v>ok</v>
      </c>
      <c r="C4929" s="149" t="s">
        <v>369</v>
      </c>
      <c r="D4929" t="s">
        <v>7138</v>
      </c>
      <c r="E4929" s="149" t="s">
        <v>7237</v>
      </c>
      <c r="F4929" s="150" t="s">
        <v>7237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7237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6435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28</v>
      </c>
      <c r="R4929" s="174" t="s">
        <v>5709</v>
      </c>
      <c r="S4929" s="150"/>
    </row>
    <row r="4930" spans="1:19" hidden="1">
      <c r="A4930" s="149" t="s">
        <v>7039</v>
      </c>
      <c r="B4930" s="150" t="str">
        <f>IFERROR(VLOOKUP(Proc[[#This Row],[App]],Table2[],3,0),"open")</f>
        <v>ok</v>
      </c>
      <c r="C4930" s="149" t="s">
        <v>369</v>
      </c>
      <c r="D4930" t="s">
        <v>7139</v>
      </c>
      <c r="E4930" s="149" t="s">
        <v>7237</v>
      </c>
      <c r="F4930" s="150" t="s">
        <v>7237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7237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6435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28</v>
      </c>
      <c r="R4930" s="174" t="s">
        <v>5709</v>
      </c>
      <c r="S4930" s="150"/>
    </row>
    <row r="4931" spans="1:19" hidden="1">
      <c r="A4931" s="149" t="s">
        <v>7039</v>
      </c>
      <c r="B4931" s="150" t="str">
        <f>IFERROR(VLOOKUP(Proc[[#This Row],[App]],Table2[],3,0),"open")</f>
        <v>ok</v>
      </c>
      <c r="C4931" s="149" t="s">
        <v>369</v>
      </c>
      <c r="D4931" t="s">
        <v>7140</v>
      </c>
      <c r="E4931" s="149" t="s">
        <v>7238</v>
      </c>
      <c r="F4931" s="150" t="s">
        <v>7238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7238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6435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28</v>
      </c>
      <c r="R4931" s="174" t="s">
        <v>5709</v>
      </c>
      <c r="S4931" s="150"/>
    </row>
    <row r="4932" spans="1:19" hidden="1">
      <c r="A4932" s="149" t="s">
        <v>7039</v>
      </c>
      <c r="B4932" s="150" t="str">
        <f>IFERROR(VLOOKUP(Proc[[#This Row],[App]],Table2[],3,0),"open")</f>
        <v>ok</v>
      </c>
      <c r="C4932" s="149" t="s">
        <v>369</v>
      </c>
      <c r="D4932" t="s">
        <v>7141</v>
      </c>
      <c r="E4932" s="149" t="s">
        <v>7238</v>
      </c>
      <c r="F4932" s="150" t="s">
        <v>7238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7238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6435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28</v>
      </c>
      <c r="R4932" s="174" t="s">
        <v>5709</v>
      </c>
      <c r="S4932" s="150"/>
    </row>
    <row r="4933" spans="1:19" hidden="1">
      <c r="A4933" s="149" t="s">
        <v>7039</v>
      </c>
      <c r="B4933" s="150" t="str">
        <f>IFERROR(VLOOKUP(Proc[[#This Row],[App]],Table2[],3,0),"open")</f>
        <v>ok</v>
      </c>
      <c r="C4933" s="149" t="s">
        <v>369</v>
      </c>
      <c r="D4933" t="s">
        <v>7142</v>
      </c>
      <c r="E4933" s="149" t="s">
        <v>7238</v>
      </c>
      <c r="F4933" s="150" t="s">
        <v>7238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7238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6435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28</v>
      </c>
      <c r="R4933" s="174" t="s">
        <v>5709</v>
      </c>
      <c r="S4933" s="150"/>
    </row>
    <row r="4934" spans="1:19" hidden="1">
      <c r="A4934" s="149" t="s">
        <v>7039</v>
      </c>
      <c r="B4934" s="150" t="str">
        <f>IFERROR(VLOOKUP(Proc[[#This Row],[App]],Table2[],3,0),"open")</f>
        <v>ok</v>
      </c>
      <c r="C4934" s="149" t="s">
        <v>369</v>
      </c>
      <c r="D4934" t="s">
        <v>7143</v>
      </c>
      <c r="E4934" s="149" t="s">
        <v>7238</v>
      </c>
      <c r="F4934" s="150" t="s">
        <v>7238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7238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6435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28</v>
      </c>
      <c r="R4934" s="174" t="s">
        <v>5709</v>
      </c>
      <c r="S4934" s="150"/>
    </row>
    <row r="4935" spans="1:19" hidden="1">
      <c r="A4935" s="149" t="s">
        <v>7039</v>
      </c>
      <c r="B4935" s="150" t="str">
        <f>IFERROR(VLOOKUP(Proc[[#This Row],[App]],Table2[],3,0),"open")</f>
        <v>ok</v>
      </c>
      <c r="C4935" s="149" t="s">
        <v>369</v>
      </c>
      <c r="D4935" t="s">
        <v>7144</v>
      </c>
      <c r="E4935" s="149" t="s">
        <v>7238</v>
      </c>
      <c r="F4935" s="150" t="s">
        <v>7238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7238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6435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28</v>
      </c>
      <c r="R4935" s="174" t="s">
        <v>5709</v>
      </c>
      <c r="S4935" s="150"/>
    </row>
    <row r="4936" spans="1:19" hidden="1">
      <c r="A4936" s="149" t="s">
        <v>7039</v>
      </c>
      <c r="B4936" s="150" t="str">
        <f>IFERROR(VLOOKUP(Proc[[#This Row],[App]],Table2[],3,0),"open")</f>
        <v>ok</v>
      </c>
      <c r="C4936" s="149" t="s">
        <v>369</v>
      </c>
      <c r="D4936" t="s">
        <v>7145</v>
      </c>
      <c r="E4936" s="149" t="s">
        <v>7238</v>
      </c>
      <c r="F4936" s="150" t="s">
        <v>7238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7238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6435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28</v>
      </c>
      <c r="R4936" s="174" t="s">
        <v>5709</v>
      </c>
      <c r="S4936" s="150"/>
    </row>
    <row r="4937" spans="1:19" hidden="1">
      <c r="A4937" s="149" t="s">
        <v>7039</v>
      </c>
      <c r="B4937" s="150" t="str">
        <f>IFERROR(VLOOKUP(Proc[[#This Row],[App]],Table2[],3,0),"open")</f>
        <v>ok</v>
      </c>
      <c r="C4937" s="149" t="s">
        <v>369</v>
      </c>
      <c r="D4937" t="s">
        <v>7146</v>
      </c>
      <c r="E4937" s="149" t="s">
        <v>7238</v>
      </c>
      <c r="F4937" s="150" t="s">
        <v>7238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7238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6435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28</v>
      </c>
      <c r="R4937" s="174" t="s">
        <v>5709</v>
      </c>
      <c r="S4937" s="150"/>
    </row>
    <row r="4938" spans="1:19" hidden="1">
      <c r="A4938" s="149" t="s">
        <v>7039</v>
      </c>
      <c r="B4938" s="150" t="str">
        <f>IFERROR(VLOOKUP(Proc[[#This Row],[App]],Table2[],3,0),"open")</f>
        <v>ok</v>
      </c>
      <c r="C4938" s="149" t="s">
        <v>369</v>
      </c>
      <c r="D4938" t="s">
        <v>7147</v>
      </c>
      <c r="E4938" s="149" t="s">
        <v>7238</v>
      </c>
      <c r="F4938" s="150" t="s">
        <v>7238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7238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6435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28</v>
      </c>
      <c r="R4938" s="174" t="s">
        <v>5709</v>
      </c>
      <c r="S4938" s="150"/>
    </row>
    <row r="4939" spans="1:19" hidden="1">
      <c r="A4939" s="149" t="s">
        <v>7039</v>
      </c>
      <c r="B4939" s="150" t="str">
        <f>IFERROR(VLOOKUP(Proc[[#This Row],[App]],Table2[],3,0),"open")</f>
        <v>ok</v>
      </c>
      <c r="C4939" s="149" t="s">
        <v>369</v>
      </c>
      <c r="D4939" t="s">
        <v>7148</v>
      </c>
      <c r="E4939" s="149" t="s">
        <v>7238</v>
      </c>
      <c r="F4939" s="150" t="s">
        <v>7238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7238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6435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28</v>
      </c>
      <c r="R4939" s="174" t="s">
        <v>5709</v>
      </c>
      <c r="S4939" s="150"/>
    </row>
    <row r="4940" spans="1:19" hidden="1">
      <c r="A4940" s="149" t="s">
        <v>7039</v>
      </c>
      <c r="B4940" s="150" t="str">
        <f>IFERROR(VLOOKUP(Proc[[#This Row],[App]],Table2[],3,0),"open")</f>
        <v>ok</v>
      </c>
      <c r="C4940" s="149" t="s">
        <v>369</v>
      </c>
      <c r="D4940" t="s">
        <v>7149</v>
      </c>
      <c r="E4940" s="149" t="s">
        <v>7238</v>
      </c>
      <c r="F4940" s="150" t="s">
        <v>7238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7238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6435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28</v>
      </c>
      <c r="R4940" s="174" t="s">
        <v>5709</v>
      </c>
      <c r="S4940" s="150"/>
    </row>
    <row r="4941" spans="1:19" hidden="1">
      <c r="A4941" s="149" t="s">
        <v>7039</v>
      </c>
      <c r="B4941" s="150" t="str">
        <f>IFERROR(VLOOKUP(Proc[[#This Row],[App]],Table2[],3,0),"open")</f>
        <v>ok</v>
      </c>
      <c r="C4941" s="149" t="s">
        <v>369</v>
      </c>
      <c r="D4941" t="s">
        <v>7150</v>
      </c>
      <c r="E4941" s="149" t="s">
        <v>7238</v>
      </c>
      <c r="F4941" s="150" t="s">
        <v>7238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7238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6435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28</v>
      </c>
      <c r="R4941" s="174" t="s">
        <v>5709</v>
      </c>
      <c r="S4941" s="150"/>
    </row>
    <row r="4942" spans="1:19" hidden="1">
      <c r="A4942" s="149" t="s">
        <v>7039</v>
      </c>
      <c r="B4942" s="150" t="str">
        <f>IFERROR(VLOOKUP(Proc[[#This Row],[App]],Table2[],3,0),"open")</f>
        <v>ok</v>
      </c>
      <c r="C4942" s="149" t="s">
        <v>369</v>
      </c>
      <c r="D4942" t="s">
        <v>7151</v>
      </c>
      <c r="E4942" s="149" t="s">
        <v>7238</v>
      </c>
      <c r="F4942" s="150" t="s">
        <v>7238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7238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6435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28</v>
      </c>
      <c r="R4942" s="174" t="s">
        <v>5709</v>
      </c>
      <c r="S4942" s="150"/>
    </row>
    <row r="4943" spans="1:19" hidden="1">
      <c r="A4943" s="149" t="s">
        <v>7039</v>
      </c>
      <c r="B4943" s="150" t="str">
        <f>IFERROR(VLOOKUP(Proc[[#This Row],[App]],Table2[],3,0),"open")</f>
        <v>ok</v>
      </c>
      <c r="C4943" s="149" t="s">
        <v>369</v>
      </c>
      <c r="D4943" t="s">
        <v>7152</v>
      </c>
      <c r="E4943" s="149" t="s">
        <v>7238</v>
      </c>
      <c r="F4943" s="150" t="s">
        <v>7238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7238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6435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28</v>
      </c>
      <c r="R4943" s="174" t="s">
        <v>5709</v>
      </c>
      <c r="S4943" s="150"/>
    </row>
    <row r="4944" spans="1:19" hidden="1">
      <c r="A4944" s="149" t="s">
        <v>7039</v>
      </c>
      <c r="B4944" s="150" t="str">
        <f>IFERROR(VLOOKUP(Proc[[#This Row],[App]],Table2[],3,0),"open")</f>
        <v>ok</v>
      </c>
      <c r="C4944" s="149" t="s">
        <v>369</v>
      </c>
      <c r="D4944" t="s">
        <v>7153</v>
      </c>
      <c r="E4944" s="149" t="s">
        <v>7238</v>
      </c>
      <c r="F4944" s="150" t="s">
        <v>7238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7238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6435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28</v>
      </c>
      <c r="R4944" s="174" t="s">
        <v>5709</v>
      </c>
      <c r="S4944" s="150"/>
    </row>
    <row r="4945" spans="1:19" hidden="1">
      <c r="A4945" s="149" t="s">
        <v>7039</v>
      </c>
      <c r="B4945" s="150" t="str">
        <f>IFERROR(VLOOKUP(Proc[[#This Row],[App]],Table2[],3,0),"open")</f>
        <v>ok</v>
      </c>
      <c r="C4945" s="149" t="s">
        <v>369</v>
      </c>
      <c r="D4945" t="s">
        <v>7154</v>
      </c>
      <c r="E4945" s="149" t="s">
        <v>7238</v>
      </c>
      <c r="F4945" s="150" t="s">
        <v>7238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7238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6435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28</v>
      </c>
      <c r="R4945" s="174" t="s">
        <v>5709</v>
      </c>
      <c r="S4945" s="150"/>
    </row>
    <row r="4946" spans="1:19" hidden="1">
      <c r="A4946" s="149" t="s">
        <v>7039</v>
      </c>
      <c r="B4946" s="150" t="str">
        <f>IFERROR(VLOOKUP(Proc[[#This Row],[App]],Table2[],3,0),"open")</f>
        <v>ok</v>
      </c>
      <c r="C4946" s="149" t="s">
        <v>369</v>
      </c>
      <c r="D4946" t="s">
        <v>7155</v>
      </c>
      <c r="E4946" s="149" t="s">
        <v>7238</v>
      </c>
      <c r="F4946" s="150" t="s">
        <v>7238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7238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6435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28</v>
      </c>
      <c r="R4946" s="174" t="s">
        <v>5709</v>
      </c>
      <c r="S4946" s="150"/>
    </row>
    <row r="4947" spans="1:19" hidden="1">
      <c r="A4947" s="149" t="s">
        <v>7039</v>
      </c>
      <c r="B4947" s="150" t="str">
        <f>IFERROR(VLOOKUP(Proc[[#This Row],[App]],Table2[],3,0),"open")</f>
        <v>ok</v>
      </c>
      <c r="C4947" s="149" t="s">
        <v>369</v>
      </c>
      <c r="D4947" t="s">
        <v>7156</v>
      </c>
      <c r="E4947" s="149" t="s">
        <v>7238</v>
      </c>
      <c r="F4947" s="150" t="s">
        <v>7238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7238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6435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28</v>
      </c>
      <c r="R4947" s="174" t="s">
        <v>5709</v>
      </c>
      <c r="S4947" s="150"/>
    </row>
    <row r="4948" spans="1:19" hidden="1">
      <c r="A4948" s="149" t="s">
        <v>7039</v>
      </c>
      <c r="B4948" s="150" t="str">
        <f>IFERROR(VLOOKUP(Proc[[#This Row],[App]],Table2[],3,0),"open")</f>
        <v>ok</v>
      </c>
      <c r="C4948" s="149" t="s">
        <v>369</v>
      </c>
      <c r="D4948" t="s">
        <v>7157</v>
      </c>
      <c r="E4948" s="149" t="s">
        <v>7238</v>
      </c>
      <c r="F4948" s="150" t="s">
        <v>7238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7238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6435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28</v>
      </c>
      <c r="R4948" s="174" t="s">
        <v>5709</v>
      </c>
      <c r="S4948" s="150"/>
    </row>
    <row r="4949" spans="1:19" hidden="1">
      <c r="A4949" s="149" t="s">
        <v>7039</v>
      </c>
      <c r="B4949" s="150" t="str">
        <f>IFERROR(VLOOKUP(Proc[[#This Row],[App]],Table2[],3,0),"open")</f>
        <v>ok</v>
      </c>
      <c r="C4949" s="149" t="s">
        <v>369</v>
      </c>
      <c r="D4949" t="s">
        <v>7158</v>
      </c>
      <c r="E4949" s="149" t="s">
        <v>7238</v>
      </c>
      <c r="F4949" s="150" t="s">
        <v>7238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7238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6435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28</v>
      </c>
      <c r="R4949" s="174" t="s">
        <v>5709</v>
      </c>
      <c r="S4949" s="150"/>
    </row>
    <row r="4950" spans="1:19" hidden="1">
      <c r="A4950" s="149" t="s">
        <v>7039</v>
      </c>
      <c r="B4950" s="150" t="str">
        <f>IFERROR(VLOOKUP(Proc[[#This Row],[App]],Table2[],3,0),"open")</f>
        <v>ok</v>
      </c>
      <c r="C4950" s="149" t="s">
        <v>369</v>
      </c>
      <c r="D4950" t="s">
        <v>7159</v>
      </c>
      <c r="E4950" s="149" t="s">
        <v>7238</v>
      </c>
      <c r="F4950" s="150" t="s">
        <v>7238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7238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6435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28</v>
      </c>
      <c r="R4950" s="174" t="s">
        <v>5709</v>
      </c>
      <c r="S4950" s="150"/>
    </row>
    <row r="4951" spans="1:19" hidden="1">
      <c r="A4951" s="149" t="s">
        <v>7039</v>
      </c>
      <c r="B4951" s="150" t="str">
        <f>IFERROR(VLOOKUP(Proc[[#This Row],[App]],Table2[],3,0),"open")</f>
        <v>ok</v>
      </c>
      <c r="C4951" s="149" t="s">
        <v>369</v>
      </c>
      <c r="D4951" t="s">
        <v>7160</v>
      </c>
      <c r="E4951" s="149" t="s">
        <v>7238</v>
      </c>
      <c r="F4951" s="150" t="s">
        <v>7238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7238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6435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28</v>
      </c>
      <c r="R4951" s="174" t="s">
        <v>5709</v>
      </c>
      <c r="S4951" s="150"/>
    </row>
    <row r="4952" spans="1:19" hidden="1">
      <c r="A4952" s="149" t="s">
        <v>7039</v>
      </c>
      <c r="B4952" s="150" t="str">
        <f>IFERROR(VLOOKUP(Proc[[#This Row],[App]],Table2[],3,0),"open")</f>
        <v>ok</v>
      </c>
      <c r="C4952" s="149" t="s">
        <v>369</v>
      </c>
      <c r="D4952" t="s">
        <v>7161</v>
      </c>
      <c r="E4952" s="149" t="s">
        <v>7238</v>
      </c>
      <c r="F4952" s="150" t="s">
        <v>7238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7238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6435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28</v>
      </c>
      <c r="R4952" s="174" t="s">
        <v>5709</v>
      </c>
      <c r="S4952" s="150"/>
    </row>
    <row r="4953" spans="1:19" hidden="1">
      <c r="A4953" s="149" t="s">
        <v>7039</v>
      </c>
      <c r="B4953" s="150" t="str">
        <f>IFERROR(VLOOKUP(Proc[[#This Row],[App]],Table2[],3,0),"open")</f>
        <v>ok</v>
      </c>
      <c r="C4953" s="149" t="s">
        <v>369</v>
      </c>
      <c r="D4953" t="s">
        <v>7162</v>
      </c>
      <c r="E4953" s="149" t="s">
        <v>7238</v>
      </c>
      <c r="F4953" s="150" t="s">
        <v>7238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7238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6435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28</v>
      </c>
      <c r="R4953" s="174" t="s">
        <v>5709</v>
      </c>
      <c r="S4953" s="150"/>
    </row>
    <row r="4954" spans="1:19" hidden="1">
      <c r="A4954" s="149" t="s">
        <v>7039</v>
      </c>
      <c r="B4954" s="150" t="str">
        <f>IFERROR(VLOOKUP(Proc[[#This Row],[App]],Table2[],3,0),"open")</f>
        <v>ok</v>
      </c>
      <c r="C4954" s="149" t="s">
        <v>369</v>
      </c>
      <c r="D4954" t="s">
        <v>7163</v>
      </c>
      <c r="E4954" s="149" t="s">
        <v>7238</v>
      </c>
      <c r="F4954" s="150" t="s">
        <v>7238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7238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6435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28</v>
      </c>
      <c r="R4954" s="174" t="s">
        <v>5709</v>
      </c>
      <c r="S4954" s="150"/>
    </row>
    <row r="4955" spans="1:19" hidden="1">
      <c r="A4955" s="149" t="s">
        <v>7039</v>
      </c>
      <c r="B4955" s="150" t="str">
        <f>IFERROR(VLOOKUP(Proc[[#This Row],[App]],Table2[],3,0),"open")</f>
        <v>ok</v>
      </c>
      <c r="C4955" s="149" t="s">
        <v>369</v>
      </c>
      <c r="D4955" t="s">
        <v>7164</v>
      </c>
      <c r="E4955" s="149" t="s">
        <v>7238</v>
      </c>
      <c r="F4955" s="150" t="s">
        <v>7238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7238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6435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28</v>
      </c>
      <c r="R4955" s="174" t="s">
        <v>5709</v>
      </c>
      <c r="S4955" s="150"/>
    </row>
    <row r="4956" spans="1:19" hidden="1">
      <c r="A4956" s="149" t="s">
        <v>7039</v>
      </c>
      <c r="B4956" s="150" t="str">
        <f>IFERROR(VLOOKUP(Proc[[#This Row],[App]],Table2[],3,0),"open")</f>
        <v>ok</v>
      </c>
      <c r="C4956" s="149" t="s">
        <v>369</v>
      </c>
      <c r="D4956" t="s">
        <v>7165</v>
      </c>
      <c r="E4956" s="149" t="s">
        <v>7238</v>
      </c>
      <c r="F4956" s="150" t="s">
        <v>7238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7238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6435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28</v>
      </c>
      <c r="R4956" s="174" t="s">
        <v>5709</v>
      </c>
      <c r="S4956" s="150"/>
    </row>
    <row r="4957" spans="1:19" hidden="1">
      <c r="A4957" s="149" t="s">
        <v>7039</v>
      </c>
      <c r="B4957" s="150" t="str">
        <f>IFERROR(VLOOKUP(Proc[[#This Row],[App]],Table2[],3,0),"open")</f>
        <v>ok</v>
      </c>
      <c r="C4957" s="149" t="s">
        <v>369</v>
      </c>
      <c r="D4957" t="s">
        <v>7166</v>
      </c>
      <c r="E4957" s="149" t="s">
        <v>7238</v>
      </c>
      <c r="F4957" s="150" t="s">
        <v>7238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7238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6435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28</v>
      </c>
      <c r="R4957" s="174" t="s">
        <v>5709</v>
      </c>
      <c r="S4957" s="150"/>
    </row>
    <row r="4958" spans="1:19" hidden="1">
      <c r="A4958" s="149" t="s">
        <v>7039</v>
      </c>
      <c r="B4958" s="150" t="str">
        <f>IFERROR(VLOOKUP(Proc[[#This Row],[App]],Table2[],3,0),"open")</f>
        <v>ok</v>
      </c>
      <c r="C4958" s="149" t="s">
        <v>369</v>
      </c>
      <c r="D4958" t="s">
        <v>7167</v>
      </c>
      <c r="E4958" s="149" t="s">
        <v>7239</v>
      </c>
      <c r="F4958" s="150" t="s">
        <v>7239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7239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6435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28</v>
      </c>
      <c r="R4958" s="174" t="s">
        <v>5709</v>
      </c>
      <c r="S4958" s="150"/>
    </row>
    <row r="4959" spans="1:19" hidden="1">
      <c r="A4959" s="149" t="s">
        <v>7039</v>
      </c>
      <c r="B4959" s="150" t="str">
        <f>IFERROR(VLOOKUP(Proc[[#This Row],[App]],Table2[],3,0),"open")</f>
        <v>ok</v>
      </c>
      <c r="C4959" s="149" t="s">
        <v>369</v>
      </c>
      <c r="D4959" t="s">
        <v>7168</v>
      </c>
      <c r="E4959" s="149" t="s">
        <v>7239</v>
      </c>
      <c r="F4959" s="150" t="s">
        <v>7239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7239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6435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28</v>
      </c>
      <c r="R4959" s="174" t="s">
        <v>5709</v>
      </c>
      <c r="S4959" s="150"/>
    </row>
    <row r="4960" spans="1:19" hidden="1">
      <c r="A4960" s="149" t="s">
        <v>7039</v>
      </c>
      <c r="B4960" s="150" t="str">
        <f>IFERROR(VLOOKUP(Proc[[#This Row],[App]],Table2[],3,0),"open")</f>
        <v>ok</v>
      </c>
      <c r="C4960" s="149" t="s">
        <v>369</v>
      </c>
      <c r="D4960" t="s">
        <v>7169</v>
      </c>
      <c r="E4960" s="149" t="s">
        <v>7239</v>
      </c>
      <c r="F4960" s="150" t="s">
        <v>7239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7239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6435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28</v>
      </c>
      <c r="R4960" s="174" t="s">
        <v>5709</v>
      </c>
      <c r="S4960" s="150"/>
    </row>
    <row r="4961" spans="1:19" hidden="1">
      <c r="A4961" s="149" t="s">
        <v>7039</v>
      </c>
      <c r="B4961" s="150" t="str">
        <f>IFERROR(VLOOKUP(Proc[[#This Row],[App]],Table2[],3,0),"open")</f>
        <v>ok</v>
      </c>
      <c r="C4961" s="149" t="s">
        <v>369</v>
      </c>
      <c r="D4961" t="s">
        <v>7170</v>
      </c>
      <c r="E4961" s="149" t="s">
        <v>7239</v>
      </c>
      <c r="F4961" s="150" t="s">
        <v>7239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7239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6435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28</v>
      </c>
      <c r="R4961" s="174" t="s">
        <v>5709</v>
      </c>
      <c r="S4961" s="150"/>
    </row>
    <row r="4962" spans="1:19" hidden="1">
      <c r="A4962" s="149" t="s">
        <v>7039</v>
      </c>
      <c r="B4962" s="150" t="str">
        <f>IFERROR(VLOOKUP(Proc[[#This Row],[App]],Table2[],3,0),"open")</f>
        <v>ok</v>
      </c>
      <c r="C4962" s="149" t="s">
        <v>369</v>
      </c>
      <c r="D4962" t="s">
        <v>7171</v>
      </c>
      <c r="E4962" s="149" t="s">
        <v>7239</v>
      </c>
      <c r="F4962" s="150" t="s">
        <v>7239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7239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6435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28</v>
      </c>
      <c r="R4962" s="174" t="s">
        <v>5709</v>
      </c>
      <c r="S4962" s="150"/>
    </row>
    <row r="4963" spans="1:19" hidden="1">
      <c r="A4963" s="149" t="s">
        <v>7039</v>
      </c>
      <c r="B4963" s="150" t="str">
        <f>IFERROR(VLOOKUP(Proc[[#This Row],[App]],Table2[],3,0),"open")</f>
        <v>ok</v>
      </c>
      <c r="C4963" s="149" t="s">
        <v>369</v>
      </c>
      <c r="D4963" t="s">
        <v>7172</v>
      </c>
      <c r="E4963" s="149" t="s">
        <v>7239</v>
      </c>
      <c r="F4963" s="150" t="s">
        <v>7239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7239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6435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28</v>
      </c>
      <c r="R4963" s="174" t="s">
        <v>5709</v>
      </c>
      <c r="S4963" s="150"/>
    </row>
    <row r="4964" spans="1:19" hidden="1">
      <c r="A4964" s="149" t="s">
        <v>7039</v>
      </c>
      <c r="B4964" s="150" t="str">
        <f>IFERROR(VLOOKUP(Proc[[#This Row],[App]],Table2[],3,0),"open")</f>
        <v>ok</v>
      </c>
      <c r="C4964" s="149" t="s">
        <v>369</v>
      </c>
      <c r="D4964" t="s">
        <v>7173</v>
      </c>
      <c r="E4964" s="149" t="s">
        <v>7239</v>
      </c>
      <c r="F4964" s="150" t="s">
        <v>7239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7239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6435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28</v>
      </c>
      <c r="R4964" s="174" t="s">
        <v>5709</v>
      </c>
      <c r="S4964" s="150"/>
    </row>
    <row r="4965" spans="1:19" hidden="1">
      <c r="A4965" s="149" t="s">
        <v>7039</v>
      </c>
      <c r="B4965" s="150" t="str">
        <f>IFERROR(VLOOKUP(Proc[[#This Row],[App]],Table2[],3,0),"open")</f>
        <v>ok</v>
      </c>
      <c r="C4965" s="149" t="s">
        <v>369</v>
      </c>
      <c r="D4965" t="s">
        <v>7174</v>
      </c>
      <c r="E4965" s="149" t="s">
        <v>7239</v>
      </c>
      <c r="F4965" s="150" t="s">
        <v>7239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7239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6435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28</v>
      </c>
      <c r="R4965" s="174" t="s">
        <v>5709</v>
      </c>
      <c r="S4965" s="150"/>
    </row>
    <row r="4966" spans="1:19" hidden="1">
      <c r="A4966" s="149" t="s">
        <v>7039</v>
      </c>
      <c r="B4966" s="150" t="str">
        <f>IFERROR(VLOOKUP(Proc[[#This Row],[App]],Table2[],3,0),"open")</f>
        <v>ok</v>
      </c>
      <c r="C4966" s="149" t="s">
        <v>369</v>
      </c>
      <c r="D4966" t="s">
        <v>7175</v>
      </c>
      <c r="E4966" s="149" t="s">
        <v>7239</v>
      </c>
      <c r="F4966" s="150" t="s">
        <v>7239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7239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6435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28</v>
      </c>
      <c r="R4966" s="174" t="s">
        <v>5709</v>
      </c>
      <c r="S4966" s="150"/>
    </row>
    <row r="4967" spans="1:19" hidden="1">
      <c r="A4967" s="149" t="s">
        <v>7039</v>
      </c>
      <c r="B4967" s="150" t="str">
        <f>IFERROR(VLOOKUP(Proc[[#This Row],[App]],Table2[],3,0),"open")</f>
        <v>ok</v>
      </c>
      <c r="C4967" s="149" t="s">
        <v>369</v>
      </c>
      <c r="D4967" t="s">
        <v>7176</v>
      </c>
      <c r="E4967" s="149" t="s">
        <v>7239</v>
      </c>
      <c r="F4967" s="150" t="s">
        <v>7239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7239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6435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28</v>
      </c>
      <c r="R4967" s="174" t="s">
        <v>5709</v>
      </c>
      <c r="S4967" s="150"/>
    </row>
    <row r="4968" spans="1:19" hidden="1">
      <c r="A4968" s="149" t="s">
        <v>7039</v>
      </c>
      <c r="B4968" s="150" t="str">
        <f>IFERROR(VLOOKUP(Proc[[#This Row],[App]],Table2[],3,0),"open")</f>
        <v>ok</v>
      </c>
      <c r="C4968" s="149" t="s">
        <v>369</v>
      </c>
      <c r="D4968" t="s">
        <v>7177</v>
      </c>
      <c r="E4968" s="149" t="s">
        <v>7239</v>
      </c>
      <c r="F4968" s="150" t="s">
        <v>7239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7239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6435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28</v>
      </c>
      <c r="R4968" s="174" t="s">
        <v>5709</v>
      </c>
      <c r="S4968" s="150"/>
    </row>
    <row r="4969" spans="1:19" hidden="1">
      <c r="A4969" s="149" t="s">
        <v>7039</v>
      </c>
      <c r="B4969" s="150" t="str">
        <f>IFERROR(VLOOKUP(Proc[[#This Row],[App]],Table2[],3,0),"open")</f>
        <v>ok</v>
      </c>
      <c r="C4969" s="149" t="s">
        <v>369</v>
      </c>
      <c r="D4969" t="s">
        <v>7178</v>
      </c>
      <c r="E4969" s="149" t="s">
        <v>7239</v>
      </c>
      <c r="F4969" s="150" t="s">
        <v>7239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7239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6435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28</v>
      </c>
      <c r="R4969" s="174" t="s">
        <v>5709</v>
      </c>
      <c r="S4969" s="150"/>
    </row>
    <row r="4970" spans="1:19" hidden="1">
      <c r="A4970" s="149" t="s">
        <v>7039</v>
      </c>
      <c r="B4970" s="150" t="str">
        <f>IFERROR(VLOOKUP(Proc[[#This Row],[App]],Table2[],3,0),"open")</f>
        <v>ok</v>
      </c>
      <c r="C4970" s="149" t="s">
        <v>369</v>
      </c>
      <c r="D4970" t="s">
        <v>7179</v>
      </c>
      <c r="E4970" s="149" t="s">
        <v>7240</v>
      </c>
      <c r="F4970" s="150" t="s">
        <v>7240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7240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6435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28</v>
      </c>
      <c r="R4970" s="174" t="s">
        <v>5709</v>
      </c>
      <c r="S4970" s="150"/>
    </row>
    <row r="4971" spans="1:19" hidden="1">
      <c r="A4971" s="149" t="s">
        <v>7039</v>
      </c>
      <c r="B4971" s="150" t="str">
        <f>IFERROR(VLOOKUP(Proc[[#This Row],[App]],Table2[],3,0),"open")</f>
        <v>ok</v>
      </c>
      <c r="C4971" s="149" t="s">
        <v>369</v>
      </c>
      <c r="D4971" t="s">
        <v>7180</v>
      </c>
      <c r="E4971" s="149" t="s">
        <v>7240</v>
      </c>
      <c r="F4971" s="150" t="s">
        <v>7240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7240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6435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28</v>
      </c>
      <c r="R4971" s="174" t="s">
        <v>5709</v>
      </c>
      <c r="S4971" s="150"/>
    </row>
    <row r="4972" spans="1:19" hidden="1">
      <c r="A4972" s="149" t="s">
        <v>7039</v>
      </c>
      <c r="B4972" s="150" t="str">
        <f>IFERROR(VLOOKUP(Proc[[#This Row],[App]],Table2[],3,0),"open")</f>
        <v>ok</v>
      </c>
      <c r="C4972" s="149" t="s">
        <v>369</v>
      </c>
      <c r="D4972" t="s">
        <v>7181</v>
      </c>
      <c r="E4972" s="149" t="s">
        <v>7240</v>
      </c>
      <c r="F4972" s="150" t="s">
        <v>7240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7240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6435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28</v>
      </c>
      <c r="R4972" s="174" t="s">
        <v>5709</v>
      </c>
      <c r="S4972" s="150"/>
    </row>
    <row r="4973" spans="1:19" hidden="1">
      <c r="A4973" s="149" t="s">
        <v>7039</v>
      </c>
      <c r="B4973" s="150" t="str">
        <f>IFERROR(VLOOKUP(Proc[[#This Row],[App]],Table2[],3,0),"open")</f>
        <v>ok</v>
      </c>
      <c r="C4973" s="149" t="s">
        <v>369</v>
      </c>
      <c r="D4973" t="s">
        <v>7182</v>
      </c>
      <c r="E4973" s="149" t="s">
        <v>7240</v>
      </c>
      <c r="F4973" s="150" t="s">
        <v>7240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7240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6435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28</v>
      </c>
      <c r="R4973" s="174" t="s">
        <v>5709</v>
      </c>
      <c r="S4973" s="150"/>
    </row>
    <row r="4974" spans="1:19" hidden="1">
      <c r="A4974" s="149" t="s">
        <v>7039</v>
      </c>
      <c r="B4974" s="150" t="str">
        <f>IFERROR(VLOOKUP(Proc[[#This Row],[App]],Table2[],3,0),"open")</f>
        <v>ok</v>
      </c>
      <c r="C4974" s="149" t="s">
        <v>369</v>
      </c>
      <c r="D4974" t="s">
        <v>7183</v>
      </c>
      <c r="E4974" s="149" t="s">
        <v>7241</v>
      </c>
      <c r="F4974" s="150" t="s">
        <v>7241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7241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6435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28</v>
      </c>
      <c r="R4974" s="174" t="s">
        <v>5709</v>
      </c>
      <c r="S4974" s="150"/>
    </row>
    <row r="4975" spans="1:19" hidden="1">
      <c r="A4975" t="s">
        <v>7192</v>
      </c>
      <c r="B4975" s="150" t="str">
        <f>IFERROR(VLOOKUP(Proc[[#This Row],[App]],Table2[],3,0),"open")</f>
        <v>ok</v>
      </c>
      <c r="C4975" s="149" t="s">
        <v>369</v>
      </c>
      <c r="D4975" t="s">
        <v>7184</v>
      </c>
      <c r="E4975" t="s">
        <v>7189</v>
      </c>
      <c r="F4975" s="150" t="s">
        <v>7189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6435</v>
      </c>
      <c r="M4975" s="173">
        <v>45992</v>
      </c>
      <c r="N4975" s="174"/>
      <c r="O4975" s="174"/>
      <c r="P4975" s="174" t="str">
        <f ca="1">IF(Proc[[#This Row],[DaysAgeing]]&gt;5,"yep","on track")</f>
        <v>yep</v>
      </c>
      <c r="Q4975" s="3">
        <f ca="1">IF(Proc[[#This Row],[DateClosed]]="",ABS(NETWORKDAYS(Proc[[#This Row],[DateOpened]],TODAY()))-1,ABS(NETWORKDAYS(Proc[[#This Row],[DateOpened]],Proc[[#This Row],[DateClosed]]))-1)</f>
        <v>27</v>
      </c>
      <c r="R4975" s="174" t="s">
        <v>7193</v>
      </c>
      <c r="S4975" s="150"/>
    </row>
    <row r="4976" spans="1:19" hidden="1">
      <c r="A4976" t="s">
        <v>7192</v>
      </c>
      <c r="B4976" s="150" t="str">
        <f>IFERROR(VLOOKUP(Proc[[#This Row],[App]],Table2[],3,0),"open")</f>
        <v>ok</v>
      </c>
      <c r="C4976" s="149" t="s">
        <v>369</v>
      </c>
      <c r="D4976" t="s">
        <v>7185</v>
      </c>
      <c r="E4976" t="s">
        <v>7190</v>
      </c>
      <c r="F4976" s="150" t="s">
        <v>7190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6435</v>
      </c>
      <c r="M4976" s="173">
        <v>45992</v>
      </c>
      <c r="N4976" s="174"/>
      <c r="O4976" s="174"/>
      <c r="P4976" s="174" t="str">
        <f ca="1">IF(Proc[[#This Row],[DaysAgeing]]&gt;5,"yep","on track")</f>
        <v>yep</v>
      </c>
      <c r="Q4976" s="3">
        <f ca="1">IF(Proc[[#This Row],[DateClosed]]="",ABS(NETWORKDAYS(Proc[[#This Row],[DateOpened]],TODAY()))-1,ABS(NETWORKDAYS(Proc[[#This Row],[DateOpened]],Proc[[#This Row],[DateClosed]]))-1)</f>
        <v>27</v>
      </c>
      <c r="R4976" s="174" t="s">
        <v>7193</v>
      </c>
      <c r="S4976" s="150"/>
    </row>
    <row r="4977" spans="1:19" hidden="1">
      <c r="A4977" s="149" t="s">
        <v>7192</v>
      </c>
      <c r="B4977" s="150" t="str">
        <f>IFERROR(VLOOKUP(Proc[[#This Row],[App]],Table2[],3,0),"open")</f>
        <v>ok</v>
      </c>
      <c r="C4977" s="149" t="s">
        <v>369</v>
      </c>
      <c r="D4977" t="s">
        <v>7186</v>
      </c>
      <c r="E4977" t="s">
        <v>7190</v>
      </c>
      <c r="F4977" s="150" t="s">
        <v>7190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6435</v>
      </c>
      <c r="M4977" s="173">
        <v>45992</v>
      </c>
      <c r="N4977" s="174"/>
      <c r="O4977" s="174"/>
      <c r="P4977" s="174" t="str">
        <f ca="1">IF(Proc[[#This Row],[DaysAgeing]]&gt;5,"yep","on track")</f>
        <v>yep</v>
      </c>
      <c r="Q4977" s="3">
        <f ca="1">IF(Proc[[#This Row],[DateClosed]]="",ABS(NETWORKDAYS(Proc[[#This Row],[DateOpened]],TODAY()))-1,ABS(NETWORKDAYS(Proc[[#This Row],[DateOpened]],Proc[[#This Row],[DateClosed]]))-1)</f>
        <v>27</v>
      </c>
      <c r="R4977" s="174" t="s">
        <v>7193</v>
      </c>
      <c r="S4977" s="150"/>
    </row>
    <row r="4978" spans="1:19" hidden="1">
      <c r="A4978" s="149" t="s">
        <v>7192</v>
      </c>
      <c r="B4978" s="150" t="str">
        <f>IFERROR(VLOOKUP(Proc[[#This Row],[App]],Table2[],3,0),"open")</f>
        <v>ok</v>
      </c>
      <c r="C4978" s="149" t="s">
        <v>369</v>
      </c>
      <c r="D4978" t="s">
        <v>7187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6435</v>
      </c>
      <c r="M4978" s="173">
        <v>45992</v>
      </c>
      <c r="N4978" s="174"/>
      <c r="O4978" s="174"/>
      <c r="P4978" s="174" t="str">
        <f ca="1">IF(Proc[[#This Row],[DaysAgeing]]&gt;5,"yep","on track")</f>
        <v>yep</v>
      </c>
      <c r="Q4978" s="3">
        <f ca="1">IF(Proc[[#This Row],[DateClosed]]="",ABS(NETWORKDAYS(Proc[[#This Row],[DateOpened]],TODAY()))-1,ABS(NETWORKDAYS(Proc[[#This Row],[DateOpened]],Proc[[#This Row],[DateClosed]]))-1)</f>
        <v>27</v>
      </c>
      <c r="R4978" s="174" t="s">
        <v>7193</v>
      </c>
      <c r="S4978" s="150"/>
    </row>
    <row r="4979" spans="1:19" hidden="1">
      <c r="A4979" s="149" t="s">
        <v>7192</v>
      </c>
      <c r="B4979" s="150" t="str">
        <f>IFERROR(VLOOKUP(Proc[[#This Row],[App]],Table2[],3,0),"open")</f>
        <v>ok</v>
      </c>
      <c r="C4979" s="149" t="s">
        <v>369</v>
      </c>
      <c r="D4979" t="s">
        <v>7188</v>
      </c>
      <c r="E4979" t="s">
        <v>7191</v>
      </c>
      <c r="F4979" s="150" t="s">
        <v>7191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6435</v>
      </c>
      <c r="M4979" s="173">
        <v>45992</v>
      </c>
      <c r="N4979" s="174"/>
      <c r="O4979" s="174"/>
      <c r="P4979" s="174" t="str">
        <f ca="1">IF(Proc[[#This Row],[DaysAgeing]]&gt;5,"yep","on track")</f>
        <v>yep</v>
      </c>
      <c r="Q4979" s="3">
        <f ca="1">IF(Proc[[#This Row],[DateClosed]]="",ABS(NETWORKDAYS(Proc[[#This Row],[DateOpened]],TODAY()))-1,ABS(NETWORKDAYS(Proc[[#This Row],[DateOpened]],Proc[[#This Row],[DateClosed]]))-1)</f>
        <v>27</v>
      </c>
      <c r="R4979" s="174" t="s">
        <v>7193</v>
      </c>
      <c r="S4979" s="150"/>
    </row>
    <row r="4980" spans="1:19" hidden="1">
      <c r="A4980" t="s">
        <v>7195</v>
      </c>
      <c r="B4980" s="150" t="str">
        <f>IFERROR(VLOOKUP(Proc[[#This Row],[App]],Table2[],3,0),"open")</f>
        <v>ok</v>
      </c>
      <c r="C4980" s="149" t="s">
        <v>369</v>
      </c>
      <c r="D4980" t="s">
        <v>7196</v>
      </c>
      <c r="E4980" s="149" t="s">
        <v>7242</v>
      </c>
      <c r="F4980" s="150" t="s">
        <v>7242</v>
      </c>
      <c r="G4980" t="s">
        <v>400</v>
      </c>
      <c r="H4980" s="150" t="str">
        <f>IF(Proc[[#This Row],[type]]="LFF (MDG-F)",MID(Proc[[#This Row],[Obj]],13,10),"")</f>
        <v/>
      </c>
      <c r="I4980" s="149" t="s">
        <v>7242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6435</v>
      </c>
      <c r="M4980" s="173">
        <v>45992</v>
      </c>
      <c r="N4980" s="174"/>
      <c r="O4980" s="174"/>
      <c r="P4980" s="174" t="str">
        <f ca="1">IF(Proc[[#This Row],[DaysAgeing]]&gt;5,"yep","on track")</f>
        <v>yep</v>
      </c>
      <c r="Q4980" s="3">
        <f ca="1">IF(Proc[[#This Row],[DateClosed]]="",ABS(NETWORKDAYS(Proc[[#This Row],[DateOpened]],TODAY()))-1,ABS(NETWORKDAYS(Proc[[#This Row],[DateOpened]],Proc[[#This Row],[DateClosed]]))-1)</f>
        <v>27</v>
      </c>
      <c r="R4980" s="174" t="s">
        <v>1013</v>
      </c>
      <c r="S4980" s="150"/>
    </row>
    <row r="4981" spans="1:19" hidden="1">
      <c r="A4981" t="s">
        <v>7195</v>
      </c>
      <c r="B4981" s="150" t="str">
        <f>IFERROR(VLOOKUP(Proc[[#This Row],[App]],Table2[],3,0),"open")</f>
        <v>ok</v>
      </c>
      <c r="C4981" s="149" t="s">
        <v>369</v>
      </c>
      <c r="D4981" t="s">
        <v>7197</v>
      </c>
      <c r="E4981" s="149" t="s">
        <v>7243</v>
      </c>
      <c r="F4981" s="150" t="s">
        <v>7243</v>
      </c>
      <c r="G4981" t="s">
        <v>400</v>
      </c>
      <c r="H4981" s="150" t="str">
        <f>IF(Proc[[#This Row],[type]]="LFF (MDG-F)",MID(Proc[[#This Row],[Obj]],13,10),"")</f>
        <v/>
      </c>
      <c r="I4981" s="149" t="s">
        <v>7243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6435</v>
      </c>
      <c r="M4981" s="173">
        <v>45992</v>
      </c>
      <c r="N4981" s="174"/>
      <c r="O4981" s="174"/>
      <c r="P4981" s="174" t="str">
        <f ca="1">IF(Proc[[#This Row],[DaysAgeing]]&gt;5,"yep","on track")</f>
        <v>yep</v>
      </c>
      <c r="Q4981" s="3">
        <f ca="1">IF(Proc[[#This Row],[DateClosed]]="",ABS(NETWORKDAYS(Proc[[#This Row],[DateOpened]],TODAY()))-1,ABS(NETWORKDAYS(Proc[[#This Row],[DateOpened]],Proc[[#This Row],[DateClosed]]))-1)</f>
        <v>27</v>
      </c>
      <c r="R4981" s="174" t="s">
        <v>1013</v>
      </c>
      <c r="S4981" s="150"/>
    </row>
    <row r="4982" spans="1:19" hidden="1">
      <c r="A4982" s="149" t="s">
        <v>7195</v>
      </c>
      <c r="B4982" s="150" t="str">
        <f>IFERROR(VLOOKUP(Proc[[#This Row],[App]],Table2[],3,0),"open")</f>
        <v>ok</v>
      </c>
      <c r="C4982" s="149" t="s">
        <v>369</v>
      </c>
      <c r="D4982" t="s">
        <v>7198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6435</v>
      </c>
      <c r="M4982" s="173">
        <v>45992</v>
      </c>
      <c r="N4982" s="174"/>
      <c r="O4982" s="174"/>
      <c r="P4982" s="174" t="str">
        <f ca="1">IF(Proc[[#This Row],[DaysAgeing]]&gt;5,"yep","on track")</f>
        <v>yep</v>
      </c>
      <c r="Q4982" s="3">
        <f ca="1">IF(Proc[[#This Row],[DateClosed]]="",ABS(NETWORKDAYS(Proc[[#This Row],[DateOpened]],TODAY()))-1,ABS(NETWORKDAYS(Proc[[#This Row],[DateOpened]],Proc[[#This Row],[DateClosed]]))-1)</f>
        <v>27</v>
      </c>
      <c r="R4982" s="174" t="s">
        <v>1013</v>
      </c>
      <c r="S4982" s="150"/>
    </row>
    <row r="4983" spans="1:19" hidden="1">
      <c r="A4983" s="149" t="s">
        <v>7195</v>
      </c>
      <c r="B4983" s="150" t="str">
        <f>IFERROR(VLOOKUP(Proc[[#This Row],[App]],Table2[],3,0),"open")</f>
        <v>ok</v>
      </c>
      <c r="C4983" s="149" t="s">
        <v>369</v>
      </c>
      <c r="D4983" t="s">
        <v>7245</v>
      </c>
      <c r="E4983" s="149" t="s">
        <v>7217</v>
      </c>
      <c r="F4983" s="149" t="s">
        <v>7217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7217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6435</v>
      </c>
      <c r="M4983" s="173">
        <v>45992</v>
      </c>
      <c r="N4983" s="174"/>
      <c r="O4983" s="174"/>
      <c r="P4983" s="174" t="str">
        <f ca="1">IF(Proc[[#This Row],[DaysAgeing]]&gt;5,"yep","on track")</f>
        <v>yep</v>
      </c>
      <c r="Q4983" s="3">
        <f ca="1">IF(Proc[[#This Row],[DateClosed]]="",ABS(NETWORKDAYS(Proc[[#This Row],[DateOpened]],TODAY()))-1,ABS(NETWORKDAYS(Proc[[#This Row],[DateOpened]],Proc[[#This Row],[DateClosed]]))-1)</f>
        <v>27</v>
      </c>
      <c r="R4983" s="174" t="s">
        <v>1013</v>
      </c>
      <c r="S4983" s="150"/>
    </row>
    <row r="4984" spans="1:19" hidden="1">
      <c r="A4984" s="149" t="s">
        <v>7195</v>
      </c>
      <c r="B4984" s="150" t="str">
        <f>IFERROR(VLOOKUP(Proc[[#This Row],[App]],Table2[],3,0),"open")</f>
        <v>ok</v>
      </c>
      <c r="C4984" s="149" t="s">
        <v>369</v>
      </c>
      <c r="D4984" t="s">
        <v>7244</v>
      </c>
      <c r="E4984" s="149" t="s">
        <v>7218</v>
      </c>
      <c r="F4984" s="149" t="s">
        <v>7218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7218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6435</v>
      </c>
      <c r="M4984" s="173">
        <v>45992</v>
      </c>
      <c r="N4984" s="174"/>
      <c r="O4984" s="174"/>
      <c r="P4984" s="174" t="str">
        <f ca="1">IF(Proc[[#This Row],[DaysAgeing]]&gt;5,"yep","on track")</f>
        <v>yep</v>
      </c>
      <c r="Q4984" s="3">
        <f ca="1">IF(Proc[[#This Row],[DateClosed]]="",ABS(NETWORKDAYS(Proc[[#This Row],[DateOpened]],TODAY()))-1,ABS(NETWORKDAYS(Proc[[#This Row],[DateOpened]],Proc[[#This Row],[DateClosed]]))-1)</f>
        <v>27</v>
      </c>
      <c r="R4984" s="174" t="s">
        <v>1013</v>
      </c>
      <c r="S4984" s="150"/>
    </row>
    <row r="4985" spans="1:19" hidden="1">
      <c r="A4985" s="149" t="s">
        <v>7195</v>
      </c>
      <c r="B4985" s="150" t="str">
        <f>IFERROR(VLOOKUP(Proc[[#This Row],[App]],Table2[],3,0),"open")</f>
        <v>ok</v>
      </c>
      <c r="C4985" s="149" t="s">
        <v>369</v>
      </c>
      <c r="D4985" t="s">
        <v>7199</v>
      </c>
      <c r="E4985" t="s">
        <v>7219</v>
      </c>
      <c r="F4985" s="150" t="s">
        <v>7219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6435</v>
      </c>
      <c r="M4985" s="173">
        <v>45992</v>
      </c>
      <c r="N4985" s="174"/>
      <c r="O4985" s="174"/>
      <c r="P4985" s="174" t="str">
        <f ca="1">IF(Proc[[#This Row],[DaysAgeing]]&gt;5,"yep","on track")</f>
        <v>yep</v>
      </c>
      <c r="Q4985" s="3">
        <f ca="1">IF(Proc[[#This Row],[DateClosed]]="",ABS(NETWORKDAYS(Proc[[#This Row],[DateOpened]],TODAY()))-1,ABS(NETWORKDAYS(Proc[[#This Row],[DateOpened]],Proc[[#This Row],[DateClosed]]))-1)</f>
        <v>27</v>
      </c>
      <c r="R4985" s="174" t="s">
        <v>1013</v>
      </c>
      <c r="S4985" s="150"/>
    </row>
    <row r="4986" spans="1:19" hidden="1">
      <c r="A4986" s="149" t="s">
        <v>7195</v>
      </c>
      <c r="B4986" s="150" t="str">
        <f>IFERROR(VLOOKUP(Proc[[#This Row],[App]],Table2[],3,0),"open")</f>
        <v>ok</v>
      </c>
      <c r="C4986" s="149" t="s">
        <v>369</v>
      </c>
      <c r="D4986" t="s">
        <v>7200</v>
      </c>
      <c r="E4986" t="s">
        <v>7220</v>
      </c>
      <c r="F4986" s="150" t="s">
        <v>7220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6435</v>
      </c>
      <c r="M4986" s="173">
        <v>45992</v>
      </c>
      <c r="N4986" s="174"/>
      <c r="O4986" s="174"/>
      <c r="P4986" s="174" t="str">
        <f ca="1">IF(Proc[[#This Row],[DaysAgeing]]&gt;5,"yep","on track")</f>
        <v>yep</v>
      </c>
      <c r="Q4986" s="3">
        <f ca="1">IF(Proc[[#This Row],[DateClosed]]="",ABS(NETWORKDAYS(Proc[[#This Row],[DateOpened]],TODAY()))-1,ABS(NETWORKDAYS(Proc[[#This Row],[DateOpened]],Proc[[#This Row],[DateClosed]]))-1)</f>
        <v>27</v>
      </c>
      <c r="R4986" s="174" t="s">
        <v>1013</v>
      </c>
      <c r="S4986" s="150"/>
    </row>
    <row r="4987" spans="1:19" hidden="1">
      <c r="A4987" s="149" t="s">
        <v>7195</v>
      </c>
      <c r="B4987" s="150" t="str">
        <f>IFERROR(VLOOKUP(Proc[[#This Row],[App]],Table2[],3,0),"open")</f>
        <v>ok</v>
      </c>
      <c r="C4987" s="149" t="s">
        <v>369</v>
      </c>
      <c r="D4987" t="s">
        <v>7201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6435</v>
      </c>
      <c r="M4987" s="173">
        <v>45992</v>
      </c>
      <c r="N4987" s="174"/>
      <c r="O4987" s="174"/>
      <c r="P4987" s="174" t="str">
        <f ca="1">IF(Proc[[#This Row],[DaysAgeing]]&gt;5,"yep","on track")</f>
        <v>yep</v>
      </c>
      <c r="Q4987" s="3">
        <f ca="1">IF(Proc[[#This Row],[DateClosed]]="",ABS(NETWORKDAYS(Proc[[#This Row],[DateOpened]],TODAY()))-1,ABS(NETWORKDAYS(Proc[[#This Row],[DateOpened]],Proc[[#This Row],[DateClosed]]))-1)</f>
        <v>27</v>
      </c>
      <c r="R4987" s="174" t="s">
        <v>1013</v>
      </c>
      <c r="S4987" s="150"/>
    </row>
    <row r="4988" spans="1:19" hidden="1">
      <c r="A4988" s="149" t="s">
        <v>7195</v>
      </c>
      <c r="B4988" s="150" t="str">
        <f>IFERROR(VLOOKUP(Proc[[#This Row],[App]],Table2[],3,0),"open")</f>
        <v>ok</v>
      </c>
      <c r="C4988" s="149" t="s">
        <v>369</v>
      </c>
      <c r="D4988" t="s">
        <v>7202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6435</v>
      </c>
      <c r="M4988" s="173">
        <v>45992</v>
      </c>
      <c r="N4988" s="174"/>
      <c r="O4988" s="174"/>
      <c r="P4988" s="174" t="str">
        <f ca="1">IF(Proc[[#This Row],[DaysAgeing]]&gt;5,"yep","on track")</f>
        <v>yep</v>
      </c>
      <c r="Q4988" s="3">
        <f ca="1">IF(Proc[[#This Row],[DateClosed]]="",ABS(NETWORKDAYS(Proc[[#This Row],[DateOpened]],TODAY()))-1,ABS(NETWORKDAYS(Proc[[#This Row],[DateOpened]],Proc[[#This Row],[DateClosed]]))-1)</f>
        <v>27</v>
      </c>
      <c r="R4988" s="174" t="s">
        <v>1013</v>
      </c>
      <c r="S4988" s="150"/>
    </row>
    <row r="4989" spans="1:19" hidden="1">
      <c r="A4989" s="149" t="s">
        <v>7195</v>
      </c>
      <c r="B4989" s="150" t="str">
        <f>IFERROR(VLOOKUP(Proc[[#This Row],[App]],Table2[],3,0),"open")</f>
        <v>ok</v>
      </c>
      <c r="C4989" s="149" t="s">
        <v>369</v>
      </c>
      <c r="D4989" t="s">
        <v>7203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6435</v>
      </c>
      <c r="M4989" s="173">
        <v>45992</v>
      </c>
      <c r="N4989" s="174"/>
      <c r="O4989" s="174"/>
      <c r="P4989" s="174" t="str">
        <f ca="1">IF(Proc[[#This Row],[DaysAgeing]]&gt;5,"yep","on track")</f>
        <v>yep</v>
      </c>
      <c r="Q4989" s="3">
        <f ca="1">IF(Proc[[#This Row],[DateClosed]]="",ABS(NETWORKDAYS(Proc[[#This Row],[DateOpened]],TODAY()))-1,ABS(NETWORKDAYS(Proc[[#This Row],[DateOpened]],Proc[[#This Row],[DateClosed]]))-1)</f>
        <v>27</v>
      </c>
      <c r="R4989" s="174" t="s">
        <v>1013</v>
      </c>
      <c r="S4989" s="150"/>
    </row>
    <row r="4990" spans="1:19" hidden="1">
      <c r="A4990" s="149" t="s">
        <v>7195</v>
      </c>
      <c r="B4990" s="150" t="str">
        <f>IFERROR(VLOOKUP(Proc[[#This Row],[App]],Table2[],3,0),"open")</f>
        <v>ok</v>
      </c>
      <c r="C4990" s="149" t="s">
        <v>369</v>
      </c>
      <c r="D4990" t="s">
        <v>7204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6435</v>
      </c>
      <c r="M4990" s="173">
        <v>45992</v>
      </c>
      <c r="N4990" s="174"/>
      <c r="O4990" s="174"/>
      <c r="P4990" s="174" t="str">
        <f ca="1">IF(Proc[[#This Row],[DaysAgeing]]&gt;5,"yep","on track")</f>
        <v>yep</v>
      </c>
      <c r="Q4990" s="3">
        <f ca="1">IF(Proc[[#This Row],[DateClosed]]="",ABS(NETWORKDAYS(Proc[[#This Row],[DateOpened]],TODAY()))-1,ABS(NETWORKDAYS(Proc[[#This Row],[DateOpened]],Proc[[#This Row],[DateClosed]]))-1)</f>
        <v>27</v>
      </c>
      <c r="R4990" s="174" t="s">
        <v>1013</v>
      </c>
      <c r="S4990" s="150"/>
    </row>
    <row r="4991" spans="1:19" hidden="1">
      <c r="A4991" s="149" t="s">
        <v>7195</v>
      </c>
      <c r="B4991" s="150" t="str">
        <f>IFERROR(VLOOKUP(Proc[[#This Row],[App]],Table2[],3,0),"open")</f>
        <v>ok</v>
      </c>
      <c r="C4991" s="149" t="s">
        <v>369</v>
      </c>
      <c r="D4991" t="s">
        <v>7205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6435</v>
      </c>
      <c r="M4991" s="173">
        <v>45992</v>
      </c>
      <c r="N4991" s="174"/>
      <c r="O4991" s="174"/>
      <c r="P4991" s="174" t="str">
        <f ca="1">IF(Proc[[#This Row],[DaysAgeing]]&gt;5,"yep","on track")</f>
        <v>yep</v>
      </c>
      <c r="Q4991" s="3">
        <f ca="1">IF(Proc[[#This Row],[DateClosed]]="",ABS(NETWORKDAYS(Proc[[#This Row],[DateOpened]],TODAY()))-1,ABS(NETWORKDAYS(Proc[[#This Row],[DateOpened]],Proc[[#This Row],[DateClosed]]))-1)</f>
        <v>27</v>
      </c>
      <c r="R4991" s="174" t="s">
        <v>1013</v>
      </c>
      <c r="S4991" s="150"/>
    </row>
    <row r="4992" spans="1:19" hidden="1">
      <c r="A4992" s="149" t="s">
        <v>7195</v>
      </c>
      <c r="B4992" s="150" t="str">
        <f>IFERROR(VLOOKUP(Proc[[#This Row],[App]],Table2[],3,0),"open")</f>
        <v>ok</v>
      </c>
      <c r="C4992" s="149" t="s">
        <v>369</v>
      </c>
      <c r="D4992" t="s">
        <v>7206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6435</v>
      </c>
      <c r="M4992" s="173">
        <v>45992</v>
      </c>
      <c r="N4992" s="174"/>
      <c r="O4992" s="174"/>
      <c r="P4992" s="174" t="str">
        <f ca="1">IF(Proc[[#This Row],[DaysAgeing]]&gt;5,"yep","on track")</f>
        <v>yep</v>
      </c>
      <c r="Q4992" s="3">
        <f ca="1">IF(Proc[[#This Row],[DateClosed]]="",ABS(NETWORKDAYS(Proc[[#This Row],[DateOpened]],TODAY()))-1,ABS(NETWORKDAYS(Proc[[#This Row],[DateOpened]],Proc[[#This Row],[DateClosed]]))-1)</f>
        <v>27</v>
      </c>
      <c r="R4992" s="174" t="s">
        <v>1013</v>
      </c>
      <c r="S4992" s="150"/>
    </row>
    <row r="4993" spans="1:19" hidden="1">
      <c r="A4993" s="149" t="s">
        <v>7195</v>
      </c>
      <c r="B4993" s="150" t="str">
        <f>IFERROR(VLOOKUP(Proc[[#This Row],[App]],Table2[],3,0),"open")</f>
        <v>ok</v>
      </c>
      <c r="C4993" s="149" t="s">
        <v>369</v>
      </c>
      <c r="D4993" t="s">
        <v>7207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6435</v>
      </c>
      <c r="M4993" s="173">
        <v>45992</v>
      </c>
      <c r="N4993" s="174"/>
      <c r="O4993" s="174"/>
      <c r="P4993" s="174" t="str">
        <f ca="1">IF(Proc[[#This Row],[DaysAgeing]]&gt;5,"yep","on track")</f>
        <v>yep</v>
      </c>
      <c r="Q4993" s="3">
        <f ca="1">IF(Proc[[#This Row],[DateClosed]]="",ABS(NETWORKDAYS(Proc[[#This Row],[DateOpened]],TODAY()))-1,ABS(NETWORKDAYS(Proc[[#This Row],[DateOpened]],Proc[[#This Row],[DateClosed]]))-1)</f>
        <v>27</v>
      </c>
      <c r="R4993" s="174" t="s">
        <v>1013</v>
      </c>
      <c r="S4993" s="150"/>
    </row>
    <row r="4994" spans="1:19" hidden="1">
      <c r="A4994" s="149" t="s">
        <v>7195</v>
      </c>
      <c r="B4994" s="150" t="str">
        <f>IFERROR(VLOOKUP(Proc[[#This Row],[App]],Table2[],3,0),"open")</f>
        <v>ok</v>
      </c>
      <c r="C4994" s="149" t="s">
        <v>369</v>
      </c>
      <c r="D4994" t="s">
        <v>7208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6435</v>
      </c>
      <c r="M4994" s="173">
        <v>45992</v>
      </c>
      <c r="N4994" s="174"/>
      <c r="O4994" s="174"/>
      <c r="P4994" s="174" t="str">
        <f ca="1">IF(Proc[[#This Row],[DaysAgeing]]&gt;5,"yep","on track")</f>
        <v>yep</v>
      </c>
      <c r="Q4994" s="3">
        <f ca="1">IF(Proc[[#This Row],[DateClosed]]="",ABS(NETWORKDAYS(Proc[[#This Row],[DateOpened]],TODAY()))-1,ABS(NETWORKDAYS(Proc[[#This Row],[DateOpened]],Proc[[#This Row],[DateClosed]]))-1)</f>
        <v>27</v>
      </c>
      <c r="R4994" s="174" t="s">
        <v>1013</v>
      </c>
      <c r="S4994" s="150"/>
    </row>
    <row r="4995" spans="1:19" hidden="1">
      <c r="A4995" s="149" t="s">
        <v>7195</v>
      </c>
      <c r="B4995" s="150" t="str">
        <f>IFERROR(VLOOKUP(Proc[[#This Row],[App]],Table2[],3,0),"open")</f>
        <v>ok</v>
      </c>
      <c r="C4995" s="149" t="s">
        <v>369</v>
      </c>
      <c r="D4995" t="s">
        <v>7209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6435</v>
      </c>
      <c r="M4995" s="173">
        <v>45992</v>
      </c>
      <c r="N4995" s="174"/>
      <c r="O4995" s="174"/>
      <c r="P4995" s="174" t="str">
        <f ca="1">IF(Proc[[#This Row],[DaysAgeing]]&gt;5,"yep","on track")</f>
        <v>yep</v>
      </c>
      <c r="Q4995" s="3">
        <f ca="1">IF(Proc[[#This Row],[DateClosed]]="",ABS(NETWORKDAYS(Proc[[#This Row],[DateOpened]],TODAY()))-1,ABS(NETWORKDAYS(Proc[[#This Row],[DateOpened]],Proc[[#This Row],[DateClosed]]))-1)</f>
        <v>27</v>
      </c>
      <c r="R4995" s="174" t="s">
        <v>1013</v>
      </c>
      <c r="S4995" s="150"/>
    </row>
    <row r="4996" spans="1:19" hidden="1">
      <c r="A4996" s="149" t="s">
        <v>7195</v>
      </c>
      <c r="B4996" s="150" t="str">
        <f>IFERROR(VLOOKUP(Proc[[#This Row],[App]],Table2[],3,0),"open")</f>
        <v>ok</v>
      </c>
      <c r="C4996" s="149" t="s">
        <v>369</v>
      </c>
      <c r="D4996" t="s">
        <v>7210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6435</v>
      </c>
      <c r="M4996" s="173">
        <v>45992</v>
      </c>
      <c r="N4996" s="174"/>
      <c r="O4996" s="174"/>
      <c r="P4996" s="174" t="str">
        <f ca="1">IF(Proc[[#This Row],[DaysAgeing]]&gt;5,"yep","on track")</f>
        <v>yep</v>
      </c>
      <c r="Q4996" s="3">
        <f ca="1">IF(Proc[[#This Row],[DateClosed]]="",ABS(NETWORKDAYS(Proc[[#This Row],[DateOpened]],TODAY()))-1,ABS(NETWORKDAYS(Proc[[#This Row],[DateOpened]],Proc[[#This Row],[DateClosed]]))-1)</f>
        <v>27</v>
      </c>
      <c r="R4996" s="174" t="s">
        <v>1013</v>
      </c>
      <c r="S4996" s="150"/>
    </row>
    <row r="4997" spans="1:19" hidden="1">
      <c r="A4997" s="149" t="s">
        <v>7195</v>
      </c>
      <c r="B4997" s="150" t="str">
        <f>IFERROR(VLOOKUP(Proc[[#This Row],[App]],Table2[],3,0),"open")</f>
        <v>ok</v>
      </c>
      <c r="C4997" s="149" t="s">
        <v>369</v>
      </c>
      <c r="D4997" t="s">
        <v>7211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6435</v>
      </c>
      <c r="M4997" s="173">
        <v>45992</v>
      </c>
      <c r="N4997" s="174"/>
      <c r="O4997" s="174"/>
      <c r="P4997" s="174" t="str">
        <f ca="1">IF(Proc[[#This Row],[DaysAgeing]]&gt;5,"yep","on track")</f>
        <v>yep</v>
      </c>
      <c r="Q4997" s="3">
        <f ca="1">IF(Proc[[#This Row],[DateClosed]]="",ABS(NETWORKDAYS(Proc[[#This Row],[DateOpened]],TODAY()))-1,ABS(NETWORKDAYS(Proc[[#This Row],[DateOpened]],Proc[[#This Row],[DateClosed]]))-1)</f>
        <v>27</v>
      </c>
      <c r="R4997" s="174" t="s">
        <v>1013</v>
      </c>
      <c r="S4997" s="150"/>
    </row>
    <row r="4998" spans="1:19" hidden="1">
      <c r="A4998" s="149" t="s">
        <v>7195</v>
      </c>
      <c r="B4998" s="150" t="str">
        <f>IFERROR(VLOOKUP(Proc[[#This Row],[App]],Table2[],3,0),"open")</f>
        <v>ok</v>
      </c>
      <c r="C4998" s="149" t="s">
        <v>369</v>
      </c>
      <c r="D4998" t="s">
        <v>7212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6435</v>
      </c>
      <c r="M4998" s="173">
        <v>45992</v>
      </c>
      <c r="N4998" s="174"/>
      <c r="O4998" s="174"/>
      <c r="P4998" s="174" t="str">
        <f ca="1">IF(Proc[[#This Row],[DaysAgeing]]&gt;5,"yep","on track")</f>
        <v>yep</v>
      </c>
      <c r="Q4998" s="3">
        <f ca="1">IF(Proc[[#This Row],[DateClosed]]="",ABS(NETWORKDAYS(Proc[[#This Row],[DateOpened]],TODAY()))-1,ABS(NETWORKDAYS(Proc[[#This Row],[DateOpened]],Proc[[#This Row],[DateClosed]]))-1)</f>
        <v>27</v>
      </c>
      <c r="R4998" s="174" t="s">
        <v>1013</v>
      </c>
      <c r="S4998" s="150"/>
    </row>
    <row r="4999" spans="1:19" hidden="1">
      <c r="A4999" s="149" t="s">
        <v>7195</v>
      </c>
      <c r="B4999" s="150" t="str">
        <f>IFERROR(VLOOKUP(Proc[[#This Row],[App]],Table2[],3,0),"open")</f>
        <v>ok</v>
      </c>
      <c r="C4999" s="149" t="s">
        <v>369</v>
      </c>
      <c r="D4999" t="s">
        <v>7213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6435</v>
      </c>
      <c r="M4999" s="173">
        <v>45992</v>
      </c>
      <c r="N4999" s="174"/>
      <c r="O4999" s="174"/>
      <c r="P4999" s="174" t="str">
        <f ca="1">IF(Proc[[#This Row],[DaysAgeing]]&gt;5,"yep","on track")</f>
        <v>yep</v>
      </c>
      <c r="Q4999" s="3">
        <f ca="1">IF(Proc[[#This Row],[DateClosed]]="",ABS(NETWORKDAYS(Proc[[#This Row],[DateOpened]],TODAY()))-1,ABS(NETWORKDAYS(Proc[[#This Row],[DateOpened]],Proc[[#This Row],[DateClosed]]))-1)</f>
        <v>27</v>
      </c>
      <c r="R4999" s="174" t="s">
        <v>1013</v>
      </c>
      <c r="S4999" s="150"/>
    </row>
    <row r="5000" spans="1:19" hidden="1">
      <c r="A5000" s="149" t="s">
        <v>7195</v>
      </c>
      <c r="B5000" s="150" t="str">
        <f>IFERROR(VLOOKUP(Proc[[#This Row],[App]],Table2[],3,0),"open")</f>
        <v>ok</v>
      </c>
      <c r="C5000" s="149" t="s">
        <v>369</v>
      </c>
      <c r="D5000" t="s">
        <v>7214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6435</v>
      </c>
      <c r="M5000" s="173">
        <v>45992</v>
      </c>
      <c r="N5000" s="174"/>
      <c r="O5000" s="174"/>
      <c r="P5000" s="174" t="str">
        <f ca="1">IF(Proc[[#This Row],[DaysAgeing]]&gt;5,"yep","on track")</f>
        <v>yep</v>
      </c>
      <c r="Q5000" s="3">
        <f ca="1">IF(Proc[[#This Row],[DateClosed]]="",ABS(NETWORKDAYS(Proc[[#This Row],[DateOpened]],TODAY()))-1,ABS(NETWORKDAYS(Proc[[#This Row],[DateOpened]],Proc[[#This Row],[DateClosed]]))-1)</f>
        <v>27</v>
      </c>
      <c r="R5000" s="174" t="s">
        <v>1013</v>
      </c>
      <c r="S5000" s="150"/>
    </row>
    <row r="5001" spans="1:19" hidden="1">
      <c r="A5001" s="149" t="s">
        <v>7195</v>
      </c>
      <c r="B5001" s="150" t="str">
        <f>IFERROR(VLOOKUP(Proc[[#This Row],[App]],Table2[],3,0),"open")</f>
        <v>ok</v>
      </c>
      <c r="C5001" s="149" t="s">
        <v>369</v>
      </c>
      <c r="D5001" t="s">
        <v>7215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6435</v>
      </c>
      <c r="M5001" s="173">
        <v>45992</v>
      </c>
      <c r="N5001" s="174"/>
      <c r="O5001" s="174"/>
      <c r="P5001" s="174" t="str">
        <f ca="1">IF(Proc[[#This Row],[DaysAgeing]]&gt;5,"yep","on track")</f>
        <v>yep</v>
      </c>
      <c r="Q5001" s="3">
        <f ca="1">IF(Proc[[#This Row],[DateClosed]]="",ABS(NETWORKDAYS(Proc[[#This Row],[DateOpened]],TODAY()))-1,ABS(NETWORKDAYS(Proc[[#This Row],[DateOpened]],Proc[[#This Row],[DateClosed]]))-1)</f>
        <v>27</v>
      </c>
      <c r="R5001" s="174" t="s">
        <v>1013</v>
      </c>
      <c r="S5001" s="150"/>
    </row>
    <row r="5002" spans="1:19" hidden="1">
      <c r="A5002" s="149" t="s">
        <v>7195</v>
      </c>
      <c r="B5002" s="150" t="str">
        <f>IFERROR(VLOOKUP(Proc[[#This Row],[App]],Table2[],3,0),"open")</f>
        <v>ok</v>
      </c>
      <c r="C5002" s="149" t="s">
        <v>369</v>
      </c>
      <c r="D5002" t="s">
        <v>7216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6435</v>
      </c>
      <c r="M5002" s="173">
        <v>45992</v>
      </c>
      <c r="N5002" s="174"/>
      <c r="O5002" s="174"/>
      <c r="P5002" s="174" t="str">
        <f ca="1">IF(Proc[[#This Row],[DaysAgeing]]&gt;5,"yep","on track")</f>
        <v>yep</v>
      </c>
      <c r="Q5002" s="3">
        <f ca="1">IF(Proc[[#This Row],[DateClosed]]="",ABS(NETWORKDAYS(Proc[[#This Row],[DateOpened]],TODAY()))-1,ABS(NETWORKDAYS(Proc[[#This Row],[DateOpened]],Proc[[#This Row],[DateClosed]]))-1)</f>
        <v>27</v>
      </c>
      <c r="R5002" s="174" t="s">
        <v>1013</v>
      </c>
      <c r="S5002" s="150"/>
    </row>
    <row r="5003" spans="1:19" hidden="1">
      <c r="A5003" t="s">
        <v>7221</v>
      </c>
      <c r="B5003" s="150" t="str">
        <f>IFERROR(VLOOKUP(Proc[[#This Row],[App]],Table2[],3,0),"open")</f>
        <v>ok</v>
      </c>
      <c r="C5003" s="149" t="s">
        <v>369</v>
      </c>
      <c r="D5003" t="s">
        <v>6783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6435</v>
      </c>
      <c r="M5003" s="173">
        <v>45993</v>
      </c>
      <c r="N5003" s="174"/>
      <c r="O5003" s="174"/>
      <c r="P5003" s="174" t="str">
        <f ca="1">IF(Proc[[#This Row],[DaysAgeing]]&gt;5,"yep","on track")</f>
        <v>yep</v>
      </c>
      <c r="Q5003" s="3">
        <f ca="1">IF(Proc[[#This Row],[DateClosed]]="",ABS(NETWORKDAYS(Proc[[#This Row],[DateOpened]],TODAY()))-1,ABS(NETWORKDAYS(Proc[[#This Row],[DateOpened]],Proc[[#This Row],[DateClosed]]))-1)</f>
        <v>26</v>
      </c>
      <c r="R5003" s="174" t="s">
        <v>1459</v>
      </c>
      <c r="S5003" s="150"/>
    </row>
    <row r="5004" spans="1:19" hidden="1">
      <c r="A5004" t="s">
        <v>7221</v>
      </c>
      <c r="B5004" s="150" t="str">
        <f>IFERROR(VLOOKUP(Proc[[#This Row],[App]],Table2[],3,0),"open")</f>
        <v>ok</v>
      </c>
      <c r="C5004" s="149" t="s">
        <v>369</v>
      </c>
      <c r="D5004" t="s">
        <v>5278</v>
      </c>
      <c r="E5004" s="149" t="s">
        <v>7223</v>
      </c>
      <c r="F5004" s="150" t="s">
        <v>7223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7223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6435</v>
      </c>
      <c r="M5004" s="173">
        <v>45993</v>
      </c>
      <c r="N5004" s="174"/>
      <c r="O5004" s="174"/>
      <c r="P5004" s="174" t="str">
        <f ca="1">IF(Proc[[#This Row],[DaysAgeing]]&gt;5,"yep","on track")</f>
        <v>yep</v>
      </c>
      <c r="Q5004" s="3">
        <f ca="1">IF(Proc[[#This Row],[DateClosed]]="",ABS(NETWORKDAYS(Proc[[#This Row],[DateOpened]],TODAY()))-1,ABS(NETWORKDAYS(Proc[[#This Row],[DateOpened]],Proc[[#This Row],[DateClosed]]))-1)</f>
        <v>26</v>
      </c>
      <c r="R5004" s="174" t="s">
        <v>1459</v>
      </c>
      <c r="S5004" s="150"/>
    </row>
    <row r="5005" spans="1:19" hidden="1">
      <c r="A5005" s="149" t="s">
        <v>7221</v>
      </c>
      <c r="B5005" s="150" t="str">
        <f>IFERROR(VLOOKUP(Proc[[#This Row],[App]],Table2[],3,0),"open")</f>
        <v>ok</v>
      </c>
      <c r="C5005" s="149" t="s">
        <v>369</v>
      </c>
      <c r="D5005" t="s">
        <v>5293</v>
      </c>
      <c r="E5005" s="149" t="s">
        <v>7224</v>
      </c>
      <c r="F5005" s="150" t="s">
        <v>7224</v>
      </c>
      <c r="G5005" t="s">
        <v>400</v>
      </c>
      <c r="H5005" s="150" t="str">
        <f>IF(Proc[[#This Row],[type]]="LFF (MDG-F)",MID(Proc[[#This Row],[Obj]],13,10),"")</f>
        <v/>
      </c>
      <c r="I5005" s="149" t="s">
        <v>7224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6435</v>
      </c>
      <c r="M5005" s="173">
        <v>45993</v>
      </c>
      <c r="N5005" s="174"/>
      <c r="O5005" s="174"/>
      <c r="P5005" s="174" t="str">
        <f ca="1">IF(Proc[[#This Row],[DaysAgeing]]&gt;5,"yep","on track")</f>
        <v>yep</v>
      </c>
      <c r="Q5005" s="3">
        <f ca="1">IF(Proc[[#This Row],[DateClosed]]="",ABS(NETWORKDAYS(Proc[[#This Row],[DateOpened]],TODAY()))-1,ABS(NETWORKDAYS(Proc[[#This Row],[DateOpened]],Proc[[#This Row],[DateClosed]]))-1)</f>
        <v>26</v>
      </c>
      <c r="R5005" s="174" t="s">
        <v>1459</v>
      </c>
      <c r="S5005" s="150"/>
    </row>
    <row r="5006" spans="1:19" hidden="1">
      <c r="A5006" s="149" t="s">
        <v>7221</v>
      </c>
      <c r="B5006" s="150" t="str">
        <f>IFERROR(VLOOKUP(Proc[[#This Row],[App]],Table2[],3,0),"open")</f>
        <v>ok</v>
      </c>
      <c r="C5006" s="149" t="s">
        <v>369</v>
      </c>
      <c r="D5006" t="s">
        <v>5297</v>
      </c>
      <c r="E5006" s="149" t="s">
        <v>7225</v>
      </c>
      <c r="F5006" s="150" t="s">
        <v>7225</v>
      </c>
      <c r="G5006" t="s">
        <v>400</v>
      </c>
      <c r="H5006" s="150" t="str">
        <f>IF(Proc[[#This Row],[type]]="LFF (MDG-F)",MID(Proc[[#This Row],[Obj]],13,10),"")</f>
        <v/>
      </c>
      <c r="I5006" s="149" t="s">
        <v>7225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6435</v>
      </c>
      <c r="M5006" s="173">
        <v>45993</v>
      </c>
      <c r="N5006" s="174"/>
      <c r="O5006" s="174"/>
      <c r="P5006" s="174" t="str">
        <f ca="1">IF(Proc[[#This Row],[DaysAgeing]]&gt;5,"yep","on track")</f>
        <v>yep</v>
      </c>
      <c r="Q5006" s="3">
        <f ca="1">IF(Proc[[#This Row],[DateClosed]]="",ABS(NETWORKDAYS(Proc[[#This Row],[DateOpened]],TODAY()))-1,ABS(NETWORKDAYS(Proc[[#This Row],[DateOpened]],Proc[[#This Row],[DateClosed]]))-1)</f>
        <v>26</v>
      </c>
      <c r="R5006" s="174" t="s">
        <v>1459</v>
      </c>
      <c r="S5006" s="150"/>
    </row>
    <row r="5007" spans="1:19" hidden="1">
      <c r="A5007" s="149" t="s">
        <v>7221</v>
      </c>
      <c r="B5007" s="150" t="str">
        <f>IFERROR(VLOOKUP(Proc[[#This Row],[App]],Table2[],3,0),"open")</f>
        <v>ok</v>
      </c>
      <c r="C5007" s="149" t="s">
        <v>369</v>
      </c>
      <c r="D5007" t="s">
        <v>5440</v>
      </c>
      <c r="E5007" s="149" t="s">
        <v>7226</v>
      </c>
      <c r="F5007" s="150" t="s">
        <v>7226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7226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6435</v>
      </c>
      <c r="M5007" s="173">
        <v>45993</v>
      </c>
      <c r="N5007" s="174"/>
      <c r="O5007" s="174"/>
      <c r="P5007" s="174" t="str">
        <f ca="1">IF(Proc[[#This Row],[DaysAgeing]]&gt;5,"yep","on track")</f>
        <v>yep</v>
      </c>
      <c r="Q5007" s="3">
        <f ca="1">IF(Proc[[#This Row],[DateClosed]]="",ABS(NETWORKDAYS(Proc[[#This Row],[DateOpened]],TODAY()))-1,ABS(NETWORKDAYS(Proc[[#This Row],[DateOpened]],Proc[[#This Row],[DateClosed]]))-1)</f>
        <v>26</v>
      </c>
      <c r="R5007" s="174" t="s">
        <v>1459</v>
      </c>
      <c r="S5007" s="150"/>
    </row>
    <row r="5008" spans="1:19" hidden="1">
      <c r="A5008" s="149" t="s">
        <v>7221</v>
      </c>
      <c r="B5008" s="150" t="str">
        <f>IFERROR(VLOOKUP(Proc[[#This Row],[App]],Table2[],3,0),"open")</f>
        <v>ok</v>
      </c>
      <c r="C5008" s="149" t="s">
        <v>369</v>
      </c>
      <c r="D5008" t="s">
        <v>5305</v>
      </c>
      <c r="E5008" s="149" t="s">
        <v>7223</v>
      </c>
      <c r="F5008" s="150" t="s">
        <v>7223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7223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6435</v>
      </c>
      <c r="M5008" s="173">
        <v>45993</v>
      </c>
      <c r="N5008" s="174"/>
      <c r="O5008" s="174"/>
      <c r="P5008" s="174" t="str">
        <f ca="1">IF(Proc[[#This Row],[DaysAgeing]]&gt;5,"yep","on track")</f>
        <v>yep</v>
      </c>
      <c r="Q5008" s="3">
        <f ca="1">IF(Proc[[#This Row],[DateClosed]]="",ABS(NETWORKDAYS(Proc[[#This Row],[DateOpened]],TODAY()))-1,ABS(NETWORKDAYS(Proc[[#This Row],[DateOpened]],Proc[[#This Row],[DateClosed]]))-1)</f>
        <v>26</v>
      </c>
      <c r="R5008" s="174" t="s">
        <v>1459</v>
      </c>
      <c r="S5008" s="150"/>
    </row>
    <row r="5009" spans="1:19" hidden="1">
      <c r="A5009" s="149" t="s">
        <v>7221</v>
      </c>
      <c r="B5009" s="150" t="str">
        <f>IFERROR(VLOOKUP(Proc[[#This Row],[App]],Table2[],3,0),"open")</f>
        <v>ok</v>
      </c>
      <c r="C5009" s="149" t="s">
        <v>369</v>
      </c>
      <c r="D5009" t="s">
        <v>5350</v>
      </c>
      <c r="E5009" s="149" t="s">
        <v>7225</v>
      </c>
      <c r="F5009" s="150" t="s">
        <v>7225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7225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6435</v>
      </c>
      <c r="M5009" s="173">
        <v>45993</v>
      </c>
      <c r="N5009" s="174"/>
      <c r="O5009" s="174"/>
      <c r="P5009" s="174" t="str">
        <f ca="1">IF(Proc[[#This Row],[DaysAgeing]]&gt;5,"yep","on track")</f>
        <v>yep</v>
      </c>
      <c r="Q5009" s="3">
        <f ca="1">IF(Proc[[#This Row],[DateClosed]]="",ABS(NETWORKDAYS(Proc[[#This Row],[DateOpened]],TODAY()))-1,ABS(NETWORKDAYS(Proc[[#This Row],[DateOpened]],Proc[[#This Row],[DateClosed]]))-1)</f>
        <v>26</v>
      </c>
      <c r="R5009" s="174" t="s">
        <v>1459</v>
      </c>
      <c r="S5009" s="150"/>
    </row>
    <row r="5010" spans="1:19" hidden="1">
      <c r="A5010" s="149" t="s">
        <v>7221</v>
      </c>
      <c r="B5010" s="150" t="str">
        <f>IFERROR(VLOOKUP(Proc[[#This Row],[App]],Table2[],3,0),"open")</f>
        <v>ok</v>
      </c>
      <c r="C5010" s="149" t="s">
        <v>369</v>
      </c>
      <c r="D5010" t="s">
        <v>5438</v>
      </c>
      <c r="E5010" s="149" t="s">
        <v>7226</v>
      </c>
      <c r="F5010" s="150" t="s">
        <v>7226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7226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6435</v>
      </c>
      <c r="M5010" s="173">
        <v>45993</v>
      </c>
      <c r="N5010" s="174"/>
      <c r="O5010" s="174"/>
      <c r="P5010" s="174" t="str">
        <f ca="1">IF(Proc[[#This Row],[DaysAgeing]]&gt;5,"yep","on track")</f>
        <v>yep</v>
      </c>
      <c r="Q5010" s="3">
        <f ca="1">IF(Proc[[#This Row],[DateClosed]]="",ABS(NETWORKDAYS(Proc[[#This Row],[DateOpened]],TODAY()))-1,ABS(NETWORKDAYS(Proc[[#This Row],[DateOpened]],Proc[[#This Row],[DateClosed]]))-1)</f>
        <v>26</v>
      </c>
      <c r="R5010" s="174" t="s">
        <v>1459</v>
      </c>
      <c r="S5010" s="150"/>
    </row>
    <row r="5011" spans="1:19" hidden="1">
      <c r="A5011" s="149" t="s">
        <v>7221</v>
      </c>
      <c r="B5011" s="150" t="str">
        <f>IFERROR(VLOOKUP(Proc[[#This Row],[App]],Table2[],3,0),"open")</f>
        <v>ok</v>
      </c>
      <c r="C5011" s="149" t="s">
        <v>369</v>
      </c>
      <c r="D5011" t="s">
        <v>5338</v>
      </c>
      <c r="E5011" s="149" t="s">
        <v>7225</v>
      </c>
      <c r="F5011" s="150" t="s">
        <v>7225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7225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6435</v>
      </c>
      <c r="M5011" s="174">
        <v>45993</v>
      </c>
      <c r="N5011" s="174"/>
      <c r="O5011" s="174"/>
      <c r="P5011" s="174" t="str">
        <f ca="1">IF(Proc[[#This Row],[DaysAgeing]]&gt;5,"yep","on track")</f>
        <v>yep</v>
      </c>
      <c r="Q5011" s="3">
        <f ca="1">IF(Proc[[#This Row],[DateClosed]]="",ABS(NETWORKDAYS(Proc[[#This Row],[DateOpened]],TODAY()))-1,ABS(NETWORKDAYS(Proc[[#This Row],[DateOpened]],Proc[[#This Row],[DateClosed]]))-1)</f>
        <v>26</v>
      </c>
      <c r="R5011" s="174" t="s">
        <v>1459</v>
      </c>
      <c r="S5011" s="150"/>
    </row>
    <row r="5012" spans="1:19" hidden="1">
      <c r="A5012" s="149" t="s">
        <v>7221</v>
      </c>
      <c r="B5012" s="150" t="str">
        <f>IFERROR(VLOOKUP(Proc[[#This Row],[App]],Table2[],3,0),"open")</f>
        <v>ok</v>
      </c>
      <c r="C5012" s="149" t="s">
        <v>369</v>
      </c>
      <c r="D5012" t="s">
        <v>5361</v>
      </c>
      <c r="E5012" s="149" t="s">
        <v>7223</v>
      </c>
      <c r="F5012" s="150" t="s">
        <v>7223</v>
      </c>
      <c r="G5012" t="s">
        <v>400</v>
      </c>
      <c r="H5012" s="150" t="str">
        <f>IF(Proc[[#This Row],[type]]="LFF (MDG-F)",MID(Proc[[#This Row],[Obj]],13,10),"")</f>
        <v/>
      </c>
      <c r="I5012" s="149" t="s">
        <v>7223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6435</v>
      </c>
      <c r="M5012" s="174">
        <v>45993</v>
      </c>
      <c r="N5012" s="174"/>
      <c r="O5012" s="174"/>
      <c r="P5012" s="174" t="str">
        <f ca="1">IF(Proc[[#This Row],[DaysAgeing]]&gt;5,"yep","on track")</f>
        <v>yep</v>
      </c>
      <c r="Q5012" s="3">
        <f ca="1">IF(Proc[[#This Row],[DateClosed]]="",ABS(NETWORKDAYS(Proc[[#This Row],[DateOpened]],TODAY()))-1,ABS(NETWORKDAYS(Proc[[#This Row],[DateOpened]],Proc[[#This Row],[DateClosed]]))-1)</f>
        <v>26</v>
      </c>
      <c r="R5012" s="174" t="s">
        <v>1459</v>
      </c>
      <c r="S5012" s="150"/>
    </row>
    <row r="5013" spans="1:19" hidden="1">
      <c r="A5013" s="149" t="s">
        <v>7221</v>
      </c>
      <c r="B5013" s="150" t="str">
        <f>IFERROR(VLOOKUP(Proc[[#This Row],[App]],Table2[],3,0),"open")</f>
        <v>ok</v>
      </c>
      <c r="C5013" s="149" t="s">
        <v>369</v>
      </c>
      <c r="D5013" t="s">
        <v>7222</v>
      </c>
      <c r="E5013" s="149" t="s">
        <v>7227</v>
      </c>
      <c r="F5013" s="150" t="s">
        <v>7227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7227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6435</v>
      </c>
      <c r="M5013" s="174">
        <v>45993</v>
      </c>
      <c r="N5013" s="174"/>
      <c r="O5013" s="174"/>
      <c r="P5013" s="174" t="str">
        <f ca="1">IF(Proc[[#This Row],[DaysAgeing]]&gt;5,"yep","on track")</f>
        <v>yep</v>
      </c>
      <c r="Q5013" s="3">
        <f ca="1">IF(Proc[[#This Row],[DateClosed]]="",ABS(NETWORKDAYS(Proc[[#This Row],[DateOpened]],TODAY()))-1,ABS(NETWORKDAYS(Proc[[#This Row],[DateOpened]],Proc[[#This Row],[DateClosed]]))-1)</f>
        <v>26</v>
      </c>
      <c r="R5013" s="174" t="s">
        <v>1459</v>
      </c>
      <c r="S5013" s="150"/>
    </row>
    <row r="5014" spans="1:19" hidden="1">
      <c r="A5014" t="s">
        <v>7247</v>
      </c>
      <c r="B5014" s="150" t="str">
        <f>IFERROR(VLOOKUP(Proc[[#This Row],[App]],Table2[],3,0),"open")</f>
        <v>ok</v>
      </c>
      <c r="C5014" s="149" t="s">
        <v>369</v>
      </c>
      <c r="D5014" t="s">
        <v>7248</v>
      </c>
      <c r="E5014" t="s">
        <v>4939</v>
      </c>
      <c r="F5014" s="150" t="s">
        <v>4939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6435</v>
      </c>
      <c r="M5014" s="174">
        <v>45994</v>
      </c>
      <c r="N5014" s="175"/>
      <c r="O5014" s="175"/>
      <c r="P5014" s="175" t="str">
        <f ca="1">IF(Proc[[#This Row],[DaysAgeing]]&gt;5,"yep","on track")</f>
        <v>yep</v>
      </c>
      <c r="Q5014" s="3">
        <f ca="1">IF(Proc[[#This Row],[DateClosed]]="",ABS(NETWORKDAYS(Proc[[#This Row],[DateOpened]],TODAY()))-1,ABS(NETWORKDAYS(Proc[[#This Row],[DateOpened]],Proc[[#This Row],[DateClosed]]))-1)</f>
        <v>25</v>
      </c>
      <c r="R5014" s="175" t="s">
        <v>415</v>
      </c>
      <c r="S5014" s="150"/>
    </row>
    <row r="5015" spans="1:19" hidden="1">
      <c r="A5015" s="149" t="s">
        <v>7247</v>
      </c>
      <c r="B5015" s="150" t="str">
        <f>IFERROR(VLOOKUP(Proc[[#This Row],[App]],Table2[],3,0),"open")</f>
        <v>ok</v>
      </c>
      <c r="C5015" s="149" t="s">
        <v>369</v>
      </c>
      <c r="D5015" t="s">
        <v>7249</v>
      </c>
      <c r="E5015" t="s">
        <v>4939</v>
      </c>
      <c r="F5015" s="150" t="s">
        <v>4939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6435</v>
      </c>
      <c r="M5015" s="174">
        <v>45994</v>
      </c>
      <c r="N5015" s="175"/>
      <c r="O5015" s="175"/>
      <c r="P5015" s="175" t="str">
        <f ca="1">IF(Proc[[#This Row],[DaysAgeing]]&gt;5,"yep","on track")</f>
        <v>yep</v>
      </c>
      <c r="Q5015" s="3">
        <f ca="1">IF(Proc[[#This Row],[DateClosed]]="",ABS(NETWORKDAYS(Proc[[#This Row],[DateOpened]],TODAY()))-1,ABS(NETWORKDAYS(Proc[[#This Row],[DateOpened]],Proc[[#This Row],[DateClosed]]))-1)</f>
        <v>25</v>
      </c>
      <c r="R5015" s="175" t="s">
        <v>415</v>
      </c>
      <c r="S5015" s="150"/>
    </row>
    <row r="5016" spans="1:19" hidden="1">
      <c r="A5016" s="149" t="s">
        <v>7247</v>
      </c>
      <c r="B5016" s="150" t="str">
        <f>IFERROR(VLOOKUP(Proc[[#This Row],[App]],Table2[],3,0),"open")</f>
        <v>ok</v>
      </c>
      <c r="C5016" s="149" t="s">
        <v>369</v>
      </c>
      <c r="D5016" t="s">
        <v>7250</v>
      </c>
      <c r="E5016" t="s">
        <v>4939</v>
      </c>
      <c r="F5016" s="150" t="s">
        <v>4939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6435</v>
      </c>
      <c r="M5016" s="174">
        <v>45994</v>
      </c>
      <c r="N5016" s="175"/>
      <c r="O5016" s="175"/>
      <c r="P5016" s="175" t="str">
        <f ca="1">IF(Proc[[#This Row],[DaysAgeing]]&gt;5,"yep","on track")</f>
        <v>yep</v>
      </c>
      <c r="Q5016" s="3">
        <f ca="1">IF(Proc[[#This Row],[DateClosed]]="",ABS(NETWORKDAYS(Proc[[#This Row],[DateOpened]],TODAY()))-1,ABS(NETWORKDAYS(Proc[[#This Row],[DateOpened]],Proc[[#This Row],[DateClosed]]))-1)</f>
        <v>25</v>
      </c>
      <c r="R5016" s="175" t="s">
        <v>415</v>
      </c>
      <c r="S5016" s="150"/>
    </row>
    <row r="5017" spans="1:19" hidden="1">
      <c r="A5017" t="s">
        <v>7252</v>
      </c>
      <c r="B5017" s="150" t="str">
        <f>IFERROR(VLOOKUP(Proc[[#This Row],[App]],Table2[],3,0),"open")</f>
        <v>ok</v>
      </c>
      <c r="C5017" s="149" t="s">
        <v>369</v>
      </c>
      <c r="D5017" t="s">
        <v>7251</v>
      </c>
      <c r="E5017" s="149" t="s">
        <v>4939</v>
      </c>
      <c r="F5017" s="150" t="s">
        <v>4939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1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6435</v>
      </c>
      <c r="M5017" s="174">
        <v>45994</v>
      </c>
      <c r="N5017" s="175"/>
      <c r="O5017" s="175"/>
      <c r="P5017" s="175" t="str">
        <f ca="1">IF(Proc[[#This Row],[DaysAgeing]]&gt;5,"yep","on track")</f>
        <v>yep</v>
      </c>
      <c r="Q5017" s="3">
        <f ca="1">IF(Proc[[#This Row],[DateClosed]]="",ABS(NETWORKDAYS(Proc[[#This Row],[DateOpened]],TODAY()))-1,ABS(NETWORKDAYS(Proc[[#This Row],[DateOpened]],Proc[[#This Row],[DateClosed]]))-1)</f>
        <v>25</v>
      </c>
      <c r="R5017" s="175" t="s">
        <v>415</v>
      </c>
      <c r="S5017" s="150"/>
    </row>
    <row r="5018" spans="1:19" hidden="1">
      <c r="A5018" t="s">
        <v>7252</v>
      </c>
      <c r="B5018" s="150" t="str">
        <f>IFERROR(VLOOKUP(Proc[[#This Row],[App]],Table2[],3,0),"open")</f>
        <v>ok</v>
      </c>
      <c r="C5018" s="149" t="s">
        <v>369</v>
      </c>
      <c r="D5018" t="s">
        <v>7253</v>
      </c>
      <c r="E5018" s="149" t="s">
        <v>4939</v>
      </c>
      <c r="F5018" s="150" t="s">
        <v>4939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1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6435</v>
      </c>
      <c r="M5018" s="174">
        <v>45994</v>
      </c>
      <c r="N5018" s="175"/>
      <c r="O5018" s="175"/>
      <c r="P5018" s="175" t="str">
        <f ca="1">IF(Proc[[#This Row],[DaysAgeing]]&gt;5,"yep","on track")</f>
        <v>yep</v>
      </c>
      <c r="Q5018" s="3">
        <f ca="1">IF(Proc[[#This Row],[DateClosed]]="",ABS(NETWORKDAYS(Proc[[#This Row],[DateOpened]],TODAY()))-1,ABS(NETWORKDAYS(Proc[[#This Row],[DateOpened]],Proc[[#This Row],[DateClosed]]))-1)</f>
        <v>25</v>
      </c>
      <c r="R5018" s="175" t="s">
        <v>415</v>
      </c>
      <c r="S5018" s="150"/>
    </row>
    <row r="5019" spans="1:19" hidden="1">
      <c r="A5019" s="149" t="s">
        <v>7252</v>
      </c>
      <c r="B5019" s="150" t="str">
        <f>IFERROR(VLOOKUP(Proc[[#This Row],[App]],Table2[],3,0),"open")</f>
        <v>ok</v>
      </c>
      <c r="C5019" s="149" t="s">
        <v>369</v>
      </c>
      <c r="D5019" t="s">
        <v>7254</v>
      </c>
      <c r="E5019" s="149" t="s">
        <v>4939</v>
      </c>
      <c r="F5019" s="150" t="s">
        <v>4939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1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6435</v>
      </c>
      <c r="M5019" s="174">
        <v>45994</v>
      </c>
      <c r="N5019" s="175"/>
      <c r="O5019" s="175"/>
      <c r="P5019" s="175" t="str">
        <f ca="1">IF(Proc[[#This Row],[DaysAgeing]]&gt;5,"yep","on track")</f>
        <v>yep</v>
      </c>
      <c r="Q5019" s="3">
        <f ca="1">IF(Proc[[#This Row],[DateClosed]]="",ABS(NETWORKDAYS(Proc[[#This Row],[DateOpened]],TODAY()))-1,ABS(NETWORKDAYS(Proc[[#This Row],[DateOpened]],Proc[[#This Row],[DateClosed]]))-1)</f>
        <v>25</v>
      </c>
      <c r="R5019" s="175" t="s">
        <v>415</v>
      </c>
      <c r="S5019" s="150"/>
    </row>
    <row r="5020" spans="1:19" hidden="1">
      <c r="A5020" s="149" t="s">
        <v>7252</v>
      </c>
      <c r="B5020" s="150" t="str">
        <f>IFERROR(VLOOKUP(Proc[[#This Row],[App]],Table2[],3,0),"open")</f>
        <v>ok</v>
      </c>
      <c r="C5020" s="149" t="s">
        <v>369</v>
      </c>
      <c r="D5020" t="s">
        <v>7255</v>
      </c>
      <c r="E5020" s="149" t="s">
        <v>4939</v>
      </c>
      <c r="F5020" s="150" t="s">
        <v>4939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1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6435</v>
      </c>
      <c r="M5020" s="174">
        <v>45994</v>
      </c>
      <c r="N5020" s="175"/>
      <c r="O5020" s="175"/>
      <c r="P5020" s="175" t="str">
        <f ca="1">IF(Proc[[#This Row],[DaysAgeing]]&gt;5,"yep","on track")</f>
        <v>yep</v>
      </c>
      <c r="Q5020" s="3">
        <f ca="1">IF(Proc[[#This Row],[DateClosed]]="",ABS(NETWORKDAYS(Proc[[#This Row],[DateOpened]],TODAY()))-1,ABS(NETWORKDAYS(Proc[[#This Row],[DateOpened]],Proc[[#This Row],[DateClosed]]))-1)</f>
        <v>25</v>
      </c>
      <c r="R5020" s="175" t="s">
        <v>415</v>
      </c>
      <c r="S5020" s="150"/>
    </row>
    <row r="5021" spans="1:19" hidden="1">
      <c r="A5021" s="149" t="s">
        <v>7252</v>
      </c>
      <c r="B5021" s="150" t="str">
        <f>IFERROR(VLOOKUP(Proc[[#This Row],[App]],Table2[],3,0),"open")</f>
        <v>ok</v>
      </c>
      <c r="C5021" s="149" t="s">
        <v>369</v>
      </c>
      <c r="D5021" t="s">
        <v>7256</v>
      </c>
      <c r="E5021" s="149" t="s">
        <v>4939</v>
      </c>
      <c r="F5021" s="150" t="s">
        <v>4939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1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6435</v>
      </c>
      <c r="M5021" s="174">
        <v>45994</v>
      </c>
      <c r="N5021" s="175"/>
      <c r="O5021" s="175"/>
      <c r="P5021" s="175" t="str">
        <f ca="1">IF(Proc[[#This Row],[DaysAgeing]]&gt;5,"yep","on track")</f>
        <v>yep</v>
      </c>
      <c r="Q5021" s="3">
        <f ca="1">IF(Proc[[#This Row],[DateClosed]]="",ABS(NETWORKDAYS(Proc[[#This Row],[DateOpened]],TODAY()))-1,ABS(NETWORKDAYS(Proc[[#This Row],[DateOpened]],Proc[[#This Row],[DateClosed]]))-1)</f>
        <v>25</v>
      </c>
      <c r="R5021" s="175" t="s">
        <v>415</v>
      </c>
      <c r="S5021" s="150"/>
    </row>
    <row r="5022" spans="1:19" hidden="1">
      <c r="A5022" s="149" t="s">
        <v>7252</v>
      </c>
      <c r="B5022" s="150" t="str">
        <f>IFERROR(VLOOKUP(Proc[[#This Row],[App]],Table2[],3,0),"open")</f>
        <v>ok</v>
      </c>
      <c r="C5022" s="149" t="s">
        <v>369</v>
      </c>
      <c r="D5022" t="s">
        <v>7257</v>
      </c>
      <c r="E5022" s="149" t="s">
        <v>4939</v>
      </c>
      <c r="F5022" s="150" t="s">
        <v>4939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1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6435</v>
      </c>
      <c r="M5022" s="174">
        <v>45994</v>
      </c>
      <c r="N5022" s="175"/>
      <c r="O5022" s="175"/>
      <c r="P5022" s="175" t="str">
        <f ca="1">IF(Proc[[#This Row],[DaysAgeing]]&gt;5,"yep","on track")</f>
        <v>yep</v>
      </c>
      <c r="Q5022" s="3">
        <f ca="1">IF(Proc[[#This Row],[DateClosed]]="",ABS(NETWORKDAYS(Proc[[#This Row],[DateOpened]],TODAY()))-1,ABS(NETWORKDAYS(Proc[[#This Row],[DateOpened]],Proc[[#This Row],[DateClosed]]))-1)</f>
        <v>25</v>
      </c>
      <c r="R5022" s="175" t="s">
        <v>415</v>
      </c>
      <c r="S5022" s="150"/>
    </row>
    <row r="5023" spans="1:19" hidden="1">
      <c r="A5023" t="s">
        <v>7258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7269</v>
      </c>
      <c r="F5023" s="150" t="s">
        <v>7302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6435</v>
      </c>
      <c r="M5023" s="174">
        <v>45994</v>
      </c>
      <c r="N5023" s="175"/>
      <c r="O5023" s="175"/>
      <c r="P5023" s="175" t="str">
        <f ca="1">IF(Proc[[#This Row],[DaysAgeing]]&gt;5,"yep","on track")</f>
        <v>yep</v>
      </c>
      <c r="Q5023" s="3">
        <f ca="1">IF(Proc[[#This Row],[DateClosed]]="",ABS(NETWORKDAYS(Proc[[#This Row],[DateOpened]],TODAY()))-1,ABS(NETWORKDAYS(Proc[[#This Row],[DateOpened]],Proc[[#This Row],[DateClosed]]))-1)</f>
        <v>25</v>
      </c>
      <c r="R5023" s="175" t="s">
        <v>415</v>
      </c>
      <c r="S5023" s="150"/>
    </row>
    <row r="5024" spans="1:19" hidden="1">
      <c r="A5024" t="s">
        <v>7258</v>
      </c>
      <c r="B5024" s="150" t="str">
        <f>IFERROR(VLOOKUP(Proc[[#This Row],[App]],Table2[],3,0),"open")</f>
        <v>ok</v>
      </c>
      <c r="C5024" s="149" t="s">
        <v>369</v>
      </c>
      <c r="D5024" t="s">
        <v>7259</v>
      </c>
      <c r="E5024" t="s">
        <v>7270</v>
      </c>
      <c r="F5024" s="150" t="s">
        <v>7270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6435</v>
      </c>
      <c r="M5024" s="174">
        <v>45994</v>
      </c>
      <c r="N5024" s="175"/>
      <c r="O5024" s="175"/>
      <c r="P5024" s="175" t="str">
        <f ca="1">IF(Proc[[#This Row],[DaysAgeing]]&gt;5,"yep","on track")</f>
        <v>yep</v>
      </c>
      <c r="Q5024" s="3">
        <f ca="1">IF(Proc[[#This Row],[DateClosed]]="",ABS(NETWORKDAYS(Proc[[#This Row],[DateOpened]],TODAY()))-1,ABS(NETWORKDAYS(Proc[[#This Row],[DateOpened]],Proc[[#This Row],[DateClosed]]))-1)</f>
        <v>25</v>
      </c>
      <c r="R5024" s="175" t="s">
        <v>415</v>
      </c>
      <c r="S5024" s="150"/>
    </row>
    <row r="5025" spans="1:19" hidden="1">
      <c r="A5025" s="149" t="s">
        <v>7258</v>
      </c>
      <c r="B5025" s="150" t="str">
        <f>IFERROR(VLOOKUP(Proc[[#This Row],[App]],Table2[],3,0),"open")</f>
        <v>ok</v>
      </c>
      <c r="C5025" s="149" t="s">
        <v>369</v>
      </c>
      <c r="D5025" t="s">
        <v>7260</v>
      </c>
      <c r="E5025" t="s">
        <v>7270</v>
      </c>
      <c r="F5025" s="150" t="s">
        <v>7270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6435</v>
      </c>
      <c r="M5025" s="174">
        <v>45994</v>
      </c>
      <c r="N5025" s="175"/>
      <c r="O5025" s="175"/>
      <c r="P5025" s="175" t="str">
        <f ca="1">IF(Proc[[#This Row],[DaysAgeing]]&gt;5,"yep","on track")</f>
        <v>yep</v>
      </c>
      <c r="Q5025" s="3">
        <f ca="1">IF(Proc[[#This Row],[DateClosed]]="",ABS(NETWORKDAYS(Proc[[#This Row],[DateOpened]],TODAY()))-1,ABS(NETWORKDAYS(Proc[[#This Row],[DateOpened]],Proc[[#This Row],[DateClosed]]))-1)</f>
        <v>25</v>
      </c>
      <c r="R5025" s="175" t="s">
        <v>415</v>
      </c>
      <c r="S5025" s="150"/>
    </row>
    <row r="5026" spans="1:19" hidden="1">
      <c r="A5026" s="149" t="s">
        <v>7258</v>
      </c>
      <c r="B5026" s="150" t="str">
        <f>IFERROR(VLOOKUP(Proc[[#This Row],[App]],Table2[],3,0),"open")</f>
        <v>ok</v>
      </c>
      <c r="C5026" s="149" t="s">
        <v>369</v>
      </c>
      <c r="D5026" t="s">
        <v>7261</v>
      </c>
      <c r="E5026" t="s">
        <v>7270</v>
      </c>
      <c r="F5026" s="150" t="s">
        <v>7270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6435</v>
      </c>
      <c r="M5026" s="174">
        <v>45994</v>
      </c>
      <c r="N5026" s="175"/>
      <c r="O5026" s="175"/>
      <c r="P5026" s="175" t="str">
        <f ca="1">IF(Proc[[#This Row],[DaysAgeing]]&gt;5,"yep","on track")</f>
        <v>yep</v>
      </c>
      <c r="Q5026" s="3">
        <f ca="1">IF(Proc[[#This Row],[DateClosed]]="",ABS(NETWORKDAYS(Proc[[#This Row],[DateOpened]],TODAY()))-1,ABS(NETWORKDAYS(Proc[[#This Row],[DateOpened]],Proc[[#This Row],[DateClosed]]))-1)</f>
        <v>25</v>
      </c>
      <c r="R5026" s="175" t="s">
        <v>415</v>
      </c>
      <c r="S5026" s="150"/>
    </row>
    <row r="5027" spans="1:19" hidden="1">
      <c r="A5027" s="149" t="s">
        <v>7258</v>
      </c>
      <c r="B5027" s="150" t="str">
        <f>IFERROR(VLOOKUP(Proc[[#This Row],[App]],Table2[],3,0),"open")</f>
        <v>ok</v>
      </c>
      <c r="C5027" s="149" t="s">
        <v>369</v>
      </c>
      <c r="D5027" t="s">
        <v>7262</v>
      </c>
      <c r="E5027" t="s">
        <v>7270</v>
      </c>
      <c r="F5027" s="150" t="s">
        <v>7270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6435</v>
      </c>
      <c r="M5027" s="174">
        <v>45994</v>
      </c>
      <c r="N5027" s="175"/>
      <c r="O5027" s="175"/>
      <c r="P5027" s="175" t="str">
        <f ca="1">IF(Proc[[#This Row],[DaysAgeing]]&gt;5,"yep","on track")</f>
        <v>yep</v>
      </c>
      <c r="Q5027" s="3">
        <f ca="1">IF(Proc[[#This Row],[DateClosed]]="",ABS(NETWORKDAYS(Proc[[#This Row],[DateOpened]],TODAY()))-1,ABS(NETWORKDAYS(Proc[[#This Row],[DateOpened]],Proc[[#This Row],[DateClosed]]))-1)</f>
        <v>25</v>
      </c>
      <c r="R5027" s="175" t="s">
        <v>415</v>
      </c>
      <c r="S5027" s="150"/>
    </row>
    <row r="5028" spans="1:19" hidden="1">
      <c r="A5028" s="149" t="s">
        <v>7258</v>
      </c>
      <c r="B5028" s="150" t="str">
        <f>IFERROR(VLOOKUP(Proc[[#This Row],[App]],Table2[],3,0),"open")</f>
        <v>ok</v>
      </c>
      <c r="C5028" s="149" t="s">
        <v>369</v>
      </c>
      <c r="D5028" t="s">
        <v>7263</v>
      </c>
      <c r="E5028" t="s">
        <v>7270</v>
      </c>
      <c r="F5028" s="150" t="s">
        <v>7270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6435</v>
      </c>
      <c r="M5028" s="174">
        <v>45994</v>
      </c>
      <c r="N5028" s="175"/>
      <c r="O5028" s="175"/>
      <c r="P5028" s="175" t="str">
        <f ca="1">IF(Proc[[#This Row],[DaysAgeing]]&gt;5,"yep","on track")</f>
        <v>yep</v>
      </c>
      <c r="Q5028" s="3">
        <f ca="1">IF(Proc[[#This Row],[DateClosed]]="",ABS(NETWORKDAYS(Proc[[#This Row],[DateOpened]],TODAY()))-1,ABS(NETWORKDAYS(Proc[[#This Row],[DateOpened]],Proc[[#This Row],[DateClosed]]))-1)</f>
        <v>25</v>
      </c>
      <c r="R5028" s="175" t="s">
        <v>415</v>
      </c>
      <c r="S5028" s="150"/>
    </row>
    <row r="5029" spans="1:19" hidden="1">
      <c r="A5029" s="149" t="s">
        <v>7258</v>
      </c>
      <c r="B5029" s="150" t="str">
        <f>IFERROR(VLOOKUP(Proc[[#This Row],[App]],Table2[],3,0),"open")</f>
        <v>ok</v>
      </c>
      <c r="C5029" s="149" t="s">
        <v>369</v>
      </c>
      <c r="D5029" t="s">
        <v>7264</v>
      </c>
      <c r="E5029" t="s">
        <v>7271</v>
      </c>
      <c r="F5029" s="150" t="s">
        <v>7271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6435</v>
      </c>
      <c r="M5029" s="174">
        <v>45994</v>
      </c>
      <c r="N5029" s="175"/>
      <c r="O5029" s="175"/>
      <c r="P5029" s="175" t="str">
        <f ca="1">IF(Proc[[#This Row],[DaysAgeing]]&gt;5,"yep","on track")</f>
        <v>yep</v>
      </c>
      <c r="Q5029" s="3">
        <f ca="1">IF(Proc[[#This Row],[DateClosed]]="",ABS(NETWORKDAYS(Proc[[#This Row],[DateOpened]],TODAY()))-1,ABS(NETWORKDAYS(Proc[[#This Row],[DateOpened]],Proc[[#This Row],[DateClosed]]))-1)</f>
        <v>25</v>
      </c>
      <c r="R5029" s="175" t="s">
        <v>415</v>
      </c>
      <c r="S5029" s="150"/>
    </row>
    <row r="5030" spans="1:19" hidden="1">
      <c r="A5030" s="149" t="s">
        <v>7258</v>
      </c>
      <c r="B5030" s="150" t="str">
        <f>IFERROR(VLOOKUP(Proc[[#This Row],[App]],Table2[],3,0),"open")</f>
        <v>ok</v>
      </c>
      <c r="C5030" s="149" t="s">
        <v>369</v>
      </c>
      <c r="D5030" t="s">
        <v>7265</v>
      </c>
      <c r="E5030" t="s">
        <v>7272</v>
      </c>
      <c r="F5030" s="150" t="s">
        <v>7272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6435</v>
      </c>
      <c r="M5030" s="174">
        <v>45994</v>
      </c>
      <c r="N5030" s="175"/>
      <c r="O5030" s="175"/>
      <c r="P5030" s="175" t="str">
        <f ca="1">IF(Proc[[#This Row],[DaysAgeing]]&gt;5,"yep","on track")</f>
        <v>yep</v>
      </c>
      <c r="Q5030" s="3">
        <f ca="1">IF(Proc[[#This Row],[DateClosed]]="",ABS(NETWORKDAYS(Proc[[#This Row],[DateOpened]],TODAY()))-1,ABS(NETWORKDAYS(Proc[[#This Row],[DateOpened]],Proc[[#This Row],[DateClosed]]))-1)</f>
        <v>25</v>
      </c>
      <c r="R5030" s="175" t="s">
        <v>415</v>
      </c>
      <c r="S5030" s="150"/>
    </row>
    <row r="5031" spans="1:19" hidden="1">
      <c r="A5031" s="149" t="s">
        <v>7258</v>
      </c>
      <c r="B5031" s="150" t="str">
        <f>IFERROR(VLOOKUP(Proc[[#This Row],[App]],Table2[],3,0),"open")</f>
        <v>ok</v>
      </c>
      <c r="C5031" s="149" t="s">
        <v>369</v>
      </c>
      <c r="D5031" t="s">
        <v>7266</v>
      </c>
      <c r="E5031" t="s">
        <v>7272</v>
      </c>
      <c r="F5031" s="150" t="s">
        <v>7272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6435</v>
      </c>
      <c r="M5031" s="174">
        <v>45994</v>
      </c>
      <c r="N5031" s="175"/>
      <c r="O5031" s="175"/>
      <c r="P5031" s="175" t="str">
        <f ca="1">IF(Proc[[#This Row],[DaysAgeing]]&gt;5,"yep","on track")</f>
        <v>yep</v>
      </c>
      <c r="Q5031" s="3">
        <f ca="1">IF(Proc[[#This Row],[DateClosed]]="",ABS(NETWORKDAYS(Proc[[#This Row],[DateOpened]],TODAY()))-1,ABS(NETWORKDAYS(Proc[[#This Row],[DateOpened]],Proc[[#This Row],[DateClosed]]))-1)</f>
        <v>25</v>
      </c>
      <c r="R5031" s="175" t="s">
        <v>415</v>
      </c>
      <c r="S5031" s="150"/>
    </row>
    <row r="5032" spans="1:19" hidden="1">
      <c r="A5032" s="149" t="s">
        <v>7258</v>
      </c>
      <c r="B5032" s="150" t="str">
        <f>IFERROR(VLOOKUP(Proc[[#This Row],[App]],Table2[],3,0),"open")</f>
        <v>ok</v>
      </c>
      <c r="C5032" s="149" t="s">
        <v>369</v>
      </c>
      <c r="D5032" t="s">
        <v>7267</v>
      </c>
      <c r="E5032" t="s">
        <v>4939</v>
      </c>
      <c r="F5032" s="150" t="s">
        <v>4939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6435</v>
      </c>
      <c r="M5032" s="174">
        <v>45994</v>
      </c>
      <c r="N5032" s="175"/>
      <c r="O5032" s="175"/>
      <c r="P5032" s="175" t="str">
        <f ca="1">IF(Proc[[#This Row],[DaysAgeing]]&gt;5,"yep","on track")</f>
        <v>yep</v>
      </c>
      <c r="Q5032" s="3">
        <f ca="1">IF(Proc[[#This Row],[DateClosed]]="",ABS(NETWORKDAYS(Proc[[#This Row],[DateOpened]],TODAY()))-1,ABS(NETWORKDAYS(Proc[[#This Row],[DateOpened]],Proc[[#This Row],[DateClosed]]))-1)</f>
        <v>25</v>
      </c>
      <c r="R5032" s="175" t="s">
        <v>415</v>
      </c>
      <c r="S5032" s="150"/>
    </row>
    <row r="5033" spans="1:19" hidden="1">
      <c r="A5033" s="149" t="s">
        <v>7258</v>
      </c>
      <c r="B5033" s="150" t="str">
        <f>IFERROR(VLOOKUP(Proc[[#This Row],[App]],Table2[],3,0),"open")</f>
        <v>ok</v>
      </c>
      <c r="C5033" s="149" t="s">
        <v>369</v>
      </c>
      <c r="D5033" t="s">
        <v>7251</v>
      </c>
      <c r="E5033" t="s">
        <v>4914</v>
      </c>
      <c r="F5033" s="150" t="s">
        <v>4914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6435</v>
      </c>
      <c r="M5033" s="174">
        <v>45994</v>
      </c>
      <c r="N5033" s="175"/>
      <c r="O5033" s="175"/>
      <c r="P5033" s="175" t="str">
        <f ca="1">IF(Proc[[#This Row],[DaysAgeing]]&gt;5,"yep","on track")</f>
        <v>yep</v>
      </c>
      <c r="Q5033" s="3">
        <f ca="1">IF(Proc[[#This Row],[DateClosed]]="",ABS(NETWORKDAYS(Proc[[#This Row],[DateOpened]],TODAY()))-1,ABS(NETWORKDAYS(Proc[[#This Row],[DateOpened]],Proc[[#This Row],[DateClosed]]))-1)</f>
        <v>25</v>
      </c>
      <c r="R5033" s="175" t="s">
        <v>415</v>
      </c>
      <c r="S5033" s="150"/>
    </row>
    <row r="5034" spans="1:19" hidden="1">
      <c r="A5034" s="149" t="s">
        <v>7258</v>
      </c>
      <c r="B5034" s="150" t="str">
        <f>IFERROR(VLOOKUP(Proc[[#This Row],[App]],Table2[],3,0),"open")</f>
        <v>ok</v>
      </c>
      <c r="C5034" s="149" t="s">
        <v>369</v>
      </c>
      <c r="D5034" t="s">
        <v>7268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6435</v>
      </c>
      <c r="M5034" s="174">
        <v>45994</v>
      </c>
      <c r="N5034" s="175"/>
      <c r="O5034" s="175"/>
      <c r="P5034" s="175" t="str">
        <f ca="1">IF(Proc[[#This Row],[DaysAgeing]]&gt;5,"yep","on track")</f>
        <v>yep</v>
      </c>
      <c r="Q5034" s="3">
        <f ca="1">IF(Proc[[#This Row],[DateClosed]]="",ABS(NETWORKDAYS(Proc[[#This Row],[DateOpened]],TODAY()))-1,ABS(NETWORKDAYS(Proc[[#This Row],[DateOpened]],Proc[[#This Row],[DateClosed]]))-1)</f>
        <v>25</v>
      </c>
      <c r="R5034" s="175" t="s">
        <v>415</v>
      </c>
      <c r="S5034" s="150"/>
    </row>
    <row r="5035" spans="1:19" hidden="1">
      <c r="A5035" t="s">
        <v>7273</v>
      </c>
      <c r="B5035" s="150" t="str">
        <f>IFERROR(VLOOKUP(Proc[[#This Row],[App]],Table2[],3,0),"open")</f>
        <v>ok</v>
      </c>
      <c r="C5035" s="149" t="s">
        <v>369</v>
      </c>
      <c r="D5035" t="s">
        <v>7274</v>
      </c>
      <c r="E5035" t="s">
        <v>4939</v>
      </c>
      <c r="F5035" s="150" t="s">
        <v>4939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1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6435</v>
      </c>
      <c r="M5035" s="174">
        <v>45994</v>
      </c>
      <c r="N5035" s="175"/>
      <c r="O5035" s="175"/>
      <c r="P5035" s="175" t="str">
        <f ca="1">IF(Proc[[#This Row],[DaysAgeing]]&gt;5,"yep","on track")</f>
        <v>yep</v>
      </c>
      <c r="Q5035" s="3">
        <f ca="1">IF(Proc[[#This Row],[DateClosed]]="",ABS(NETWORKDAYS(Proc[[#This Row],[DateOpened]],TODAY()))-1,ABS(NETWORKDAYS(Proc[[#This Row],[DateOpened]],Proc[[#This Row],[DateClosed]]))-1)</f>
        <v>25</v>
      </c>
      <c r="R5035" s="175" t="s">
        <v>415</v>
      </c>
      <c r="S5035" s="150"/>
    </row>
    <row r="5036" spans="1:19" hidden="1">
      <c r="A5036" t="s">
        <v>7273</v>
      </c>
      <c r="B5036" s="150" t="str">
        <f>IFERROR(VLOOKUP(Proc[[#This Row],[App]],Table2[],3,0),"open")</f>
        <v>ok</v>
      </c>
      <c r="C5036" s="149" t="s">
        <v>369</v>
      </c>
      <c r="D5036" t="s">
        <v>7275</v>
      </c>
      <c r="E5036" t="s">
        <v>4939</v>
      </c>
      <c r="F5036" s="150" t="s">
        <v>4939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1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6435</v>
      </c>
      <c r="M5036" s="174">
        <v>45994</v>
      </c>
      <c r="N5036" s="175"/>
      <c r="O5036" s="175"/>
      <c r="P5036" s="175" t="str">
        <f ca="1">IF(Proc[[#This Row],[DaysAgeing]]&gt;5,"yep","on track")</f>
        <v>yep</v>
      </c>
      <c r="Q5036" s="3">
        <f ca="1">IF(Proc[[#This Row],[DateClosed]]="",ABS(NETWORKDAYS(Proc[[#This Row],[DateOpened]],TODAY()))-1,ABS(NETWORKDAYS(Proc[[#This Row],[DateOpened]],Proc[[#This Row],[DateClosed]]))-1)</f>
        <v>25</v>
      </c>
      <c r="R5036" s="175" t="s">
        <v>415</v>
      </c>
      <c r="S5036" s="150"/>
    </row>
    <row r="5037" spans="1:19" hidden="1">
      <c r="A5037" s="149" t="s">
        <v>7273</v>
      </c>
      <c r="B5037" s="150" t="str">
        <f>IFERROR(VLOOKUP(Proc[[#This Row],[App]],Table2[],3,0),"open")</f>
        <v>ok</v>
      </c>
      <c r="C5037" s="149" t="s">
        <v>369</v>
      </c>
      <c r="D5037" t="s">
        <v>7276</v>
      </c>
      <c r="E5037" t="s">
        <v>4939</v>
      </c>
      <c r="F5037" s="150" t="s">
        <v>4939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1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6435</v>
      </c>
      <c r="M5037" s="174">
        <v>45994</v>
      </c>
      <c r="N5037" s="175"/>
      <c r="O5037" s="175"/>
      <c r="P5037" s="175" t="str">
        <f ca="1">IF(Proc[[#This Row],[DaysAgeing]]&gt;5,"yep","on track")</f>
        <v>yep</v>
      </c>
      <c r="Q5037" s="3">
        <f ca="1">IF(Proc[[#This Row],[DateClosed]]="",ABS(NETWORKDAYS(Proc[[#This Row],[DateOpened]],TODAY()))-1,ABS(NETWORKDAYS(Proc[[#This Row],[DateOpened]],Proc[[#This Row],[DateClosed]]))-1)</f>
        <v>25</v>
      </c>
      <c r="R5037" s="175" t="s">
        <v>415</v>
      </c>
      <c r="S5037" s="150"/>
    </row>
    <row r="5038" spans="1:19" hidden="1">
      <c r="A5038" s="149" t="s">
        <v>7273</v>
      </c>
      <c r="B5038" s="150" t="str">
        <f>IFERROR(VLOOKUP(Proc[[#This Row],[App]],Table2[],3,0),"open")</f>
        <v>ok</v>
      </c>
      <c r="C5038" s="149" t="s">
        <v>369</v>
      </c>
      <c r="D5038" t="s">
        <v>7277</v>
      </c>
      <c r="E5038" t="s">
        <v>4939</v>
      </c>
      <c r="F5038" s="150" t="s">
        <v>4939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1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6435</v>
      </c>
      <c r="M5038" s="174">
        <v>45994</v>
      </c>
      <c r="N5038" s="175"/>
      <c r="O5038" s="175"/>
      <c r="P5038" s="175" t="str">
        <f ca="1">IF(Proc[[#This Row],[DaysAgeing]]&gt;5,"yep","on track")</f>
        <v>yep</v>
      </c>
      <c r="Q5038" s="3">
        <f ca="1">IF(Proc[[#This Row],[DateClosed]]="",ABS(NETWORKDAYS(Proc[[#This Row],[DateOpened]],TODAY()))-1,ABS(NETWORKDAYS(Proc[[#This Row],[DateOpened]],Proc[[#This Row],[DateClosed]]))-1)</f>
        <v>25</v>
      </c>
      <c r="R5038" s="175" t="s">
        <v>415</v>
      </c>
      <c r="S5038" s="150"/>
    </row>
    <row r="5039" spans="1:19" hidden="1">
      <c r="A5039" s="149" t="s">
        <v>7273</v>
      </c>
      <c r="B5039" s="150" t="str">
        <f>IFERROR(VLOOKUP(Proc[[#This Row],[App]],Table2[],3,0),"open")</f>
        <v>ok</v>
      </c>
      <c r="C5039" s="149" t="s">
        <v>369</v>
      </c>
      <c r="D5039" t="s">
        <v>7278</v>
      </c>
      <c r="E5039" s="149" t="s">
        <v>4939</v>
      </c>
      <c r="F5039" s="150" t="s">
        <v>4939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1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6435</v>
      </c>
      <c r="M5039" s="174">
        <v>45994</v>
      </c>
      <c r="N5039" s="175"/>
      <c r="O5039" s="175"/>
      <c r="P5039" s="175" t="str">
        <f ca="1">IF(Proc[[#This Row],[DaysAgeing]]&gt;5,"yep","on track")</f>
        <v>yep</v>
      </c>
      <c r="Q5039" s="3">
        <f ca="1">IF(Proc[[#This Row],[DateClosed]]="",ABS(NETWORKDAYS(Proc[[#This Row],[DateOpened]],TODAY()))-1,ABS(NETWORKDAYS(Proc[[#This Row],[DateOpened]],Proc[[#This Row],[DateClosed]]))-1)</f>
        <v>25</v>
      </c>
      <c r="R5039" s="175" t="s">
        <v>415</v>
      </c>
      <c r="S5039" s="150"/>
    </row>
    <row r="5040" spans="1:19" hidden="1">
      <c r="A5040" t="s">
        <v>7279</v>
      </c>
      <c r="B5040" s="150" t="str">
        <f>IFERROR(VLOOKUP(Proc[[#This Row],[App]],Table2[],3,0),"open")</f>
        <v>ok</v>
      </c>
      <c r="C5040" s="149" t="s">
        <v>369</v>
      </c>
      <c r="D5040" t="s">
        <v>7280</v>
      </c>
      <c r="E5040" t="s">
        <v>7281</v>
      </c>
      <c r="F5040" s="150" t="s">
        <v>7281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6435</v>
      </c>
      <c r="M5040" s="174">
        <v>45995</v>
      </c>
      <c r="N5040" s="175"/>
      <c r="O5040" s="175"/>
      <c r="P5040" s="175" t="str">
        <f ca="1">IF(Proc[[#This Row],[DaysAgeing]]&gt;5,"yep","on track")</f>
        <v>yep</v>
      </c>
      <c r="Q5040" s="3">
        <f ca="1">IF(Proc[[#This Row],[DateClosed]]="",ABS(NETWORKDAYS(Proc[[#This Row],[DateOpened]],TODAY()))-1,ABS(NETWORKDAYS(Proc[[#This Row],[DateOpened]],Proc[[#This Row],[DateClosed]]))-1)</f>
        <v>24</v>
      </c>
      <c r="R5040" s="175" t="s">
        <v>764</v>
      </c>
      <c r="S5040" s="150"/>
    </row>
    <row r="5041" spans="1:19" hidden="1">
      <c r="A5041" t="s">
        <v>7283</v>
      </c>
      <c r="B5041" s="150" t="str">
        <f>IFERROR(VLOOKUP(Proc[[#This Row],[App]],Table2[],3,0),"open")</f>
        <v>ok</v>
      </c>
      <c r="C5041" t="s">
        <v>369</v>
      </c>
      <c r="D5041" t="s">
        <v>7284</v>
      </c>
      <c r="E5041" t="s">
        <v>425</v>
      </c>
      <c r="F5041" s="150" t="s">
        <v>425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1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6435</v>
      </c>
      <c r="M5041" s="174">
        <v>45995</v>
      </c>
      <c r="N5041" s="175"/>
      <c r="O5041" s="175"/>
      <c r="P5041" s="175" t="str">
        <f ca="1">IF(Proc[[#This Row],[DaysAgeing]]&gt;5,"yep","on track")</f>
        <v>yep</v>
      </c>
      <c r="Q5041" s="3">
        <f ca="1">IF(Proc[[#This Row],[DateClosed]]="",ABS(NETWORKDAYS(Proc[[#This Row],[DateOpened]],TODAY()))-1,ABS(NETWORKDAYS(Proc[[#This Row],[DateOpened]],Proc[[#This Row],[DateClosed]]))-1)</f>
        <v>24</v>
      </c>
      <c r="R5041" s="175" t="s">
        <v>1459</v>
      </c>
      <c r="S5041" s="150"/>
    </row>
    <row r="5042" spans="1:19" hidden="1">
      <c r="A5042" t="s">
        <v>7285</v>
      </c>
      <c r="B5042" s="150" t="str">
        <f>IFERROR(VLOOKUP(Proc[[#This Row],[App]],Table2[],3,0),"open")</f>
        <v>ok</v>
      </c>
      <c r="C5042" s="149" t="s">
        <v>369</v>
      </c>
      <c r="D5042" t="s">
        <v>7286</v>
      </c>
      <c r="E5042" t="s">
        <v>4937</v>
      </c>
      <c r="F5042" s="150" t="s">
        <v>4937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6435</v>
      </c>
      <c r="M5042" s="174">
        <v>45996</v>
      </c>
      <c r="N5042" s="175"/>
      <c r="O5042" s="175"/>
      <c r="P5042" s="175" t="str">
        <f ca="1">IF(Proc[[#This Row],[DaysAgeing]]&gt;5,"yep","on track")</f>
        <v>yep</v>
      </c>
      <c r="Q5042" s="3">
        <f ca="1">IF(Proc[[#This Row],[DateClosed]]="",ABS(NETWORKDAYS(Proc[[#This Row],[DateOpened]],TODAY()))-1,ABS(NETWORKDAYS(Proc[[#This Row],[DateOpened]],Proc[[#This Row],[DateClosed]]))-1)</f>
        <v>23</v>
      </c>
      <c r="R5042" s="175" t="s">
        <v>415</v>
      </c>
      <c r="S5042" s="150"/>
    </row>
    <row r="5043" spans="1:19" hidden="1">
      <c r="A5043" t="s">
        <v>7285</v>
      </c>
      <c r="B5043" s="150" t="str">
        <f>IFERROR(VLOOKUP(Proc[[#This Row],[App]],Table2[],3,0),"open")</f>
        <v>ok</v>
      </c>
      <c r="C5043" s="149" t="s">
        <v>369</v>
      </c>
      <c r="D5043" t="s">
        <v>7287</v>
      </c>
      <c r="E5043" t="s">
        <v>7296</v>
      </c>
      <c r="F5043" s="150" t="s">
        <v>7296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6435</v>
      </c>
      <c r="M5043" s="174">
        <v>45996</v>
      </c>
      <c r="N5043" s="175"/>
      <c r="O5043" s="175"/>
      <c r="P5043" s="175" t="str">
        <f ca="1">IF(Proc[[#This Row],[DaysAgeing]]&gt;5,"yep","on track")</f>
        <v>yep</v>
      </c>
      <c r="Q5043" s="3">
        <f ca="1">IF(Proc[[#This Row],[DateClosed]]="",ABS(NETWORKDAYS(Proc[[#This Row],[DateOpened]],TODAY()))-1,ABS(NETWORKDAYS(Proc[[#This Row],[DateOpened]],Proc[[#This Row],[DateClosed]]))-1)</f>
        <v>23</v>
      </c>
      <c r="R5043" s="175" t="s">
        <v>415</v>
      </c>
      <c r="S5043" s="150"/>
    </row>
    <row r="5044" spans="1:19" hidden="1">
      <c r="A5044" s="149" t="s">
        <v>7285</v>
      </c>
      <c r="B5044" s="150" t="str">
        <f>IFERROR(VLOOKUP(Proc[[#This Row],[App]],Table2[],3,0),"open")</f>
        <v>ok</v>
      </c>
      <c r="C5044" s="149" t="s">
        <v>369</v>
      </c>
      <c r="D5044" t="s">
        <v>7288</v>
      </c>
      <c r="E5044" t="s">
        <v>7297</v>
      </c>
      <c r="F5044" s="150" t="s">
        <v>7297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6435</v>
      </c>
      <c r="M5044" s="174">
        <v>45996</v>
      </c>
      <c r="N5044" s="175"/>
      <c r="O5044" s="175"/>
      <c r="P5044" s="175" t="str">
        <f ca="1">IF(Proc[[#This Row],[DaysAgeing]]&gt;5,"yep","on track")</f>
        <v>yep</v>
      </c>
      <c r="Q5044" s="3">
        <f ca="1">IF(Proc[[#This Row],[DateClosed]]="",ABS(NETWORKDAYS(Proc[[#This Row],[DateOpened]],TODAY()))-1,ABS(NETWORKDAYS(Proc[[#This Row],[DateOpened]],Proc[[#This Row],[DateClosed]]))-1)</f>
        <v>23</v>
      </c>
      <c r="R5044" s="175" t="s">
        <v>415</v>
      </c>
      <c r="S5044" s="150"/>
    </row>
    <row r="5045" spans="1:19" hidden="1">
      <c r="A5045" s="149" t="s">
        <v>7285</v>
      </c>
      <c r="B5045" s="150" t="str">
        <f>IFERROR(VLOOKUP(Proc[[#This Row],[App]],Table2[],3,0),"open")</f>
        <v>ok</v>
      </c>
      <c r="C5045" s="149" t="s">
        <v>369</v>
      </c>
      <c r="D5045" t="s">
        <v>7289</v>
      </c>
      <c r="E5045" t="s">
        <v>7298</v>
      </c>
      <c r="F5045" s="150" t="s">
        <v>7298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6435</v>
      </c>
      <c r="M5045" s="174">
        <v>45996</v>
      </c>
      <c r="N5045" s="175"/>
      <c r="O5045" s="175"/>
      <c r="P5045" s="175" t="str">
        <f ca="1">IF(Proc[[#This Row],[DaysAgeing]]&gt;5,"yep","on track")</f>
        <v>yep</v>
      </c>
      <c r="Q5045" s="3">
        <f ca="1">IF(Proc[[#This Row],[DateClosed]]="",ABS(NETWORKDAYS(Proc[[#This Row],[DateOpened]],TODAY()))-1,ABS(NETWORKDAYS(Proc[[#This Row],[DateOpened]],Proc[[#This Row],[DateClosed]]))-1)</f>
        <v>23</v>
      </c>
      <c r="R5045" s="175" t="s">
        <v>415</v>
      </c>
      <c r="S5045" s="150"/>
    </row>
    <row r="5046" spans="1:19" hidden="1">
      <c r="A5046" s="149" t="s">
        <v>7285</v>
      </c>
      <c r="B5046" s="150" t="str">
        <f>IFERROR(VLOOKUP(Proc[[#This Row],[App]],Table2[],3,0),"open")</f>
        <v>ok</v>
      </c>
      <c r="C5046" s="149" t="s">
        <v>369</v>
      </c>
      <c r="D5046" t="s">
        <v>7290</v>
      </c>
      <c r="E5046" t="s">
        <v>7298</v>
      </c>
      <c r="F5046" s="150" t="s">
        <v>7298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6435</v>
      </c>
      <c r="M5046" s="174">
        <v>45996</v>
      </c>
      <c r="N5046" s="175"/>
      <c r="O5046" s="175"/>
      <c r="P5046" s="175" t="str">
        <f ca="1">IF(Proc[[#This Row],[DaysAgeing]]&gt;5,"yep","on track")</f>
        <v>yep</v>
      </c>
      <c r="Q5046" s="3">
        <f ca="1">IF(Proc[[#This Row],[DateClosed]]="",ABS(NETWORKDAYS(Proc[[#This Row],[DateOpened]],TODAY()))-1,ABS(NETWORKDAYS(Proc[[#This Row],[DateOpened]],Proc[[#This Row],[DateClosed]]))-1)</f>
        <v>23</v>
      </c>
      <c r="R5046" s="175" t="s">
        <v>415</v>
      </c>
      <c r="S5046" s="150"/>
    </row>
    <row r="5047" spans="1:19" hidden="1">
      <c r="A5047" s="149" t="s">
        <v>7285</v>
      </c>
      <c r="B5047" s="150" t="str">
        <f>IFERROR(VLOOKUP(Proc[[#This Row],[App]],Table2[],3,0),"open")</f>
        <v>ok</v>
      </c>
      <c r="C5047" s="149" t="s">
        <v>369</v>
      </c>
      <c r="D5047" t="s">
        <v>7291</v>
      </c>
      <c r="E5047" t="s">
        <v>7299</v>
      </c>
      <c r="F5047" s="150" t="s">
        <v>7299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6435</v>
      </c>
      <c r="M5047" s="174">
        <v>45996</v>
      </c>
      <c r="N5047" s="175"/>
      <c r="O5047" s="175"/>
      <c r="P5047" s="175" t="str">
        <f ca="1">IF(Proc[[#This Row],[DaysAgeing]]&gt;5,"yep","on track")</f>
        <v>yep</v>
      </c>
      <c r="Q5047" s="3">
        <f ca="1">IF(Proc[[#This Row],[DateClosed]]="",ABS(NETWORKDAYS(Proc[[#This Row],[DateOpened]],TODAY()))-1,ABS(NETWORKDAYS(Proc[[#This Row],[DateOpened]],Proc[[#This Row],[DateClosed]]))-1)</f>
        <v>23</v>
      </c>
      <c r="R5047" s="175" t="s">
        <v>415</v>
      </c>
      <c r="S5047" s="150"/>
    </row>
    <row r="5048" spans="1:19" hidden="1">
      <c r="A5048" s="149" t="s">
        <v>7285</v>
      </c>
      <c r="B5048" s="150" t="str">
        <f>IFERROR(VLOOKUP(Proc[[#This Row],[App]],Table2[],3,0),"open")</f>
        <v>ok</v>
      </c>
      <c r="C5048" s="149" t="s">
        <v>369</v>
      </c>
      <c r="D5048" t="s">
        <v>7292</v>
      </c>
      <c r="E5048" t="s">
        <v>7299</v>
      </c>
      <c r="F5048" s="150" t="s">
        <v>7299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6435</v>
      </c>
      <c r="M5048" s="174">
        <v>45996</v>
      </c>
      <c r="N5048" s="175"/>
      <c r="O5048" s="175"/>
      <c r="P5048" s="175" t="str">
        <f ca="1">IF(Proc[[#This Row],[DaysAgeing]]&gt;5,"yep","on track")</f>
        <v>yep</v>
      </c>
      <c r="Q5048" s="3">
        <f ca="1">IF(Proc[[#This Row],[DateClosed]]="",ABS(NETWORKDAYS(Proc[[#This Row],[DateOpened]],TODAY()))-1,ABS(NETWORKDAYS(Proc[[#This Row],[DateOpened]],Proc[[#This Row],[DateClosed]]))-1)</f>
        <v>23</v>
      </c>
      <c r="R5048" s="175" t="s">
        <v>415</v>
      </c>
      <c r="S5048" s="150"/>
    </row>
    <row r="5049" spans="1:19" hidden="1">
      <c r="A5049" s="149" t="s">
        <v>7285</v>
      </c>
      <c r="B5049" s="150" t="str">
        <f>IFERROR(VLOOKUP(Proc[[#This Row],[App]],Table2[],3,0),"open")</f>
        <v>ok</v>
      </c>
      <c r="C5049" s="149" t="s">
        <v>369</v>
      </c>
      <c r="D5049" t="s">
        <v>7293</v>
      </c>
      <c r="E5049" t="s">
        <v>7299</v>
      </c>
      <c r="F5049" s="150" t="s">
        <v>7299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6435</v>
      </c>
      <c r="M5049" s="174">
        <v>45996</v>
      </c>
      <c r="N5049" s="175"/>
      <c r="O5049" s="175"/>
      <c r="P5049" s="175" t="str">
        <f ca="1">IF(Proc[[#This Row],[DaysAgeing]]&gt;5,"yep","on track")</f>
        <v>yep</v>
      </c>
      <c r="Q5049" s="3">
        <f ca="1">IF(Proc[[#This Row],[DateClosed]]="",ABS(NETWORKDAYS(Proc[[#This Row],[DateOpened]],TODAY()))-1,ABS(NETWORKDAYS(Proc[[#This Row],[DateOpened]],Proc[[#This Row],[DateClosed]]))-1)</f>
        <v>23</v>
      </c>
      <c r="R5049" s="175" t="s">
        <v>415</v>
      </c>
      <c r="S5049" s="150"/>
    </row>
    <row r="5050" spans="1:19" hidden="1">
      <c r="A5050" s="149" t="s">
        <v>7285</v>
      </c>
      <c r="B5050" s="150" t="str">
        <f>IFERROR(VLOOKUP(Proc[[#This Row],[App]],Table2[],3,0),"open")</f>
        <v>ok</v>
      </c>
      <c r="C5050" s="149" t="s">
        <v>369</v>
      </c>
      <c r="D5050" t="s">
        <v>7294</v>
      </c>
      <c r="E5050" t="s">
        <v>7299</v>
      </c>
      <c r="F5050" s="150" t="s">
        <v>7299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6435</v>
      </c>
      <c r="M5050" s="174">
        <v>45996</v>
      </c>
      <c r="N5050" s="175"/>
      <c r="O5050" s="175"/>
      <c r="P5050" s="175" t="str">
        <f ca="1">IF(Proc[[#This Row],[DaysAgeing]]&gt;5,"yep","on track")</f>
        <v>yep</v>
      </c>
      <c r="Q5050" s="3">
        <f ca="1">IF(Proc[[#This Row],[DateClosed]]="",ABS(NETWORKDAYS(Proc[[#This Row],[DateOpened]],TODAY()))-1,ABS(NETWORKDAYS(Proc[[#This Row],[DateOpened]],Proc[[#This Row],[DateClosed]]))-1)</f>
        <v>23</v>
      </c>
      <c r="R5050" s="175" t="s">
        <v>415</v>
      </c>
      <c r="S5050" s="150"/>
    </row>
    <row r="5051" spans="1:19" hidden="1">
      <c r="A5051" s="149" t="s">
        <v>7285</v>
      </c>
      <c r="B5051" s="150" t="str">
        <f>IFERROR(VLOOKUP(Proc[[#This Row],[App]],Table2[],3,0),"open")</f>
        <v>ok</v>
      </c>
      <c r="C5051" s="149" t="s">
        <v>369</v>
      </c>
      <c r="D5051" t="s">
        <v>7295</v>
      </c>
      <c r="E5051" t="s">
        <v>7299</v>
      </c>
      <c r="F5051" s="150" t="s">
        <v>7299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6435</v>
      </c>
      <c r="M5051" s="174">
        <v>45996</v>
      </c>
      <c r="N5051" s="175"/>
      <c r="O5051" s="175"/>
      <c r="P5051" s="175" t="str">
        <f ca="1">IF(Proc[[#This Row],[DaysAgeing]]&gt;5,"yep","on track")</f>
        <v>yep</v>
      </c>
      <c r="Q5051" s="3">
        <f ca="1">IF(Proc[[#This Row],[DateClosed]]="",ABS(NETWORKDAYS(Proc[[#This Row],[DateOpened]],TODAY()))-1,ABS(NETWORKDAYS(Proc[[#This Row],[DateOpened]],Proc[[#This Row],[DateClosed]]))-1)</f>
        <v>23</v>
      </c>
      <c r="R5051" s="175" t="s">
        <v>415</v>
      </c>
      <c r="S5051" s="150"/>
    </row>
    <row r="5052" spans="1:19" hidden="1">
      <c r="A5052" t="s">
        <v>7301</v>
      </c>
      <c r="B5052" s="150" t="str">
        <f>IFERROR(VLOOKUP(Proc[[#This Row],[App]],Table2[],3,0),"open")</f>
        <v>ok</v>
      </c>
      <c r="C5052" s="149" t="s">
        <v>369</v>
      </c>
      <c r="D5052" t="s">
        <v>7253</v>
      </c>
      <c r="E5052" t="s">
        <v>7300</v>
      </c>
      <c r="F5052" s="150" t="s">
        <v>7300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6435</v>
      </c>
      <c r="M5052" s="174">
        <v>45996</v>
      </c>
      <c r="N5052" s="175"/>
      <c r="O5052" s="175"/>
      <c r="P5052" s="175" t="str">
        <f ca="1">IF(Proc[[#This Row],[DaysAgeing]]&gt;5,"yep","on track")</f>
        <v>yep</v>
      </c>
      <c r="Q5052" s="3">
        <f ca="1">IF(Proc[[#This Row],[DateClosed]]="",ABS(NETWORKDAYS(Proc[[#This Row],[DateOpened]],TODAY()))-1,ABS(NETWORKDAYS(Proc[[#This Row],[DateOpened]],Proc[[#This Row],[DateClosed]]))-1)</f>
        <v>23</v>
      </c>
      <c r="R5052" s="175" t="s">
        <v>415</v>
      </c>
      <c r="S5052" s="150"/>
    </row>
    <row r="5053" spans="1:19" hidden="1">
      <c r="A5053" t="s">
        <v>7301</v>
      </c>
      <c r="B5053" s="150" t="str">
        <f>IFERROR(VLOOKUP(Proc[[#This Row],[App]],Table2[],3,0),"open")</f>
        <v>ok</v>
      </c>
      <c r="C5053" s="149" t="s">
        <v>369</v>
      </c>
      <c r="D5053" t="s">
        <v>7254</v>
      </c>
      <c r="E5053" t="s">
        <v>7300</v>
      </c>
      <c r="F5053" s="150" t="s">
        <v>7300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6435</v>
      </c>
      <c r="M5053" s="174">
        <v>45996</v>
      </c>
      <c r="N5053" s="175"/>
      <c r="O5053" s="175"/>
      <c r="P5053" s="175" t="str">
        <f ca="1">IF(Proc[[#This Row],[DaysAgeing]]&gt;5,"yep","on track")</f>
        <v>yep</v>
      </c>
      <c r="Q5053" s="3">
        <f ca="1">IF(Proc[[#This Row],[DateClosed]]="",ABS(NETWORKDAYS(Proc[[#This Row],[DateOpened]],TODAY()))-1,ABS(NETWORKDAYS(Proc[[#This Row],[DateOpened]],Proc[[#This Row],[DateClosed]]))-1)</f>
        <v>23</v>
      </c>
      <c r="R5053" s="175" t="s">
        <v>415</v>
      </c>
      <c r="S5053" s="150"/>
    </row>
    <row r="5054" spans="1:19" hidden="1">
      <c r="A5054" s="149" t="s">
        <v>7301</v>
      </c>
      <c r="B5054" s="150" t="str">
        <f>IFERROR(VLOOKUP(Proc[[#This Row],[App]],Table2[],3,0),"open")</f>
        <v>ok</v>
      </c>
      <c r="C5054" s="149" t="s">
        <v>369</v>
      </c>
      <c r="D5054" t="s">
        <v>7255</v>
      </c>
      <c r="E5054" t="s">
        <v>7300</v>
      </c>
      <c r="F5054" s="150" t="s">
        <v>7300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6435</v>
      </c>
      <c r="M5054" s="174">
        <v>45996</v>
      </c>
      <c r="N5054" s="175"/>
      <c r="O5054" s="175"/>
      <c r="P5054" s="175" t="str">
        <f ca="1">IF(Proc[[#This Row],[DaysAgeing]]&gt;5,"yep","on track")</f>
        <v>yep</v>
      </c>
      <c r="Q5054" s="3">
        <f ca="1">IF(Proc[[#This Row],[DateClosed]]="",ABS(NETWORKDAYS(Proc[[#This Row],[DateOpened]],TODAY()))-1,ABS(NETWORKDAYS(Proc[[#This Row],[DateOpened]],Proc[[#This Row],[DateClosed]]))-1)</f>
        <v>23</v>
      </c>
      <c r="R5054" s="175" t="s">
        <v>415</v>
      </c>
      <c r="S5054" s="150"/>
    </row>
    <row r="5055" spans="1:19" hidden="1">
      <c r="A5055" s="149" t="s">
        <v>7301</v>
      </c>
      <c r="B5055" s="150" t="str">
        <f>IFERROR(VLOOKUP(Proc[[#This Row],[App]],Table2[],3,0),"open")</f>
        <v>ok</v>
      </c>
      <c r="C5055" s="149" t="s">
        <v>369</v>
      </c>
      <c r="D5055" t="s">
        <v>7256</v>
      </c>
      <c r="E5055" t="s">
        <v>7300</v>
      </c>
      <c r="F5055" s="150" t="s">
        <v>7300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6435</v>
      </c>
      <c r="M5055" s="174">
        <v>45996</v>
      </c>
      <c r="N5055" s="175"/>
      <c r="O5055" s="175"/>
      <c r="P5055" s="175" t="str">
        <f ca="1">IF(Proc[[#This Row],[DaysAgeing]]&gt;5,"yep","on track")</f>
        <v>yep</v>
      </c>
      <c r="Q5055" s="3">
        <f ca="1">IF(Proc[[#This Row],[DateClosed]]="",ABS(NETWORKDAYS(Proc[[#This Row],[DateOpened]],TODAY()))-1,ABS(NETWORKDAYS(Proc[[#This Row],[DateOpened]],Proc[[#This Row],[DateClosed]]))-1)</f>
        <v>23</v>
      </c>
      <c r="R5055" s="175" t="s">
        <v>415</v>
      </c>
      <c r="S5055" s="150"/>
    </row>
    <row r="5056" spans="1:19" hidden="1">
      <c r="A5056" s="149" t="s">
        <v>7301</v>
      </c>
      <c r="B5056" s="150" t="str">
        <f>IFERROR(VLOOKUP(Proc[[#This Row],[App]],Table2[],3,0),"open")</f>
        <v>ok</v>
      </c>
      <c r="C5056" s="149" t="s">
        <v>369</v>
      </c>
      <c r="D5056" t="s">
        <v>7257</v>
      </c>
      <c r="E5056" t="s">
        <v>7300</v>
      </c>
      <c r="F5056" s="150" t="s">
        <v>7300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6435</v>
      </c>
      <c r="M5056" s="174">
        <v>45996</v>
      </c>
      <c r="N5056" s="175"/>
      <c r="O5056" s="175"/>
      <c r="P5056" s="175" t="str">
        <f ca="1">IF(Proc[[#This Row],[DaysAgeing]]&gt;5,"yep","on track")</f>
        <v>yep</v>
      </c>
      <c r="Q5056" s="3">
        <f ca="1">IF(Proc[[#This Row],[DateClosed]]="",ABS(NETWORKDAYS(Proc[[#This Row],[DateOpened]],TODAY()))-1,ABS(NETWORKDAYS(Proc[[#This Row],[DateOpened]],Proc[[#This Row],[DateClosed]]))-1)</f>
        <v>23</v>
      </c>
      <c r="R5056" s="175" t="s">
        <v>415</v>
      </c>
      <c r="S5056" s="150"/>
    </row>
    <row r="5057" spans="1:19" hidden="1">
      <c r="A5057" s="149" t="s">
        <v>7301</v>
      </c>
      <c r="B5057" s="150" t="str">
        <f>IFERROR(VLOOKUP(Proc[[#This Row],[App]],Table2[],3,0),"open")</f>
        <v>ok</v>
      </c>
      <c r="C5057" s="149" t="s">
        <v>369</v>
      </c>
      <c r="D5057" t="s">
        <v>7274</v>
      </c>
      <c r="E5057" t="s">
        <v>7299</v>
      </c>
      <c r="F5057" s="150" t="s">
        <v>7299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6435</v>
      </c>
      <c r="M5057" s="174">
        <v>45996</v>
      </c>
      <c r="N5057" s="175"/>
      <c r="O5057" s="175"/>
      <c r="P5057" s="175" t="str">
        <f ca="1">IF(Proc[[#This Row],[DaysAgeing]]&gt;5,"yep","on track")</f>
        <v>yep</v>
      </c>
      <c r="Q5057" s="3">
        <f ca="1">IF(Proc[[#This Row],[DateClosed]]="",ABS(NETWORKDAYS(Proc[[#This Row],[DateOpened]],TODAY()))-1,ABS(NETWORKDAYS(Proc[[#This Row],[DateOpened]],Proc[[#This Row],[DateClosed]]))-1)</f>
        <v>23</v>
      </c>
      <c r="R5057" s="175" t="s">
        <v>415</v>
      </c>
      <c r="S5057" s="150"/>
    </row>
    <row r="5058" spans="1:19" hidden="1">
      <c r="A5058" s="149" t="s">
        <v>7301</v>
      </c>
      <c r="B5058" s="150" t="str">
        <f>IFERROR(VLOOKUP(Proc[[#This Row],[App]],Table2[],3,0),"open")</f>
        <v>ok</v>
      </c>
      <c r="C5058" s="149" t="s">
        <v>369</v>
      </c>
      <c r="D5058" t="s">
        <v>7275</v>
      </c>
      <c r="E5058" t="s">
        <v>7299</v>
      </c>
      <c r="F5058" s="150" t="s">
        <v>7299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6435</v>
      </c>
      <c r="M5058" s="174">
        <v>45996</v>
      </c>
      <c r="N5058" s="175"/>
      <c r="O5058" s="175"/>
      <c r="P5058" s="175" t="str">
        <f ca="1">IF(Proc[[#This Row],[DaysAgeing]]&gt;5,"yep","on track")</f>
        <v>yep</v>
      </c>
      <c r="Q5058" s="3">
        <f ca="1">IF(Proc[[#This Row],[DateClosed]]="",ABS(NETWORKDAYS(Proc[[#This Row],[DateOpened]],TODAY()))-1,ABS(NETWORKDAYS(Proc[[#This Row],[DateOpened]],Proc[[#This Row],[DateClosed]]))-1)</f>
        <v>23</v>
      </c>
      <c r="R5058" s="175" t="s">
        <v>415</v>
      </c>
      <c r="S5058" s="150"/>
    </row>
    <row r="5059" spans="1:19" hidden="1">
      <c r="A5059" s="149" t="s">
        <v>7301</v>
      </c>
      <c r="B5059" s="150" t="str">
        <f>IFERROR(VLOOKUP(Proc[[#This Row],[App]],Table2[],3,0),"open")</f>
        <v>ok</v>
      </c>
      <c r="C5059" s="149" t="s">
        <v>369</v>
      </c>
      <c r="D5059" t="s">
        <v>7276</v>
      </c>
      <c r="E5059" t="s">
        <v>7299</v>
      </c>
      <c r="F5059" s="150" t="s">
        <v>7299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6435</v>
      </c>
      <c r="M5059" s="174">
        <v>45996</v>
      </c>
      <c r="N5059" s="175"/>
      <c r="O5059" s="175"/>
      <c r="P5059" s="175" t="str">
        <f ca="1">IF(Proc[[#This Row],[DaysAgeing]]&gt;5,"yep","on track")</f>
        <v>yep</v>
      </c>
      <c r="Q5059" s="3">
        <f ca="1">IF(Proc[[#This Row],[DateClosed]]="",ABS(NETWORKDAYS(Proc[[#This Row],[DateOpened]],TODAY()))-1,ABS(NETWORKDAYS(Proc[[#This Row],[DateOpened]],Proc[[#This Row],[DateClosed]]))-1)</f>
        <v>23</v>
      </c>
      <c r="R5059" s="175" t="s">
        <v>415</v>
      </c>
      <c r="S5059" s="150"/>
    </row>
    <row r="5060" spans="1:19" hidden="1">
      <c r="A5060" s="149" t="s">
        <v>7301</v>
      </c>
      <c r="B5060" s="150" t="str">
        <f>IFERROR(VLOOKUP(Proc[[#This Row],[App]],Table2[],3,0),"open")</f>
        <v>ok</v>
      </c>
      <c r="C5060" s="149" t="s">
        <v>369</v>
      </c>
      <c r="D5060" t="s">
        <v>7277</v>
      </c>
      <c r="E5060" t="s">
        <v>7299</v>
      </c>
      <c r="F5060" s="150" t="s">
        <v>7299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6435</v>
      </c>
      <c r="M5060" s="174">
        <v>45996</v>
      </c>
      <c r="N5060" s="175"/>
      <c r="O5060" s="175"/>
      <c r="P5060" s="175" t="str">
        <f ca="1">IF(Proc[[#This Row],[DaysAgeing]]&gt;5,"yep","on track")</f>
        <v>yep</v>
      </c>
      <c r="Q5060" s="3">
        <f ca="1">IF(Proc[[#This Row],[DateClosed]]="",ABS(NETWORKDAYS(Proc[[#This Row],[DateOpened]],TODAY()))-1,ABS(NETWORKDAYS(Proc[[#This Row],[DateOpened]],Proc[[#This Row],[DateClosed]]))-1)</f>
        <v>23</v>
      </c>
      <c r="R5060" s="175" t="s">
        <v>415</v>
      </c>
      <c r="S5060" s="150"/>
    </row>
    <row r="5061" spans="1:19" hidden="1">
      <c r="A5061" s="149" t="s">
        <v>7301</v>
      </c>
      <c r="B5061" s="150" t="str">
        <f>IFERROR(VLOOKUP(Proc[[#This Row],[App]],Table2[],3,0),"open")</f>
        <v>ok</v>
      </c>
      <c r="C5061" s="149" t="s">
        <v>369</v>
      </c>
      <c r="D5061" t="s">
        <v>7278</v>
      </c>
      <c r="E5061" t="s">
        <v>7299</v>
      </c>
      <c r="F5061" s="150" t="s">
        <v>7299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6435</v>
      </c>
      <c r="M5061" s="174">
        <v>45996</v>
      </c>
      <c r="N5061" s="175"/>
      <c r="O5061" s="175"/>
      <c r="P5061" s="175" t="str">
        <f ca="1">IF(Proc[[#This Row],[DaysAgeing]]&gt;5,"yep","on track")</f>
        <v>yep</v>
      </c>
      <c r="Q5061" s="3">
        <f ca="1">IF(Proc[[#This Row],[DateClosed]]="",ABS(NETWORKDAYS(Proc[[#This Row],[DateOpened]],TODAY()))-1,ABS(NETWORKDAYS(Proc[[#This Row],[DateOpened]],Proc[[#This Row],[DateClosed]]))-1)</f>
        <v>23</v>
      </c>
      <c r="R5061" s="175" t="s">
        <v>415</v>
      </c>
      <c r="S5061" s="150"/>
    </row>
    <row r="5062" spans="1:19" hidden="1">
      <c r="A5062" t="s">
        <v>7303</v>
      </c>
      <c r="B5062" s="150" t="str">
        <f>IFERROR(VLOOKUP(Proc[[#This Row],[App]],Table2[],3,0),"open")</f>
        <v>ok</v>
      </c>
      <c r="C5062" s="149" t="s">
        <v>369</v>
      </c>
      <c r="D5062" t="s">
        <v>7289</v>
      </c>
      <c r="E5062" t="s">
        <v>7282</v>
      </c>
      <c r="F5062" s="150" t="s">
        <v>7282</v>
      </c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1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6435</v>
      </c>
      <c r="M5062" s="175">
        <v>45999</v>
      </c>
      <c r="N5062" s="175"/>
      <c r="O5062" s="175"/>
      <c r="P5062" s="175" t="str">
        <f ca="1">IF(Proc[[#This Row],[DaysAgeing]]&gt;5,"yep","on track")</f>
        <v>yep</v>
      </c>
      <c r="Q5062" s="3">
        <f ca="1">IF(Proc[[#This Row],[DateClosed]]="",ABS(NETWORKDAYS(Proc[[#This Row],[DateOpened]],TODAY()))-1,ABS(NETWORKDAYS(Proc[[#This Row],[DateOpened]],Proc[[#This Row],[DateClosed]]))-1)</f>
        <v>22</v>
      </c>
      <c r="R5062" s="175" t="s">
        <v>415</v>
      </c>
      <c r="S5062" s="150"/>
    </row>
    <row r="5063" spans="1:19" hidden="1">
      <c r="A5063" s="149" t="s">
        <v>7303</v>
      </c>
      <c r="B5063" s="150" t="str">
        <f>IFERROR(VLOOKUP(Proc[[#This Row],[App]],Table2[],3,0),"open")</f>
        <v>ok</v>
      </c>
      <c r="C5063" s="149" t="s">
        <v>369</v>
      </c>
      <c r="D5063" t="s">
        <v>7290</v>
      </c>
      <c r="E5063" t="s">
        <v>7282</v>
      </c>
      <c r="F5063" s="150" t="s">
        <v>7282</v>
      </c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1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6435</v>
      </c>
      <c r="M5063" s="175">
        <v>45999</v>
      </c>
      <c r="N5063" s="175"/>
      <c r="O5063" s="175"/>
      <c r="P5063" s="175" t="str">
        <f ca="1">IF(Proc[[#This Row],[DaysAgeing]]&gt;5,"yep","on track")</f>
        <v>yep</v>
      </c>
      <c r="Q5063" s="3">
        <f ca="1">IF(Proc[[#This Row],[DateClosed]]="",ABS(NETWORKDAYS(Proc[[#This Row],[DateOpened]],TODAY()))-1,ABS(NETWORKDAYS(Proc[[#This Row],[DateOpened]],Proc[[#This Row],[DateClosed]]))-1)</f>
        <v>22</v>
      </c>
      <c r="R5063" s="175" t="s">
        <v>415</v>
      </c>
      <c r="S5063" s="150"/>
    </row>
    <row r="5064" spans="1:19" hidden="1">
      <c r="A5064" t="s">
        <v>7304</v>
      </c>
      <c r="B5064" s="150" t="str">
        <f>IFERROR(VLOOKUP(Proc[[#This Row],[App]],Table2[],3,0),"open")</f>
        <v>ok</v>
      </c>
      <c r="C5064" s="149" t="s">
        <v>369</v>
      </c>
      <c r="D5064" t="s">
        <v>7305</v>
      </c>
      <c r="E5064" t="s">
        <v>496</v>
      </c>
      <c r="F5064" s="150" t="s">
        <v>496</v>
      </c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1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6435</v>
      </c>
      <c r="M5064" s="175">
        <v>45999</v>
      </c>
      <c r="N5064" s="175"/>
      <c r="O5064" s="175"/>
      <c r="P5064" s="175" t="str">
        <f ca="1">IF(Proc[[#This Row],[DaysAgeing]]&gt;5,"yep","on track")</f>
        <v>yep</v>
      </c>
      <c r="Q5064" s="3">
        <f ca="1">IF(Proc[[#This Row],[DateClosed]]="",ABS(NETWORKDAYS(Proc[[#This Row],[DateOpened]],TODAY()))-1,ABS(NETWORKDAYS(Proc[[#This Row],[DateOpened]],Proc[[#This Row],[DateClosed]]))-1)</f>
        <v>22</v>
      </c>
      <c r="R5064" s="175" t="s">
        <v>489</v>
      </c>
      <c r="S5064" s="150"/>
    </row>
    <row r="5065" spans="1:19" hidden="1">
      <c r="A5065" s="149" t="s">
        <v>7304</v>
      </c>
      <c r="B5065" s="150" t="str">
        <f>IFERROR(VLOOKUP(Proc[[#This Row],[App]],Table2[],3,0),"open")</f>
        <v>ok</v>
      </c>
      <c r="C5065" s="149" t="s">
        <v>369</v>
      </c>
      <c r="D5065" t="s">
        <v>7306</v>
      </c>
      <c r="E5065" t="s">
        <v>7331</v>
      </c>
      <c r="F5065" s="150" t="s">
        <v>7331</v>
      </c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1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6435</v>
      </c>
      <c r="M5065" s="175">
        <v>45999</v>
      </c>
      <c r="N5065" s="175"/>
      <c r="O5065" s="175"/>
      <c r="P5065" s="175" t="str">
        <f ca="1">IF(Proc[[#This Row],[DaysAgeing]]&gt;5,"yep","on track")</f>
        <v>yep</v>
      </c>
      <c r="Q5065" s="3">
        <f ca="1">IF(Proc[[#This Row],[DateClosed]]="",ABS(NETWORKDAYS(Proc[[#This Row],[DateOpened]],TODAY()))-1,ABS(NETWORKDAYS(Proc[[#This Row],[DateOpened]],Proc[[#This Row],[DateClosed]]))-1)</f>
        <v>22</v>
      </c>
      <c r="R5065" s="175" t="s">
        <v>489</v>
      </c>
      <c r="S5065" s="150"/>
    </row>
    <row r="5066" spans="1:19" hidden="1">
      <c r="A5066" s="149" t="s">
        <v>7304</v>
      </c>
      <c r="B5066" s="150" t="str">
        <f>IFERROR(VLOOKUP(Proc[[#This Row],[App]],Table2[],3,0),"open")</f>
        <v>ok</v>
      </c>
      <c r="C5066" s="149" t="s">
        <v>369</v>
      </c>
      <c r="D5066" t="s">
        <v>7307</v>
      </c>
      <c r="E5066" t="s">
        <v>2776</v>
      </c>
      <c r="F5066" s="150" t="s">
        <v>2776</v>
      </c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1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6435</v>
      </c>
      <c r="M5066" s="175">
        <v>45999</v>
      </c>
      <c r="N5066" s="175"/>
      <c r="O5066" s="175"/>
      <c r="P5066" s="175" t="str">
        <f ca="1">IF(Proc[[#This Row],[DaysAgeing]]&gt;5,"yep","on track")</f>
        <v>yep</v>
      </c>
      <c r="Q5066" s="3">
        <f ca="1">IF(Proc[[#This Row],[DateClosed]]="",ABS(NETWORKDAYS(Proc[[#This Row],[DateOpened]],TODAY()))-1,ABS(NETWORKDAYS(Proc[[#This Row],[DateOpened]],Proc[[#This Row],[DateClosed]]))-1)</f>
        <v>22</v>
      </c>
      <c r="R5066" s="175" t="s">
        <v>489</v>
      </c>
      <c r="S5066" s="150"/>
    </row>
    <row r="5067" spans="1:19" hidden="1">
      <c r="A5067" s="149" t="s">
        <v>7304</v>
      </c>
      <c r="B5067" s="150" t="str">
        <f>IFERROR(VLOOKUP(Proc[[#This Row],[App]],Table2[],3,0),"open")</f>
        <v>ok</v>
      </c>
      <c r="C5067" s="149" t="s">
        <v>369</v>
      </c>
      <c r="D5067" t="s">
        <v>7308</v>
      </c>
      <c r="E5067" t="s">
        <v>4890</v>
      </c>
      <c r="F5067" s="150" t="s">
        <v>4890</v>
      </c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1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6435</v>
      </c>
      <c r="M5067" s="175">
        <v>45999</v>
      </c>
      <c r="N5067" s="175"/>
      <c r="O5067" s="175"/>
      <c r="P5067" s="175" t="str">
        <f ca="1">IF(Proc[[#This Row],[DaysAgeing]]&gt;5,"yep","on track")</f>
        <v>yep</v>
      </c>
      <c r="Q5067" s="3">
        <f ca="1">IF(Proc[[#This Row],[DateClosed]]="",ABS(NETWORKDAYS(Proc[[#This Row],[DateOpened]],TODAY()))-1,ABS(NETWORKDAYS(Proc[[#This Row],[DateOpened]],Proc[[#This Row],[DateClosed]]))-1)</f>
        <v>22</v>
      </c>
      <c r="R5067" s="175" t="s">
        <v>489</v>
      </c>
      <c r="S5067" s="150"/>
    </row>
    <row r="5068" spans="1:19" hidden="1">
      <c r="A5068" s="149" t="s">
        <v>7304</v>
      </c>
      <c r="B5068" s="150" t="str">
        <f>IFERROR(VLOOKUP(Proc[[#This Row],[App]],Table2[],3,0),"open")</f>
        <v>ok</v>
      </c>
      <c r="C5068" s="149" t="s">
        <v>369</v>
      </c>
      <c r="D5068" t="s">
        <v>7309</v>
      </c>
      <c r="E5068" t="s">
        <v>2206</v>
      </c>
      <c r="F5068" s="150" t="s">
        <v>2206</v>
      </c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1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6435</v>
      </c>
      <c r="M5068" s="175">
        <v>45999</v>
      </c>
      <c r="N5068" s="175"/>
      <c r="O5068" s="175"/>
      <c r="P5068" s="175" t="str">
        <f ca="1">IF(Proc[[#This Row],[DaysAgeing]]&gt;5,"yep","on track")</f>
        <v>yep</v>
      </c>
      <c r="Q5068" s="3">
        <f ca="1">IF(Proc[[#This Row],[DateClosed]]="",ABS(NETWORKDAYS(Proc[[#This Row],[DateOpened]],TODAY()))-1,ABS(NETWORKDAYS(Proc[[#This Row],[DateOpened]],Proc[[#This Row],[DateClosed]]))-1)</f>
        <v>22</v>
      </c>
      <c r="R5068" s="175" t="s">
        <v>489</v>
      </c>
      <c r="S5068" s="150"/>
    </row>
    <row r="5069" spans="1:19" hidden="1">
      <c r="A5069" s="149" t="s">
        <v>7304</v>
      </c>
      <c r="B5069" s="150" t="str">
        <f>IFERROR(VLOOKUP(Proc[[#This Row],[App]],Table2[],3,0),"open")</f>
        <v>ok</v>
      </c>
      <c r="C5069" s="149" t="s">
        <v>369</v>
      </c>
      <c r="D5069" t="s">
        <v>7310</v>
      </c>
      <c r="E5069" t="s">
        <v>7332</v>
      </c>
      <c r="F5069" s="150" t="s">
        <v>7332</v>
      </c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1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6435</v>
      </c>
      <c r="M5069" s="175">
        <v>45999</v>
      </c>
      <c r="N5069" s="175"/>
      <c r="O5069" s="175"/>
      <c r="P5069" s="175" t="str">
        <f ca="1">IF(Proc[[#This Row],[DaysAgeing]]&gt;5,"yep","on track")</f>
        <v>yep</v>
      </c>
      <c r="Q5069" s="3">
        <f ca="1">IF(Proc[[#This Row],[DateClosed]]="",ABS(NETWORKDAYS(Proc[[#This Row],[DateOpened]],TODAY()))-1,ABS(NETWORKDAYS(Proc[[#This Row],[DateOpened]],Proc[[#This Row],[DateClosed]]))-1)</f>
        <v>22</v>
      </c>
      <c r="R5069" s="175" t="s">
        <v>489</v>
      </c>
      <c r="S5069" s="150"/>
    </row>
    <row r="5070" spans="1:19" hidden="1">
      <c r="A5070" s="149" t="s">
        <v>7304</v>
      </c>
      <c r="B5070" s="150" t="str">
        <f>IFERROR(VLOOKUP(Proc[[#This Row],[App]],Table2[],3,0),"open")</f>
        <v>ok</v>
      </c>
      <c r="C5070" s="149" t="s">
        <v>369</v>
      </c>
      <c r="D5070" t="s">
        <v>7311</v>
      </c>
      <c r="E5070" t="s">
        <v>7333</v>
      </c>
      <c r="F5070" s="150" t="s">
        <v>7333</v>
      </c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1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6435</v>
      </c>
      <c r="M5070" s="175">
        <v>45999</v>
      </c>
      <c r="N5070" s="175"/>
      <c r="O5070" s="175"/>
      <c r="P5070" s="175" t="str">
        <f ca="1">IF(Proc[[#This Row],[DaysAgeing]]&gt;5,"yep","on track")</f>
        <v>yep</v>
      </c>
      <c r="Q5070" s="3">
        <f ca="1">IF(Proc[[#This Row],[DateClosed]]="",ABS(NETWORKDAYS(Proc[[#This Row],[DateOpened]],TODAY()))-1,ABS(NETWORKDAYS(Proc[[#This Row],[DateOpened]],Proc[[#This Row],[DateClosed]]))-1)</f>
        <v>22</v>
      </c>
      <c r="R5070" s="175" t="s">
        <v>489</v>
      </c>
      <c r="S5070" s="150"/>
    </row>
    <row r="5071" spans="1:19" hidden="1">
      <c r="A5071" s="149" t="s">
        <v>7304</v>
      </c>
      <c r="B5071" s="150" t="str">
        <f>IFERROR(VLOOKUP(Proc[[#This Row],[App]],Table2[],3,0),"open")</f>
        <v>ok</v>
      </c>
      <c r="C5071" s="149" t="s">
        <v>369</v>
      </c>
      <c r="D5071" t="s">
        <v>7312</v>
      </c>
      <c r="E5071" t="s">
        <v>7334</v>
      </c>
      <c r="F5071" s="150" t="s">
        <v>7334</v>
      </c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1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6435</v>
      </c>
      <c r="M5071" s="175">
        <v>45999</v>
      </c>
      <c r="N5071" s="175"/>
      <c r="O5071" s="175"/>
      <c r="P5071" s="175" t="str">
        <f ca="1">IF(Proc[[#This Row],[DaysAgeing]]&gt;5,"yep","on track")</f>
        <v>yep</v>
      </c>
      <c r="Q5071" s="3">
        <f ca="1">IF(Proc[[#This Row],[DateClosed]]="",ABS(NETWORKDAYS(Proc[[#This Row],[DateOpened]],TODAY()))-1,ABS(NETWORKDAYS(Proc[[#This Row],[DateOpened]],Proc[[#This Row],[DateClosed]]))-1)</f>
        <v>22</v>
      </c>
      <c r="R5071" s="175" t="s">
        <v>489</v>
      </c>
      <c r="S5071" s="150"/>
    </row>
    <row r="5072" spans="1:19" hidden="1">
      <c r="A5072" s="149" t="s">
        <v>7304</v>
      </c>
      <c r="B5072" s="150" t="str">
        <f>IFERROR(VLOOKUP(Proc[[#This Row],[App]],Table2[],3,0),"open")</f>
        <v>ok</v>
      </c>
      <c r="C5072" s="149" t="s">
        <v>369</v>
      </c>
      <c r="D5072" t="s">
        <v>7313</v>
      </c>
      <c r="E5072" t="s">
        <v>7335</v>
      </c>
      <c r="F5072" s="150" t="s">
        <v>7335</v>
      </c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1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6435</v>
      </c>
      <c r="M5072" s="175">
        <v>45999</v>
      </c>
      <c r="N5072" s="175"/>
      <c r="O5072" s="175"/>
      <c r="P5072" s="175" t="str">
        <f ca="1">IF(Proc[[#This Row],[DaysAgeing]]&gt;5,"yep","on track")</f>
        <v>yep</v>
      </c>
      <c r="Q5072" s="3">
        <f ca="1">IF(Proc[[#This Row],[DateClosed]]="",ABS(NETWORKDAYS(Proc[[#This Row],[DateOpened]],TODAY()))-1,ABS(NETWORKDAYS(Proc[[#This Row],[DateOpened]],Proc[[#This Row],[DateClosed]]))-1)</f>
        <v>22</v>
      </c>
      <c r="R5072" s="175" t="s">
        <v>489</v>
      </c>
      <c r="S5072" s="150"/>
    </row>
    <row r="5073" spans="1:19" hidden="1">
      <c r="A5073" s="149" t="s">
        <v>7304</v>
      </c>
      <c r="B5073" s="150" t="str">
        <f>IFERROR(VLOOKUP(Proc[[#This Row],[App]],Table2[],3,0),"open")</f>
        <v>ok</v>
      </c>
      <c r="C5073" s="149" t="s">
        <v>369</v>
      </c>
      <c r="D5073" t="s">
        <v>7314</v>
      </c>
      <c r="E5073" t="s">
        <v>7336</v>
      </c>
      <c r="F5073" s="150" t="s">
        <v>7336</v>
      </c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1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6435</v>
      </c>
      <c r="M5073" s="175">
        <v>45999</v>
      </c>
      <c r="N5073" s="175"/>
      <c r="O5073" s="175"/>
      <c r="P5073" s="175" t="str">
        <f ca="1">IF(Proc[[#This Row],[DaysAgeing]]&gt;5,"yep","on track")</f>
        <v>yep</v>
      </c>
      <c r="Q5073" s="3">
        <f ca="1">IF(Proc[[#This Row],[DateClosed]]="",ABS(NETWORKDAYS(Proc[[#This Row],[DateOpened]],TODAY()))-1,ABS(NETWORKDAYS(Proc[[#This Row],[DateOpened]],Proc[[#This Row],[DateClosed]]))-1)</f>
        <v>22</v>
      </c>
      <c r="R5073" s="175" t="s">
        <v>489</v>
      </c>
      <c r="S5073" s="150"/>
    </row>
    <row r="5074" spans="1:19" hidden="1">
      <c r="A5074" s="149" t="s">
        <v>7304</v>
      </c>
      <c r="B5074" s="150" t="str">
        <f>IFERROR(VLOOKUP(Proc[[#This Row],[App]],Table2[],3,0),"open")</f>
        <v>ok</v>
      </c>
      <c r="C5074" s="149" t="s">
        <v>369</v>
      </c>
      <c r="D5074" t="s">
        <v>7315</v>
      </c>
      <c r="E5074" t="s">
        <v>7336</v>
      </c>
      <c r="F5074" s="150" t="s">
        <v>7336</v>
      </c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1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6435</v>
      </c>
      <c r="M5074" s="175">
        <v>45999</v>
      </c>
      <c r="N5074" s="175"/>
      <c r="O5074" s="175"/>
      <c r="P5074" s="175" t="str">
        <f ca="1">IF(Proc[[#This Row],[DaysAgeing]]&gt;5,"yep","on track")</f>
        <v>yep</v>
      </c>
      <c r="Q5074" s="3">
        <f ca="1">IF(Proc[[#This Row],[DateClosed]]="",ABS(NETWORKDAYS(Proc[[#This Row],[DateOpened]],TODAY()))-1,ABS(NETWORKDAYS(Proc[[#This Row],[DateOpened]],Proc[[#This Row],[DateClosed]]))-1)</f>
        <v>22</v>
      </c>
      <c r="R5074" s="175" t="s">
        <v>489</v>
      </c>
      <c r="S5074" s="150"/>
    </row>
    <row r="5075" spans="1:19" hidden="1">
      <c r="A5075" s="149" t="s">
        <v>7304</v>
      </c>
      <c r="B5075" s="150" t="str">
        <f>IFERROR(VLOOKUP(Proc[[#This Row],[App]],Table2[],3,0),"open")</f>
        <v>ok</v>
      </c>
      <c r="C5075" s="149" t="s">
        <v>369</v>
      </c>
      <c r="D5075" t="s">
        <v>7316</v>
      </c>
      <c r="E5075" t="s">
        <v>7337</v>
      </c>
      <c r="F5075" s="150" t="s">
        <v>7337</v>
      </c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1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6435</v>
      </c>
      <c r="M5075" s="175">
        <v>45999</v>
      </c>
      <c r="N5075" s="175"/>
      <c r="O5075" s="175"/>
      <c r="P5075" s="175" t="str">
        <f ca="1">IF(Proc[[#This Row],[DaysAgeing]]&gt;5,"yep","on track")</f>
        <v>yep</v>
      </c>
      <c r="Q5075" s="3">
        <f ca="1">IF(Proc[[#This Row],[DateClosed]]="",ABS(NETWORKDAYS(Proc[[#This Row],[DateOpened]],TODAY()))-1,ABS(NETWORKDAYS(Proc[[#This Row],[DateOpened]],Proc[[#This Row],[DateClosed]]))-1)</f>
        <v>22</v>
      </c>
      <c r="R5075" s="175" t="s">
        <v>489</v>
      </c>
      <c r="S5075" s="150"/>
    </row>
    <row r="5076" spans="1:19" hidden="1">
      <c r="A5076" s="149" t="s">
        <v>7304</v>
      </c>
      <c r="B5076" s="150" t="str">
        <f>IFERROR(VLOOKUP(Proc[[#This Row],[App]],Table2[],3,0),"open")</f>
        <v>ok</v>
      </c>
      <c r="C5076" s="149" t="s">
        <v>369</v>
      </c>
      <c r="D5076" t="s">
        <v>7317</v>
      </c>
      <c r="E5076" t="s">
        <v>7337</v>
      </c>
      <c r="F5076" s="150" t="s">
        <v>7337</v>
      </c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1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6435</v>
      </c>
      <c r="M5076" s="175">
        <v>45999</v>
      </c>
      <c r="N5076" s="175"/>
      <c r="O5076" s="175"/>
      <c r="P5076" s="175" t="str">
        <f ca="1">IF(Proc[[#This Row],[DaysAgeing]]&gt;5,"yep","on track")</f>
        <v>yep</v>
      </c>
      <c r="Q5076" s="3">
        <f ca="1">IF(Proc[[#This Row],[DateClosed]]="",ABS(NETWORKDAYS(Proc[[#This Row],[DateOpened]],TODAY()))-1,ABS(NETWORKDAYS(Proc[[#This Row],[DateOpened]],Proc[[#This Row],[DateClosed]]))-1)</f>
        <v>22</v>
      </c>
      <c r="R5076" s="175" t="s">
        <v>489</v>
      </c>
      <c r="S5076" s="150"/>
    </row>
    <row r="5077" spans="1:19" hidden="1">
      <c r="A5077" s="149" t="s">
        <v>7304</v>
      </c>
      <c r="B5077" s="150" t="str">
        <f>IFERROR(VLOOKUP(Proc[[#This Row],[App]],Table2[],3,0),"open")</f>
        <v>ok</v>
      </c>
      <c r="C5077" s="149" t="s">
        <v>369</v>
      </c>
      <c r="D5077" t="s">
        <v>7318</v>
      </c>
      <c r="E5077" t="s">
        <v>6956</v>
      </c>
      <c r="F5077" s="150" t="s">
        <v>6956</v>
      </c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1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6435</v>
      </c>
      <c r="M5077" s="175">
        <v>45999</v>
      </c>
      <c r="N5077" s="175"/>
      <c r="O5077" s="175"/>
      <c r="P5077" s="175" t="str">
        <f ca="1">IF(Proc[[#This Row],[DaysAgeing]]&gt;5,"yep","on track")</f>
        <v>yep</v>
      </c>
      <c r="Q5077" s="3">
        <f ca="1">IF(Proc[[#This Row],[DateClosed]]="",ABS(NETWORKDAYS(Proc[[#This Row],[DateOpened]],TODAY()))-1,ABS(NETWORKDAYS(Proc[[#This Row],[DateOpened]],Proc[[#This Row],[DateClosed]]))-1)</f>
        <v>22</v>
      </c>
      <c r="R5077" s="175" t="s">
        <v>489</v>
      </c>
      <c r="S5077" s="150"/>
    </row>
    <row r="5078" spans="1:19" hidden="1">
      <c r="A5078" s="149" t="s">
        <v>7304</v>
      </c>
      <c r="B5078" s="150" t="str">
        <f>IFERROR(VLOOKUP(Proc[[#This Row],[App]],Table2[],3,0),"open")</f>
        <v>ok</v>
      </c>
      <c r="C5078" s="149" t="s">
        <v>369</v>
      </c>
      <c r="D5078" t="s">
        <v>7319</v>
      </c>
      <c r="E5078" t="s">
        <v>7338</v>
      </c>
      <c r="F5078" s="150" t="s">
        <v>7338</v>
      </c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1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6435</v>
      </c>
      <c r="M5078" s="175">
        <v>45999</v>
      </c>
      <c r="N5078" s="175"/>
      <c r="O5078" s="175"/>
      <c r="P5078" s="175" t="str">
        <f ca="1">IF(Proc[[#This Row],[DaysAgeing]]&gt;5,"yep","on track")</f>
        <v>yep</v>
      </c>
      <c r="Q5078" s="3">
        <f ca="1">IF(Proc[[#This Row],[DateClosed]]="",ABS(NETWORKDAYS(Proc[[#This Row],[DateOpened]],TODAY()))-1,ABS(NETWORKDAYS(Proc[[#This Row],[DateOpened]],Proc[[#This Row],[DateClosed]]))-1)</f>
        <v>22</v>
      </c>
      <c r="R5078" s="175" t="s">
        <v>489</v>
      </c>
      <c r="S5078" s="150"/>
    </row>
    <row r="5079" spans="1:19" hidden="1">
      <c r="A5079" s="149" t="s">
        <v>7304</v>
      </c>
      <c r="B5079" s="150" t="str">
        <f>IFERROR(VLOOKUP(Proc[[#This Row],[App]],Table2[],3,0),"open")</f>
        <v>ok</v>
      </c>
      <c r="C5079" s="149" t="s">
        <v>369</v>
      </c>
      <c r="D5079" t="s">
        <v>7320</v>
      </c>
      <c r="E5079" t="s">
        <v>7338</v>
      </c>
      <c r="F5079" s="150" t="s">
        <v>7338</v>
      </c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1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6435</v>
      </c>
      <c r="M5079" s="175">
        <v>45999</v>
      </c>
      <c r="N5079" s="175"/>
      <c r="O5079" s="175"/>
      <c r="P5079" s="175" t="str">
        <f ca="1">IF(Proc[[#This Row],[DaysAgeing]]&gt;5,"yep","on track")</f>
        <v>yep</v>
      </c>
      <c r="Q5079" s="3">
        <f ca="1">IF(Proc[[#This Row],[DateClosed]]="",ABS(NETWORKDAYS(Proc[[#This Row],[DateOpened]],TODAY()))-1,ABS(NETWORKDAYS(Proc[[#This Row],[DateOpened]],Proc[[#This Row],[DateClosed]]))-1)</f>
        <v>22</v>
      </c>
      <c r="R5079" s="175" t="s">
        <v>489</v>
      </c>
      <c r="S5079" s="150"/>
    </row>
    <row r="5080" spans="1:19" hidden="1">
      <c r="A5080" s="149" t="s">
        <v>7304</v>
      </c>
      <c r="B5080" s="150" t="str">
        <f>IFERROR(VLOOKUP(Proc[[#This Row],[App]],Table2[],3,0),"open")</f>
        <v>ok</v>
      </c>
      <c r="C5080" s="149" t="s">
        <v>369</v>
      </c>
      <c r="D5080" t="s">
        <v>7321</v>
      </c>
      <c r="E5080" t="s">
        <v>7338</v>
      </c>
      <c r="F5080" s="150" t="s">
        <v>7338</v>
      </c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1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6435</v>
      </c>
      <c r="M5080" s="175">
        <v>45999</v>
      </c>
      <c r="N5080" s="175"/>
      <c r="O5080" s="175"/>
      <c r="P5080" s="175" t="str">
        <f ca="1">IF(Proc[[#This Row],[DaysAgeing]]&gt;5,"yep","on track")</f>
        <v>yep</v>
      </c>
      <c r="Q5080" s="3">
        <f ca="1">IF(Proc[[#This Row],[DateClosed]]="",ABS(NETWORKDAYS(Proc[[#This Row],[DateOpened]],TODAY()))-1,ABS(NETWORKDAYS(Proc[[#This Row],[DateOpened]],Proc[[#This Row],[DateClosed]]))-1)</f>
        <v>22</v>
      </c>
      <c r="R5080" s="175" t="s">
        <v>489</v>
      </c>
      <c r="S5080" s="150"/>
    </row>
    <row r="5081" spans="1:19" hidden="1">
      <c r="A5081" s="149" t="s">
        <v>7304</v>
      </c>
      <c r="B5081" s="150" t="str">
        <f>IFERROR(VLOOKUP(Proc[[#This Row],[App]],Table2[],3,0),"open")</f>
        <v>ok</v>
      </c>
      <c r="C5081" s="149" t="s">
        <v>369</v>
      </c>
      <c r="D5081" t="s">
        <v>7322</v>
      </c>
      <c r="E5081" t="s">
        <v>7338</v>
      </c>
      <c r="F5081" s="150" t="s">
        <v>7338</v>
      </c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1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6435</v>
      </c>
      <c r="M5081" s="175">
        <v>45999</v>
      </c>
      <c r="N5081" s="175"/>
      <c r="O5081" s="175"/>
      <c r="P5081" s="175" t="str">
        <f ca="1">IF(Proc[[#This Row],[DaysAgeing]]&gt;5,"yep","on track")</f>
        <v>yep</v>
      </c>
      <c r="Q5081" s="3">
        <f ca="1">IF(Proc[[#This Row],[DateClosed]]="",ABS(NETWORKDAYS(Proc[[#This Row],[DateOpened]],TODAY()))-1,ABS(NETWORKDAYS(Proc[[#This Row],[DateOpened]],Proc[[#This Row],[DateClosed]]))-1)</f>
        <v>22</v>
      </c>
      <c r="R5081" s="175" t="s">
        <v>489</v>
      </c>
      <c r="S5081" s="150"/>
    </row>
    <row r="5082" spans="1:19" hidden="1">
      <c r="A5082" s="149" t="s">
        <v>7304</v>
      </c>
      <c r="B5082" s="150" t="str">
        <f>IFERROR(VLOOKUP(Proc[[#This Row],[App]],Table2[],3,0),"open")</f>
        <v>ok</v>
      </c>
      <c r="C5082" s="149" t="s">
        <v>369</v>
      </c>
      <c r="D5082" t="s">
        <v>7323</v>
      </c>
      <c r="E5082" t="s">
        <v>7338</v>
      </c>
      <c r="F5082" s="150" t="s">
        <v>7338</v>
      </c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1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6435</v>
      </c>
      <c r="M5082" s="175">
        <v>45999</v>
      </c>
      <c r="N5082" s="175"/>
      <c r="O5082" s="175"/>
      <c r="P5082" s="175" t="str">
        <f ca="1">IF(Proc[[#This Row],[DaysAgeing]]&gt;5,"yep","on track")</f>
        <v>yep</v>
      </c>
      <c r="Q5082" s="3">
        <f ca="1">IF(Proc[[#This Row],[DateClosed]]="",ABS(NETWORKDAYS(Proc[[#This Row],[DateOpened]],TODAY()))-1,ABS(NETWORKDAYS(Proc[[#This Row],[DateOpened]],Proc[[#This Row],[DateClosed]]))-1)</f>
        <v>22</v>
      </c>
      <c r="R5082" s="175" t="s">
        <v>489</v>
      </c>
      <c r="S5082" s="150"/>
    </row>
    <row r="5083" spans="1:19" hidden="1">
      <c r="A5083" s="149" t="s">
        <v>7304</v>
      </c>
      <c r="B5083" s="150" t="str">
        <f>IFERROR(VLOOKUP(Proc[[#This Row],[App]],Table2[],3,0),"open")</f>
        <v>ok</v>
      </c>
      <c r="C5083" s="149" t="s">
        <v>369</v>
      </c>
      <c r="D5083" t="s">
        <v>7324</v>
      </c>
      <c r="E5083" t="s">
        <v>7338</v>
      </c>
      <c r="F5083" s="150" t="s">
        <v>7338</v>
      </c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1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6435</v>
      </c>
      <c r="M5083" s="175">
        <v>45999</v>
      </c>
      <c r="N5083" s="175"/>
      <c r="O5083" s="175"/>
      <c r="P5083" s="175" t="str">
        <f ca="1">IF(Proc[[#This Row],[DaysAgeing]]&gt;5,"yep","on track")</f>
        <v>yep</v>
      </c>
      <c r="Q5083" s="3">
        <f ca="1">IF(Proc[[#This Row],[DateClosed]]="",ABS(NETWORKDAYS(Proc[[#This Row],[DateOpened]],TODAY()))-1,ABS(NETWORKDAYS(Proc[[#This Row],[DateOpened]],Proc[[#This Row],[DateClosed]]))-1)</f>
        <v>22</v>
      </c>
      <c r="R5083" s="175" t="s">
        <v>489</v>
      </c>
      <c r="S5083" s="150"/>
    </row>
    <row r="5084" spans="1:19" hidden="1">
      <c r="A5084" s="149" t="s">
        <v>7304</v>
      </c>
      <c r="B5084" s="150" t="str">
        <f>IFERROR(VLOOKUP(Proc[[#This Row],[App]],Table2[],3,0),"open")</f>
        <v>ok</v>
      </c>
      <c r="C5084" s="149" t="s">
        <v>369</v>
      </c>
      <c r="D5084" t="s">
        <v>7325</v>
      </c>
      <c r="E5084" t="s">
        <v>7338</v>
      </c>
      <c r="F5084" s="150" t="s">
        <v>7338</v>
      </c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1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6435</v>
      </c>
      <c r="M5084" s="175">
        <v>45999</v>
      </c>
      <c r="N5084" s="175"/>
      <c r="O5084" s="175"/>
      <c r="P5084" s="175" t="str">
        <f ca="1">IF(Proc[[#This Row],[DaysAgeing]]&gt;5,"yep","on track")</f>
        <v>yep</v>
      </c>
      <c r="Q5084" s="3">
        <f ca="1">IF(Proc[[#This Row],[DateClosed]]="",ABS(NETWORKDAYS(Proc[[#This Row],[DateOpened]],TODAY()))-1,ABS(NETWORKDAYS(Proc[[#This Row],[DateOpened]],Proc[[#This Row],[DateClosed]]))-1)</f>
        <v>22</v>
      </c>
      <c r="R5084" s="175" t="s">
        <v>489</v>
      </c>
      <c r="S5084" s="150"/>
    </row>
    <row r="5085" spans="1:19" hidden="1">
      <c r="A5085" s="149" t="s">
        <v>7304</v>
      </c>
      <c r="B5085" s="150" t="str">
        <f>IFERROR(VLOOKUP(Proc[[#This Row],[App]],Table2[],3,0),"open")</f>
        <v>ok</v>
      </c>
      <c r="C5085" s="149" t="s">
        <v>369</v>
      </c>
      <c r="D5085" t="s">
        <v>7326</v>
      </c>
      <c r="E5085" t="s">
        <v>7338</v>
      </c>
      <c r="F5085" s="150" t="s">
        <v>7338</v>
      </c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1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6435</v>
      </c>
      <c r="M5085" s="175">
        <v>45999</v>
      </c>
      <c r="N5085" s="175"/>
      <c r="O5085" s="175"/>
      <c r="P5085" s="175" t="str">
        <f ca="1">IF(Proc[[#This Row],[DaysAgeing]]&gt;5,"yep","on track")</f>
        <v>yep</v>
      </c>
      <c r="Q5085" s="3">
        <f ca="1">IF(Proc[[#This Row],[DateClosed]]="",ABS(NETWORKDAYS(Proc[[#This Row],[DateOpened]],TODAY()))-1,ABS(NETWORKDAYS(Proc[[#This Row],[DateOpened]],Proc[[#This Row],[DateClosed]]))-1)</f>
        <v>22</v>
      </c>
      <c r="R5085" s="175" t="s">
        <v>489</v>
      </c>
      <c r="S5085" s="150"/>
    </row>
    <row r="5086" spans="1:19" hidden="1">
      <c r="A5086" s="149" t="s">
        <v>7304</v>
      </c>
      <c r="B5086" s="150" t="str">
        <f>IFERROR(VLOOKUP(Proc[[#This Row],[App]],Table2[],3,0),"open")</f>
        <v>ok</v>
      </c>
      <c r="C5086" s="149" t="s">
        <v>369</v>
      </c>
      <c r="D5086" t="s">
        <v>7327</v>
      </c>
      <c r="E5086" t="s">
        <v>7339</v>
      </c>
      <c r="F5086" s="150" t="s">
        <v>7339</v>
      </c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1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6435</v>
      </c>
      <c r="M5086" s="175">
        <v>45999</v>
      </c>
      <c r="N5086" s="175"/>
      <c r="O5086" s="175"/>
      <c r="P5086" s="175" t="str">
        <f ca="1">IF(Proc[[#This Row],[DaysAgeing]]&gt;5,"yep","on track")</f>
        <v>yep</v>
      </c>
      <c r="Q5086" s="3">
        <f ca="1">IF(Proc[[#This Row],[DateClosed]]="",ABS(NETWORKDAYS(Proc[[#This Row],[DateOpened]],TODAY()))-1,ABS(NETWORKDAYS(Proc[[#This Row],[DateOpened]],Proc[[#This Row],[DateClosed]]))-1)</f>
        <v>22</v>
      </c>
      <c r="R5086" s="175" t="s">
        <v>489</v>
      </c>
      <c r="S5086" s="150"/>
    </row>
    <row r="5087" spans="1:19" hidden="1">
      <c r="A5087" s="149" t="s">
        <v>7304</v>
      </c>
      <c r="B5087" s="150" t="str">
        <f>IFERROR(VLOOKUP(Proc[[#This Row],[App]],Table2[],3,0),"open")</f>
        <v>ok</v>
      </c>
      <c r="C5087" s="149" t="s">
        <v>369</v>
      </c>
      <c r="D5087" t="s">
        <v>7328</v>
      </c>
      <c r="E5087" t="s">
        <v>7340</v>
      </c>
      <c r="F5087" s="150" t="s">
        <v>7340</v>
      </c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1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6435</v>
      </c>
      <c r="M5087" s="175">
        <v>45999</v>
      </c>
      <c r="N5087" s="175"/>
      <c r="O5087" s="175"/>
      <c r="P5087" s="175" t="str">
        <f ca="1">IF(Proc[[#This Row],[DaysAgeing]]&gt;5,"yep","on track")</f>
        <v>yep</v>
      </c>
      <c r="Q5087" s="3">
        <f ca="1">IF(Proc[[#This Row],[DateClosed]]="",ABS(NETWORKDAYS(Proc[[#This Row],[DateOpened]],TODAY()))-1,ABS(NETWORKDAYS(Proc[[#This Row],[DateOpened]],Proc[[#This Row],[DateClosed]]))-1)</f>
        <v>22</v>
      </c>
      <c r="R5087" s="175" t="s">
        <v>489</v>
      </c>
      <c r="S5087" s="150"/>
    </row>
    <row r="5088" spans="1:19" hidden="1">
      <c r="A5088" s="149" t="s">
        <v>7304</v>
      </c>
      <c r="B5088" s="150" t="str">
        <f>IFERROR(VLOOKUP(Proc[[#This Row],[App]],Table2[],3,0),"open")</f>
        <v>ok</v>
      </c>
      <c r="C5088" s="149" t="s">
        <v>369</v>
      </c>
      <c r="D5088" t="s">
        <v>7329</v>
      </c>
      <c r="E5088" t="s">
        <v>7341</v>
      </c>
      <c r="F5088" s="150" t="s">
        <v>7341</v>
      </c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1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6435</v>
      </c>
      <c r="M5088" s="175">
        <v>45999</v>
      </c>
      <c r="N5088" s="175"/>
      <c r="O5088" s="175"/>
      <c r="P5088" s="175" t="str">
        <f ca="1">IF(Proc[[#This Row],[DaysAgeing]]&gt;5,"yep","on track")</f>
        <v>yep</v>
      </c>
      <c r="Q5088" s="3">
        <f ca="1">IF(Proc[[#This Row],[DateClosed]]="",ABS(NETWORKDAYS(Proc[[#This Row],[DateOpened]],TODAY()))-1,ABS(NETWORKDAYS(Proc[[#This Row],[DateOpened]],Proc[[#This Row],[DateClosed]]))-1)</f>
        <v>22</v>
      </c>
      <c r="R5088" s="175" t="s">
        <v>489</v>
      </c>
      <c r="S5088" s="150"/>
    </row>
    <row r="5089" spans="1:19" hidden="1">
      <c r="A5089" s="149" t="s">
        <v>7304</v>
      </c>
      <c r="B5089" s="150" t="str">
        <f>IFERROR(VLOOKUP(Proc[[#This Row],[App]],Table2[],3,0),"open")</f>
        <v>ok</v>
      </c>
      <c r="C5089" s="149" t="s">
        <v>369</v>
      </c>
      <c r="D5089" t="s">
        <v>7330</v>
      </c>
      <c r="E5089" t="s">
        <v>4100</v>
      </c>
      <c r="F5089" s="150" t="s">
        <v>4100</v>
      </c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1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6435</v>
      </c>
      <c r="M5089" s="175">
        <v>45999</v>
      </c>
      <c r="N5089" s="175"/>
      <c r="O5089" s="175"/>
      <c r="P5089" s="175" t="str">
        <f ca="1">IF(Proc[[#This Row],[DaysAgeing]]&gt;5,"yep","on track")</f>
        <v>yep</v>
      </c>
      <c r="Q5089" s="3">
        <f ca="1">IF(Proc[[#This Row],[DateClosed]]="",ABS(NETWORKDAYS(Proc[[#This Row],[DateOpened]],TODAY()))-1,ABS(NETWORKDAYS(Proc[[#This Row],[DateOpened]],Proc[[#This Row],[DateClosed]]))-1)</f>
        <v>22</v>
      </c>
      <c r="R5089" s="175" t="s">
        <v>489</v>
      </c>
      <c r="S5089" s="150"/>
    </row>
    <row r="5090" spans="1:19" hidden="1">
      <c r="A5090" t="s">
        <v>7343</v>
      </c>
      <c r="B5090" s="150" t="str">
        <f>IFERROR(VLOOKUP(Proc[[#This Row],[App]],Table2[],3,0),"open")</f>
        <v>open</v>
      </c>
      <c r="C5090" s="149" t="s">
        <v>692</v>
      </c>
      <c r="D5090" t="s">
        <v>7342</v>
      </c>
      <c r="E5090" t="s">
        <v>4829</v>
      </c>
      <c r="F5090" s="150" t="s">
        <v>7407</v>
      </c>
      <c r="G5090" s="149" t="s">
        <v>400</v>
      </c>
      <c r="H5090" s="150" t="str">
        <f>IF(Proc[[#This Row],[type]]="LFF (MDG-F)",MID(Proc[[#This Row],[Obj]],13,10),"")</f>
        <v/>
      </c>
      <c r="J5090" s="150" t="b">
        <f>Proc[[#This Row],[Requested]]=Proc[[#This Row],[CurrentParent]]</f>
        <v>0</v>
      </c>
      <c r="K5090" s="150" t="str">
        <f>IF(Proc[[#This Row],[Author]]="Marcela Urrego",VLOOKUP(LEFT(Proc[[#This Row],[Requested]],1),Table3[#All],2,0),VLOOKUP(Proc[[#This Row],[Author]],Table4[],2,0))</f>
        <v>HC</v>
      </c>
      <c r="L5090" s="150" t="s">
        <v>6435</v>
      </c>
      <c r="M5090" s="175">
        <v>45999</v>
      </c>
      <c r="N5090" s="175"/>
      <c r="O5090" s="175"/>
      <c r="P5090" s="175" t="str">
        <f ca="1">IF(Proc[[#This Row],[DaysAgeing]]&gt;5,"yep","on track")</f>
        <v>yep</v>
      </c>
      <c r="Q5090" s="3">
        <f ca="1">IF(Proc[[#This Row],[DateClosed]]="",ABS(NETWORKDAYS(Proc[[#This Row],[DateOpened]],TODAY()))-1,ABS(NETWORKDAYS(Proc[[#This Row],[DateOpened]],Proc[[#This Row],[DateClosed]]))-1)</f>
        <v>22</v>
      </c>
      <c r="R5090" s="175" t="s">
        <v>415</v>
      </c>
      <c r="S5090" s="150"/>
    </row>
    <row r="5091" spans="1:19" hidden="1">
      <c r="A5091" t="s">
        <v>7352</v>
      </c>
      <c r="B5091" s="150" t="str">
        <f>IFERROR(VLOOKUP(Proc[[#This Row],[App]],Table2[],3,0),"open")</f>
        <v>ok</v>
      </c>
      <c r="C5091" s="149" t="s">
        <v>369</v>
      </c>
      <c r="D5091" t="s">
        <v>7344</v>
      </c>
      <c r="E5091" t="s">
        <v>7349</v>
      </c>
      <c r="F5091" s="150" t="s">
        <v>7349</v>
      </c>
      <c r="G5091" t="s">
        <v>400</v>
      </c>
      <c r="H5091" s="150" t="str">
        <f>IF(Proc[[#This Row],[type]]="LFF (MDG-F)",MID(Proc[[#This Row],[Obj]],13,10),"")</f>
        <v/>
      </c>
      <c r="J5091" s="150" t="b">
        <f>Proc[[#This Row],[Requested]]=Proc[[#This Row],[CurrentParent]]</f>
        <v>1</v>
      </c>
      <c r="K5091" s="150" t="str">
        <f>IF(Proc[[#This Row],[Author]]="Marcela Urrego",VLOOKUP(LEFT(Proc[[#This Row],[Requested]],1),Table3[#All],2,0),VLOOKUP(Proc[[#This Row],[Author]],Table4[],2,0))</f>
        <v>LS</v>
      </c>
      <c r="L5091" s="150" t="s">
        <v>6435</v>
      </c>
      <c r="M5091" s="175">
        <v>45999</v>
      </c>
      <c r="N5091" s="175"/>
      <c r="O5091" s="175"/>
      <c r="P5091" s="175" t="str">
        <f ca="1">IF(Proc[[#This Row],[DaysAgeing]]&gt;5,"yep","on track")</f>
        <v>yep</v>
      </c>
      <c r="Q5091" s="3">
        <f ca="1">IF(Proc[[#This Row],[DateClosed]]="",ABS(NETWORKDAYS(Proc[[#This Row],[DateOpened]],TODAY()))-1,ABS(NETWORKDAYS(Proc[[#This Row],[DateOpened]],Proc[[#This Row],[DateClosed]]))-1)</f>
        <v>22</v>
      </c>
      <c r="R5091" s="175" t="s">
        <v>489</v>
      </c>
      <c r="S5091" s="150"/>
    </row>
    <row r="5092" spans="1:19" hidden="1">
      <c r="A5092" s="149" t="s">
        <v>7352</v>
      </c>
      <c r="B5092" s="150" t="str">
        <f>IFERROR(VLOOKUP(Proc[[#This Row],[App]],Table2[],3,0),"open")</f>
        <v>ok</v>
      </c>
      <c r="C5092" s="149" t="s">
        <v>369</v>
      </c>
      <c r="D5092" t="s">
        <v>7345</v>
      </c>
      <c r="E5092" t="s">
        <v>7350</v>
      </c>
      <c r="F5092" s="149" t="s">
        <v>7350</v>
      </c>
      <c r="G5092" t="s">
        <v>406</v>
      </c>
      <c r="H5092" s="150" t="str">
        <f>IF(Proc[[#This Row],[type]]="LFF (MDG-F)",MID(Proc[[#This Row],[Obj]],13,10),"")</f>
        <v>DE10Z0319A</v>
      </c>
      <c r="J5092" s="150" t="b">
        <f>Proc[[#This Row],[Requested]]=Proc[[#This Row],[CurrentParent]]</f>
        <v>1</v>
      </c>
      <c r="K5092" s="150" t="str">
        <f>IF(Proc[[#This Row],[Author]]="Marcela Urrego",VLOOKUP(LEFT(Proc[[#This Row],[Requested]],1),Table3[#All],2,0),VLOOKUP(Proc[[#This Row],[Author]],Table4[],2,0))</f>
        <v>LS</v>
      </c>
      <c r="L5092" s="150" t="s">
        <v>6435</v>
      </c>
      <c r="M5092" s="175">
        <v>45999</v>
      </c>
      <c r="N5092" s="175"/>
      <c r="O5092" s="175"/>
      <c r="P5092" s="175" t="str">
        <f ca="1">IF(Proc[[#This Row],[DaysAgeing]]&gt;5,"yep","on track")</f>
        <v>yep</v>
      </c>
      <c r="Q5092" s="3">
        <f ca="1">IF(Proc[[#This Row],[DateClosed]]="",ABS(NETWORKDAYS(Proc[[#This Row],[DateOpened]],TODAY()))-1,ABS(NETWORKDAYS(Proc[[#This Row],[DateOpened]],Proc[[#This Row],[DateClosed]]))-1)</f>
        <v>22</v>
      </c>
      <c r="R5092" s="175" t="s">
        <v>489</v>
      </c>
      <c r="S5092" s="150"/>
    </row>
    <row r="5093" spans="1:19" hidden="1">
      <c r="A5093" s="149" t="s">
        <v>7352</v>
      </c>
      <c r="B5093" s="150" t="str">
        <f>IFERROR(VLOOKUP(Proc[[#This Row],[App]],Table2[],3,0),"open")</f>
        <v>ok</v>
      </c>
      <c r="C5093" s="149" t="s">
        <v>369</v>
      </c>
      <c r="D5093" t="s">
        <v>7346</v>
      </c>
      <c r="E5093" t="s">
        <v>7350</v>
      </c>
      <c r="F5093" s="150" t="s">
        <v>7350</v>
      </c>
      <c r="G5093" s="149" t="s">
        <v>400</v>
      </c>
      <c r="H5093" s="150" t="str">
        <f>IF(Proc[[#This Row],[type]]="LFF (MDG-F)",MID(Proc[[#This Row],[Obj]],13,10),"")</f>
        <v/>
      </c>
      <c r="J5093" s="150" t="b">
        <f>Proc[[#This Row],[Requested]]=Proc[[#This Row],[CurrentParent]]</f>
        <v>1</v>
      </c>
      <c r="K5093" s="150" t="str">
        <f>IF(Proc[[#This Row],[Author]]="Marcela Urrego",VLOOKUP(LEFT(Proc[[#This Row],[Requested]],1),Table3[#All],2,0),VLOOKUP(Proc[[#This Row],[Author]],Table4[],2,0))</f>
        <v>LS</v>
      </c>
      <c r="L5093" s="150" t="s">
        <v>6435</v>
      </c>
      <c r="M5093" s="175">
        <v>45999</v>
      </c>
      <c r="N5093" s="175"/>
      <c r="O5093" s="175"/>
      <c r="P5093" s="175" t="str">
        <f ca="1">IF(Proc[[#This Row],[DaysAgeing]]&gt;5,"yep","on track")</f>
        <v>yep</v>
      </c>
      <c r="Q5093" s="3">
        <f ca="1">IF(Proc[[#This Row],[DateClosed]]="",ABS(NETWORKDAYS(Proc[[#This Row],[DateOpened]],TODAY()))-1,ABS(NETWORKDAYS(Proc[[#This Row],[DateOpened]],Proc[[#This Row],[DateClosed]]))-1)</f>
        <v>22</v>
      </c>
      <c r="R5093" s="175" t="s">
        <v>489</v>
      </c>
      <c r="S5093" s="150"/>
    </row>
    <row r="5094" spans="1:19" hidden="1">
      <c r="A5094" s="149" t="s">
        <v>7352</v>
      </c>
      <c r="B5094" s="150" t="str">
        <f>IFERROR(VLOOKUP(Proc[[#This Row],[App]],Table2[],3,0),"open")</f>
        <v>ok</v>
      </c>
      <c r="C5094" s="149" t="s">
        <v>369</v>
      </c>
      <c r="D5094" t="s">
        <v>7347</v>
      </c>
      <c r="E5094" t="s">
        <v>7350</v>
      </c>
      <c r="F5094" s="150" t="s">
        <v>7350</v>
      </c>
      <c r="G5094" s="149" t="s">
        <v>400</v>
      </c>
      <c r="H5094" s="150" t="str">
        <f>IF(Proc[[#This Row],[type]]="LFF (MDG-F)",MID(Proc[[#This Row],[Obj]],13,10),"")</f>
        <v/>
      </c>
      <c r="J5094" s="150" t="b">
        <f>Proc[[#This Row],[Requested]]=Proc[[#This Row],[CurrentParent]]</f>
        <v>1</v>
      </c>
      <c r="K5094" s="150" t="str">
        <f>IF(Proc[[#This Row],[Author]]="Marcela Urrego",VLOOKUP(LEFT(Proc[[#This Row],[Requested]],1),Table3[#All],2,0),VLOOKUP(Proc[[#This Row],[Author]],Table4[],2,0))</f>
        <v>LS</v>
      </c>
      <c r="L5094" s="150" t="s">
        <v>6435</v>
      </c>
      <c r="M5094" s="175">
        <v>45999</v>
      </c>
      <c r="N5094" s="175"/>
      <c r="O5094" s="175"/>
      <c r="P5094" s="175" t="str">
        <f ca="1">IF(Proc[[#This Row],[DaysAgeing]]&gt;5,"yep","on track")</f>
        <v>yep</v>
      </c>
      <c r="Q5094" s="3">
        <f ca="1">IF(Proc[[#This Row],[DateClosed]]="",ABS(NETWORKDAYS(Proc[[#This Row],[DateOpened]],TODAY()))-1,ABS(NETWORKDAYS(Proc[[#This Row],[DateOpened]],Proc[[#This Row],[DateClosed]]))-1)</f>
        <v>22</v>
      </c>
      <c r="R5094" s="175" t="s">
        <v>489</v>
      </c>
      <c r="S5094" s="150"/>
    </row>
    <row r="5095" spans="1:19" hidden="1">
      <c r="A5095" s="149" t="s">
        <v>7352</v>
      </c>
      <c r="B5095" s="150" t="str">
        <f>IFERROR(VLOOKUP(Proc[[#This Row],[App]],Table2[],3,0),"open")</f>
        <v>ok</v>
      </c>
      <c r="C5095" s="149" t="s">
        <v>369</v>
      </c>
      <c r="D5095" t="s">
        <v>7348</v>
      </c>
      <c r="E5095" t="s">
        <v>7351</v>
      </c>
      <c r="F5095" s="150" t="s">
        <v>7351</v>
      </c>
      <c r="G5095" s="149" t="s">
        <v>400</v>
      </c>
      <c r="H5095" s="150" t="str">
        <f>IF(Proc[[#This Row],[type]]="LFF (MDG-F)",MID(Proc[[#This Row],[Obj]],13,10),"")</f>
        <v/>
      </c>
      <c r="J5095" s="150" t="b">
        <f>Proc[[#This Row],[Requested]]=Proc[[#This Row],[CurrentParent]]</f>
        <v>1</v>
      </c>
      <c r="K5095" s="150" t="str">
        <f>IF(Proc[[#This Row],[Author]]="Marcela Urrego",VLOOKUP(LEFT(Proc[[#This Row],[Requested]],1),Table3[#All],2,0),VLOOKUP(Proc[[#This Row],[Author]],Table4[],2,0))</f>
        <v>LS</v>
      </c>
      <c r="L5095" s="150" t="s">
        <v>6435</v>
      </c>
      <c r="M5095" s="175">
        <v>45999</v>
      </c>
      <c r="N5095" s="175"/>
      <c r="O5095" s="175"/>
      <c r="P5095" s="175" t="str">
        <f ca="1">IF(Proc[[#This Row],[DaysAgeing]]&gt;5,"yep","on track")</f>
        <v>yep</v>
      </c>
      <c r="Q5095" s="3">
        <f ca="1">IF(Proc[[#This Row],[DateClosed]]="",ABS(NETWORKDAYS(Proc[[#This Row],[DateOpened]],TODAY()))-1,ABS(NETWORKDAYS(Proc[[#This Row],[DateOpened]],Proc[[#This Row],[DateClosed]]))-1)</f>
        <v>22</v>
      </c>
      <c r="R5095" s="175" t="s">
        <v>489</v>
      </c>
      <c r="S5095" s="150"/>
    </row>
    <row r="5096" spans="1:19" hidden="1">
      <c r="A5096" t="s">
        <v>7353</v>
      </c>
      <c r="B5096" s="150" t="str">
        <f>IFERROR(VLOOKUP(Proc[[#This Row],[App]],Table2[],3,0),"open")</f>
        <v>ok</v>
      </c>
      <c r="C5096" s="149" t="s">
        <v>369</v>
      </c>
      <c r="D5096" t="s">
        <v>7354</v>
      </c>
      <c r="E5096" t="s">
        <v>419</v>
      </c>
      <c r="F5096" s="150" t="s">
        <v>419</v>
      </c>
      <c r="G5096" t="s">
        <v>400</v>
      </c>
      <c r="H5096" s="150" t="str">
        <f>IF(Proc[[#This Row],[type]]="LFF (MDG-F)",MID(Proc[[#This Row],[Obj]],13,10),"")</f>
        <v/>
      </c>
      <c r="J5096" s="150" t="b">
        <f>Proc[[#This Row],[Requested]]=Proc[[#This Row],[CurrentParent]]</f>
        <v>1</v>
      </c>
      <c r="K5096" s="150" t="str">
        <f>IF(Proc[[#This Row],[Author]]="Marcela Urrego",VLOOKUP(LEFT(Proc[[#This Row],[Requested]],1),Table3[#All],2,0),VLOOKUP(Proc[[#This Row],[Author]],Table4[],2,0))</f>
        <v>EL</v>
      </c>
      <c r="L5096" s="150" t="s">
        <v>6435</v>
      </c>
      <c r="M5096" s="175">
        <v>46001</v>
      </c>
      <c r="N5096" s="175"/>
      <c r="O5096" s="175"/>
      <c r="P5096" s="175" t="str">
        <f ca="1">IF(Proc[[#This Row],[DaysAgeing]]&gt;5,"yep","on track")</f>
        <v>yep</v>
      </c>
      <c r="Q5096" s="3">
        <f ca="1">IF(Proc[[#This Row],[DateClosed]]="",ABS(NETWORKDAYS(Proc[[#This Row],[DateOpened]],TODAY()))-1,ABS(NETWORKDAYS(Proc[[#This Row],[DateOpened]],Proc[[#This Row],[DateClosed]]))-1)</f>
        <v>20</v>
      </c>
      <c r="R5096" s="175" t="s">
        <v>5709</v>
      </c>
      <c r="S5096" s="150"/>
    </row>
    <row r="5097" spans="1:19" hidden="1">
      <c r="A5097" s="149" t="s">
        <v>7353</v>
      </c>
      <c r="B5097" s="150" t="str">
        <f>IFERROR(VLOOKUP(Proc[[#This Row],[App]],Table2[],3,0),"open")</f>
        <v>ok</v>
      </c>
      <c r="C5097" s="149" t="s">
        <v>369</v>
      </c>
      <c r="D5097" t="s">
        <v>7355</v>
      </c>
      <c r="E5097" s="149" t="s">
        <v>419</v>
      </c>
      <c r="F5097" s="150" t="s">
        <v>419</v>
      </c>
      <c r="G5097" s="149" t="s">
        <v>400</v>
      </c>
      <c r="H5097" s="150" t="str">
        <f>IF(Proc[[#This Row],[type]]="LFF (MDG-F)",MID(Proc[[#This Row],[Obj]],13,10),"")</f>
        <v/>
      </c>
      <c r="J5097" s="150" t="b">
        <f>Proc[[#This Row],[Requested]]=Proc[[#This Row],[CurrentParent]]</f>
        <v>1</v>
      </c>
      <c r="K5097" s="150" t="str">
        <f>IF(Proc[[#This Row],[Author]]="Marcela Urrego",VLOOKUP(LEFT(Proc[[#This Row],[Requested]],1),Table3[#All],2,0),VLOOKUP(Proc[[#This Row],[Author]],Table4[],2,0))</f>
        <v>EL</v>
      </c>
      <c r="L5097" s="150" t="s">
        <v>6435</v>
      </c>
      <c r="M5097" s="175">
        <v>46001</v>
      </c>
      <c r="N5097" s="175"/>
      <c r="O5097" s="175"/>
      <c r="P5097" s="175" t="str">
        <f ca="1">IF(Proc[[#This Row],[DaysAgeing]]&gt;5,"yep","on track")</f>
        <v>yep</v>
      </c>
      <c r="Q5097" s="3">
        <f ca="1">IF(Proc[[#This Row],[DateClosed]]="",ABS(NETWORKDAYS(Proc[[#This Row],[DateOpened]],TODAY()))-1,ABS(NETWORKDAYS(Proc[[#This Row],[DateOpened]],Proc[[#This Row],[DateClosed]]))-1)</f>
        <v>20</v>
      </c>
      <c r="R5097" s="175" t="s">
        <v>5709</v>
      </c>
      <c r="S5097" s="150"/>
    </row>
    <row r="5098" spans="1:19" hidden="1">
      <c r="A5098" s="149" t="s">
        <v>7353</v>
      </c>
      <c r="B5098" s="150" t="str">
        <f>IFERROR(VLOOKUP(Proc[[#This Row],[App]],Table2[],3,0),"open")</f>
        <v>ok</v>
      </c>
      <c r="C5098" s="149" t="s">
        <v>369</v>
      </c>
      <c r="D5098" t="s">
        <v>7356</v>
      </c>
      <c r="E5098" s="149" t="s">
        <v>419</v>
      </c>
      <c r="F5098" s="150" t="s">
        <v>419</v>
      </c>
      <c r="G5098" s="149" t="s">
        <v>400</v>
      </c>
      <c r="H5098" s="150"/>
      <c r="J5098" s="150" t="b">
        <f>Proc[[#This Row],[Requested]]=Proc[[#This Row],[CurrentParent]]</f>
        <v>1</v>
      </c>
      <c r="K5098" s="150" t="str">
        <f>IF(Proc[[#This Row],[Author]]="Marcela Urrego",VLOOKUP(LEFT(Proc[[#This Row],[Requested]],1),Table3[#All],2,0),VLOOKUP(Proc[[#This Row],[Author]],Table4[],2,0))</f>
        <v>EL</v>
      </c>
      <c r="L5098" s="150" t="s">
        <v>6435</v>
      </c>
      <c r="M5098" s="175">
        <v>46001</v>
      </c>
      <c r="N5098" s="175"/>
      <c r="O5098" s="175"/>
      <c r="P5098" s="175" t="str">
        <f ca="1">IF(Proc[[#This Row],[DaysAgeing]]&gt;5,"yep","on track")</f>
        <v>yep</v>
      </c>
      <c r="Q5098" s="3">
        <f ca="1">IF(Proc[[#This Row],[DateClosed]]="",ABS(NETWORKDAYS(Proc[[#This Row],[DateOpened]],TODAY()))-1,ABS(NETWORKDAYS(Proc[[#This Row],[DateOpened]],Proc[[#This Row],[DateClosed]]))-1)</f>
        <v>20</v>
      </c>
      <c r="R5098" s="175" t="s">
        <v>5709</v>
      </c>
      <c r="S5098" s="150"/>
    </row>
    <row r="5099" spans="1:19" hidden="1">
      <c r="A5099" s="149" t="s">
        <v>7353</v>
      </c>
      <c r="B5099" s="150" t="str">
        <f>IFERROR(VLOOKUP(Proc[[#This Row],[App]],Table2[],3,0),"open")</f>
        <v>ok</v>
      </c>
      <c r="C5099" s="149" t="s">
        <v>369</v>
      </c>
      <c r="D5099" t="s">
        <v>7357</v>
      </c>
      <c r="E5099" s="149" t="s">
        <v>419</v>
      </c>
      <c r="F5099" s="150" t="s">
        <v>419</v>
      </c>
      <c r="G5099" s="149" t="s">
        <v>400</v>
      </c>
      <c r="H5099" s="150" t="str">
        <f>IF(Proc[[#This Row],[type]]="LFF (MDG-F)",MID(Proc[[#This Row],[Obj]],13,10),"")</f>
        <v/>
      </c>
      <c r="J5099" s="150" t="b">
        <f>Proc[[#This Row],[Requested]]=Proc[[#This Row],[CurrentParent]]</f>
        <v>1</v>
      </c>
      <c r="K5099" s="150" t="str">
        <f>IF(Proc[[#This Row],[Author]]="Marcela Urrego",VLOOKUP(LEFT(Proc[[#This Row],[Requested]],1),Table3[#All],2,0),VLOOKUP(Proc[[#This Row],[Author]],Table4[],2,0))</f>
        <v>EL</v>
      </c>
      <c r="L5099" s="150" t="s">
        <v>6435</v>
      </c>
      <c r="M5099" s="175">
        <v>46001</v>
      </c>
      <c r="N5099" s="175"/>
      <c r="O5099" s="175"/>
      <c r="P5099" s="175" t="str">
        <f ca="1">IF(Proc[[#This Row],[DaysAgeing]]&gt;5,"yep","on track")</f>
        <v>yep</v>
      </c>
      <c r="Q5099" s="3">
        <f ca="1">IF(Proc[[#This Row],[DateClosed]]="",ABS(NETWORKDAYS(Proc[[#This Row],[DateOpened]],TODAY()))-1,ABS(NETWORKDAYS(Proc[[#This Row],[DateOpened]],Proc[[#This Row],[DateClosed]]))-1)</f>
        <v>20</v>
      </c>
      <c r="R5099" s="175" t="s">
        <v>5709</v>
      </c>
      <c r="S5099" s="150"/>
    </row>
    <row r="5100" spans="1:19" hidden="1">
      <c r="A5100" s="149" t="s">
        <v>7353</v>
      </c>
      <c r="B5100" s="150" t="str">
        <f>IFERROR(VLOOKUP(Proc[[#This Row],[App]],Table2[],3,0),"open")</f>
        <v>ok</v>
      </c>
      <c r="C5100" s="149" t="s">
        <v>369</v>
      </c>
      <c r="D5100" t="s">
        <v>7358</v>
      </c>
      <c r="E5100" s="149" t="s">
        <v>419</v>
      </c>
      <c r="F5100" s="150" t="s">
        <v>419</v>
      </c>
      <c r="G5100" s="149" t="s">
        <v>400</v>
      </c>
      <c r="H5100" s="150" t="str">
        <f>IF(Proc[[#This Row],[type]]="LFF (MDG-F)",MID(Proc[[#This Row],[Obj]],13,10),"")</f>
        <v/>
      </c>
      <c r="J5100" s="150" t="b">
        <f>Proc[[#This Row],[Requested]]=Proc[[#This Row],[CurrentParent]]</f>
        <v>1</v>
      </c>
      <c r="K5100" s="150" t="str">
        <f>IF(Proc[[#This Row],[Author]]="Marcela Urrego",VLOOKUP(LEFT(Proc[[#This Row],[Requested]],1),Table3[#All],2,0),VLOOKUP(Proc[[#This Row],[Author]],Table4[],2,0))</f>
        <v>EL</v>
      </c>
      <c r="L5100" s="150" t="s">
        <v>6435</v>
      </c>
      <c r="M5100" s="175">
        <v>46001</v>
      </c>
      <c r="N5100" s="175"/>
      <c r="O5100" s="175"/>
      <c r="P5100" s="175" t="str">
        <f ca="1">IF(Proc[[#This Row],[DaysAgeing]]&gt;5,"yep","on track")</f>
        <v>yep</v>
      </c>
      <c r="Q5100" s="3">
        <f ca="1">IF(Proc[[#This Row],[DateClosed]]="",ABS(NETWORKDAYS(Proc[[#This Row],[DateOpened]],TODAY()))-1,ABS(NETWORKDAYS(Proc[[#This Row],[DateOpened]],Proc[[#This Row],[DateClosed]]))-1)</f>
        <v>20</v>
      </c>
      <c r="R5100" s="175" t="s">
        <v>5709</v>
      </c>
      <c r="S5100" s="150"/>
    </row>
    <row r="5101" spans="1:19" hidden="1">
      <c r="A5101" s="149" t="s">
        <v>7353</v>
      </c>
      <c r="B5101" s="150" t="str">
        <f>IFERROR(VLOOKUP(Proc[[#This Row],[App]],Table2[],3,0),"open")</f>
        <v>ok</v>
      </c>
      <c r="C5101" s="149" t="s">
        <v>369</v>
      </c>
      <c r="D5101" t="s">
        <v>7359</v>
      </c>
      <c r="E5101" s="149" t="s">
        <v>419</v>
      </c>
      <c r="F5101" s="150" t="s">
        <v>419</v>
      </c>
      <c r="G5101" s="149" t="s">
        <v>400</v>
      </c>
      <c r="H5101" s="150" t="str">
        <f>IF(Proc[[#This Row],[type]]="LFF (MDG-F)",MID(Proc[[#This Row],[Obj]],13,10),"")</f>
        <v/>
      </c>
      <c r="J5101" s="150" t="b">
        <f>Proc[[#This Row],[Requested]]=Proc[[#This Row],[CurrentParent]]</f>
        <v>1</v>
      </c>
      <c r="K5101" s="150" t="str">
        <f>IF(Proc[[#This Row],[Author]]="Marcela Urrego",VLOOKUP(LEFT(Proc[[#This Row],[Requested]],1),Table3[#All],2,0),VLOOKUP(Proc[[#This Row],[Author]],Table4[],2,0))</f>
        <v>EL</v>
      </c>
      <c r="L5101" s="150" t="s">
        <v>6435</v>
      </c>
      <c r="M5101" s="175">
        <v>46001</v>
      </c>
      <c r="N5101" s="175"/>
      <c r="O5101" s="175"/>
      <c r="P5101" s="175" t="str">
        <f ca="1">IF(Proc[[#This Row],[DaysAgeing]]&gt;5,"yep","on track")</f>
        <v>yep</v>
      </c>
      <c r="Q5101" s="3">
        <f ca="1">IF(Proc[[#This Row],[DateClosed]]="",ABS(NETWORKDAYS(Proc[[#This Row],[DateOpened]],TODAY()))-1,ABS(NETWORKDAYS(Proc[[#This Row],[DateOpened]],Proc[[#This Row],[DateClosed]]))-1)</f>
        <v>20</v>
      </c>
      <c r="R5101" s="175" t="s">
        <v>5709</v>
      </c>
      <c r="S5101" s="150"/>
    </row>
    <row r="5102" spans="1:19" hidden="1">
      <c r="A5102" s="149" t="s">
        <v>7353</v>
      </c>
      <c r="B5102" s="150" t="str">
        <f>IFERROR(VLOOKUP(Proc[[#This Row],[App]],Table2[],3,0),"open")</f>
        <v>ok</v>
      </c>
      <c r="C5102" s="149" t="s">
        <v>369</v>
      </c>
      <c r="D5102" t="s">
        <v>7360</v>
      </c>
      <c r="E5102" s="149" t="s">
        <v>419</v>
      </c>
      <c r="F5102" s="150" t="s">
        <v>419</v>
      </c>
      <c r="G5102" s="149" t="s">
        <v>400</v>
      </c>
      <c r="H5102" s="150" t="str">
        <f>IF(Proc[[#This Row],[type]]="LFF (MDG-F)",MID(Proc[[#This Row],[Obj]],13,10),"")</f>
        <v/>
      </c>
      <c r="J5102" s="150" t="b">
        <f>Proc[[#This Row],[Requested]]=Proc[[#This Row],[CurrentParent]]</f>
        <v>1</v>
      </c>
      <c r="K5102" s="150" t="str">
        <f>IF(Proc[[#This Row],[Author]]="Marcela Urrego",VLOOKUP(LEFT(Proc[[#This Row],[Requested]],1),Table3[#All],2,0),VLOOKUP(Proc[[#This Row],[Author]],Table4[],2,0))</f>
        <v>EL</v>
      </c>
      <c r="L5102" s="150" t="s">
        <v>6435</v>
      </c>
      <c r="M5102" s="175">
        <v>46001</v>
      </c>
      <c r="N5102" s="175"/>
      <c r="O5102" s="175"/>
      <c r="P5102" s="175" t="str">
        <f ca="1">IF(Proc[[#This Row],[DaysAgeing]]&gt;5,"yep","on track")</f>
        <v>yep</v>
      </c>
      <c r="Q5102" s="3">
        <f ca="1">IF(Proc[[#This Row],[DateClosed]]="",ABS(NETWORKDAYS(Proc[[#This Row],[DateOpened]],TODAY()))-1,ABS(NETWORKDAYS(Proc[[#This Row],[DateOpened]],Proc[[#This Row],[DateClosed]]))-1)</f>
        <v>20</v>
      </c>
      <c r="R5102" s="175" t="s">
        <v>5709</v>
      </c>
      <c r="S5102" s="150"/>
    </row>
    <row r="5103" spans="1:19" hidden="1">
      <c r="A5103" s="149" t="s">
        <v>7353</v>
      </c>
      <c r="B5103" s="150" t="str">
        <f>IFERROR(VLOOKUP(Proc[[#This Row],[App]],Table2[],3,0),"open")</f>
        <v>ok</v>
      </c>
      <c r="C5103" s="149" t="s">
        <v>369</v>
      </c>
      <c r="D5103" t="s">
        <v>2785</v>
      </c>
      <c r="E5103" s="149" t="s">
        <v>419</v>
      </c>
      <c r="F5103" s="150" t="s">
        <v>419</v>
      </c>
      <c r="G5103" s="149" t="s">
        <v>400</v>
      </c>
      <c r="H5103" s="150" t="str">
        <f>IF(Proc[[#This Row],[type]]="LFF (MDG-F)",MID(Proc[[#This Row],[Obj]],13,10),"")</f>
        <v/>
      </c>
      <c r="J5103" s="150" t="b">
        <f>Proc[[#This Row],[Requested]]=Proc[[#This Row],[CurrentParent]]</f>
        <v>1</v>
      </c>
      <c r="K5103" s="150" t="str">
        <f>IF(Proc[[#This Row],[Author]]="Marcela Urrego",VLOOKUP(LEFT(Proc[[#This Row],[Requested]],1),Table3[#All],2,0),VLOOKUP(Proc[[#This Row],[Author]],Table4[],2,0))</f>
        <v>EL</v>
      </c>
      <c r="L5103" s="150" t="s">
        <v>6435</v>
      </c>
      <c r="M5103" s="175">
        <v>46001</v>
      </c>
      <c r="N5103" s="175"/>
      <c r="O5103" s="175"/>
      <c r="P5103" s="175" t="str">
        <f ca="1">IF(Proc[[#This Row],[DaysAgeing]]&gt;5,"yep","on track")</f>
        <v>yep</v>
      </c>
      <c r="Q5103" s="3">
        <f ca="1">IF(Proc[[#This Row],[DateClosed]]="",ABS(NETWORKDAYS(Proc[[#This Row],[DateOpened]],TODAY()))-1,ABS(NETWORKDAYS(Proc[[#This Row],[DateOpened]],Proc[[#This Row],[DateClosed]]))-1)</f>
        <v>20</v>
      </c>
      <c r="R5103" s="175" t="s">
        <v>5709</v>
      </c>
      <c r="S5103" s="150"/>
    </row>
    <row r="5104" spans="1:19" hidden="1">
      <c r="A5104" t="s">
        <v>7364</v>
      </c>
      <c r="B5104" s="150" t="str">
        <f>IFERROR(VLOOKUP(Proc[[#This Row],[App]],Table2[],3,0),"open")</f>
        <v>open</v>
      </c>
      <c r="C5104" t="s">
        <v>369</v>
      </c>
      <c r="D5104" t="s">
        <v>7366</v>
      </c>
      <c r="E5104" t="s">
        <v>7365</v>
      </c>
      <c r="F5104" s="150" t="s">
        <v>7365</v>
      </c>
      <c r="G5104" s="149" t="s">
        <v>400</v>
      </c>
      <c r="H5104" s="150" t="str">
        <f>IF(Proc[[#This Row],[type]]="LFF (MDG-F)",MID(Proc[[#This Row],[Obj]],13,10),"")</f>
        <v/>
      </c>
      <c r="J5104" s="150" t="b">
        <f>Proc[[#This Row],[Requested]]=Proc[[#This Row],[CurrentParent]]</f>
        <v>1</v>
      </c>
      <c r="K5104" s="150" t="str">
        <f>IF(Proc[[#This Row],[Author]]="Marcela Urrego",VLOOKUP(LEFT(Proc[[#This Row],[Requested]],1),Table3[#All],2,0),VLOOKUP(Proc[[#This Row],[Author]],Table4[],2,0))</f>
        <v>EL</v>
      </c>
      <c r="L5104" s="150" t="s">
        <v>6435</v>
      </c>
      <c r="M5104" s="176">
        <v>46003</v>
      </c>
      <c r="N5104" s="176"/>
      <c r="O5104" s="176"/>
      <c r="P5104" s="176" t="str">
        <f ca="1">IF(Proc[[#This Row],[DaysAgeing]]&gt;5,"yep","on track")</f>
        <v>yep</v>
      </c>
      <c r="Q5104" s="3">
        <f ca="1">IF(Proc[[#This Row],[DateClosed]]="",ABS(NETWORKDAYS(Proc[[#This Row],[DateOpened]],TODAY()))-1,ABS(NETWORKDAYS(Proc[[#This Row],[DateOpened]],Proc[[#This Row],[DateClosed]]))-1)</f>
        <v>18</v>
      </c>
      <c r="R5104" s="176" t="s">
        <v>780</v>
      </c>
      <c r="S5104" s="150"/>
    </row>
    <row r="5105" spans="1:19" hidden="1">
      <c r="A5105" t="s">
        <v>7364</v>
      </c>
      <c r="B5105" s="150" t="str">
        <f>IFERROR(VLOOKUP(Proc[[#This Row],[App]],Table2[],3,0),"open")</f>
        <v>open</v>
      </c>
      <c r="C5105" s="149" t="s">
        <v>692</v>
      </c>
      <c r="D5105" t="s">
        <v>7367</v>
      </c>
      <c r="E5105" t="s">
        <v>2467</v>
      </c>
      <c r="F5105" s="150" t="s">
        <v>7408</v>
      </c>
      <c r="G5105" s="149" t="s">
        <v>400</v>
      </c>
      <c r="H5105" s="150" t="str">
        <f>IF(Proc[[#This Row],[type]]="LFF (MDG-F)",MID(Proc[[#This Row],[Obj]],13,10),"")</f>
        <v/>
      </c>
      <c r="J5105" s="150" t="b">
        <f>Proc[[#This Row],[Requested]]=Proc[[#This Row],[CurrentParent]]</f>
        <v>0</v>
      </c>
      <c r="K5105" s="150" t="str">
        <f>IF(Proc[[#This Row],[Author]]="Marcela Urrego",VLOOKUP(LEFT(Proc[[#This Row],[Requested]],1),Table3[#All],2,0),VLOOKUP(Proc[[#This Row],[Author]],Table4[],2,0))</f>
        <v>EL</v>
      </c>
      <c r="L5105" s="150" t="s">
        <v>6435</v>
      </c>
      <c r="M5105" s="176">
        <v>46003</v>
      </c>
      <c r="N5105" s="176"/>
      <c r="O5105" s="176"/>
      <c r="P5105" s="176" t="str">
        <f ca="1">IF(Proc[[#This Row],[DaysAgeing]]&gt;5,"yep","on track")</f>
        <v>yep</v>
      </c>
      <c r="Q5105" s="3">
        <f ca="1">IF(Proc[[#This Row],[DateClosed]]="",ABS(NETWORKDAYS(Proc[[#This Row],[DateOpened]],TODAY()))-1,ABS(NETWORKDAYS(Proc[[#This Row],[DateOpened]],Proc[[#This Row],[DateClosed]]))-1)</f>
        <v>18</v>
      </c>
      <c r="R5105" s="176" t="s">
        <v>780</v>
      </c>
      <c r="S5105" s="150"/>
    </row>
    <row r="5106" spans="1:19" hidden="1">
      <c r="A5106" s="149" t="s">
        <v>7364</v>
      </c>
      <c r="B5106" s="150" t="str">
        <f>IFERROR(VLOOKUP(Proc[[#This Row],[App]],Table2[],3,0),"open")</f>
        <v>open</v>
      </c>
      <c r="C5106" s="149" t="s">
        <v>369</v>
      </c>
      <c r="D5106" t="s">
        <v>7361</v>
      </c>
      <c r="E5106" t="s">
        <v>6828</v>
      </c>
      <c r="F5106" s="150" t="s">
        <v>6828</v>
      </c>
      <c r="G5106" t="s">
        <v>406</v>
      </c>
      <c r="H5106" s="150" t="str">
        <f>IF(Proc[[#This Row],[type]]="LFF (MDG-F)",MID(Proc[[#This Row],[Obj]],13,10),"")</f>
        <v>DE04OF1000</v>
      </c>
      <c r="J5106" s="150" t="b">
        <f>Proc[[#This Row],[Requested]]=Proc[[#This Row],[CurrentParent]]</f>
        <v>1</v>
      </c>
      <c r="K5106" s="150" t="str">
        <f>IF(Proc[[#This Row],[Author]]="Marcela Urrego",VLOOKUP(LEFT(Proc[[#This Row],[Requested]],1),Table3[#All],2,0),VLOOKUP(Proc[[#This Row],[Author]],Table4[],2,0))</f>
        <v>EL</v>
      </c>
      <c r="L5106" s="150" t="s">
        <v>6435</v>
      </c>
      <c r="M5106" s="176">
        <v>46003</v>
      </c>
      <c r="N5106" s="176"/>
      <c r="O5106" s="176"/>
      <c r="P5106" s="176" t="str">
        <f ca="1">IF(Proc[[#This Row],[DaysAgeing]]&gt;5,"yep","on track")</f>
        <v>yep</v>
      </c>
      <c r="Q5106" s="3">
        <f ca="1">IF(Proc[[#This Row],[DateClosed]]="",ABS(NETWORKDAYS(Proc[[#This Row],[DateOpened]],TODAY()))-1,ABS(NETWORKDAYS(Proc[[#This Row],[DateOpened]],Proc[[#This Row],[DateClosed]]))-1)</f>
        <v>18</v>
      </c>
      <c r="R5106" s="176" t="s">
        <v>780</v>
      </c>
      <c r="S5106" s="150"/>
    </row>
    <row r="5107" spans="1:19" hidden="1">
      <c r="A5107" s="149" t="s">
        <v>7364</v>
      </c>
      <c r="B5107" s="150" t="str">
        <f>IFERROR(VLOOKUP(Proc[[#This Row],[App]],Table2[],3,0),"open")</f>
        <v>open</v>
      </c>
      <c r="C5107" s="149" t="s">
        <v>369</v>
      </c>
      <c r="D5107" t="s">
        <v>7362</v>
      </c>
      <c r="E5107" t="s">
        <v>426</v>
      </c>
      <c r="F5107" s="150" t="s">
        <v>426</v>
      </c>
      <c r="G5107" t="s">
        <v>406</v>
      </c>
      <c r="H5107" s="150" t="str">
        <f>IF(Proc[[#This Row],[type]]="LFF (MDG-F)",MID(Proc[[#This Row],[Obj]],13,10),"")</f>
        <v>DE01OF0304</v>
      </c>
      <c r="I5107" s="149"/>
      <c r="J5107" s="150" t="b">
        <f>Proc[[#This Row],[Requested]]=Proc[[#This Row],[CurrentParent]]</f>
        <v>1</v>
      </c>
      <c r="K5107" s="150" t="str">
        <f>IF(Proc[[#This Row],[Author]]="Marcela Urrego",VLOOKUP(LEFT(Proc[[#This Row],[Requested]],1),Table3[#All],2,0),VLOOKUP(Proc[[#This Row],[Author]],Table4[],2,0))</f>
        <v>EL</v>
      </c>
      <c r="L5107" s="150" t="s">
        <v>6435</v>
      </c>
      <c r="M5107" s="176">
        <v>46003</v>
      </c>
      <c r="N5107" s="176"/>
      <c r="O5107" s="176"/>
      <c r="P5107" s="176" t="str">
        <f ca="1">IF(Proc[[#This Row],[DaysAgeing]]&gt;5,"yep","on track")</f>
        <v>yep</v>
      </c>
      <c r="Q5107" s="3">
        <f ca="1">IF(Proc[[#This Row],[DateClosed]]="",ABS(NETWORKDAYS(Proc[[#This Row],[DateOpened]],TODAY()))-1,ABS(NETWORKDAYS(Proc[[#This Row],[DateOpened]],Proc[[#This Row],[DateClosed]]))-1)</f>
        <v>18</v>
      </c>
      <c r="R5107" s="176" t="s">
        <v>780</v>
      </c>
      <c r="S5107" s="150"/>
    </row>
    <row r="5108" spans="1:19" hidden="1">
      <c r="A5108" s="149" t="s">
        <v>7364</v>
      </c>
      <c r="B5108" s="150" t="str">
        <f>IFERROR(VLOOKUP(Proc[[#This Row],[App]],Table2[],3,0),"open")</f>
        <v>open</v>
      </c>
      <c r="C5108" s="149" t="s">
        <v>369</v>
      </c>
      <c r="D5108" t="s">
        <v>7363</v>
      </c>
      <c r="E5108" t="s">
        <v>426</v>
      </c>
      <c r="F5108" s="150" t="s">
        <v>426</v>
      </c>
      <c r="G5108" t="s">
        <v>406</v>
      </c>
      <c r="H5108" s="150" t="str">
        <f>IF(Proc[[#This Row],[type]]="LFF (MDG-F)",MID(Proc[[#This Row],[Obj]],13,10),"")</f>
        <v>TW02TPTA14</v>
      </c>
      <c r="I5108" s="149"/>
      <c r="J5108" s="150" t="b">
        <f>Proc[[#This Row],[Requested]]=Proc[[#This Row],[CurrentParent]]</f>
        <v>1</v>
      </c>
      <c r="K5108" s="150" t="str">
        <f>IF(Proc[[#This Row],[Author]]="Marcela Urrego",VLOOKUP(LEFT(Proc[[#This Row],[Requested]],1),Table3[#All],2,0),VLOOKUP(Proc[[#This Row],[Author]],Table4[],2,0))</f>
        <v>EL</v>
      </c>
      <c r="L5108" s="150" t="s">
        <v>6435</v>
      </c>
      <c r="M5108" s="176">
        <v>46003</v>
      </c>
      <c r="N5108" s="176"/>
      <c r="O5108" s="176"/>
      <c r="P5108" s="176" t="str">
        <f ca="1">IF(Proc[[#This Row],[DaysAgeing]]&gt;5,"yep","on track")</f>
        <v>yep</v>
      </c>
      <c r="Q5108" s="3">
        <f ca="1">IF(Proc[[#This Row],[DateClosed]]="",ABS(NETWORKDAYS(Proc[[#This Row],[DateOpened]],TODAY()))-1,ABS(NETWORKDAYS(Proc[[#This Row],[DateOpened]],Proc[[#This Row],[DateClosed]]))-1)</f>
        <v>18</v>
      </c>
      <c r="R5108" s="176" t="s">
        <v>780</v>
      </c>
      <c r="S5108" s="150"/>
    </row>
    <row r="5109" spans="1:19" hidden="1">
      <c r="A5109" t="s">
        <v>7371</v>
      </c>
      <c r="B5109" s="150" t="str">
        <f>IFERROR(VLOOKUP(Proc[[#This Row],[App]],Table2[],3,0),"open")</f>
        <v>ok</v>
      </c>
      <c r="C5109" s="149" t="s">
        <v>369</v>
      </c>
      <c r="D5109" t="s">
        <v>7368</v>
      </c>
      <c r="E5109" t="s">
        <v>7372</v>
      </c>
      <c r="F5109" s="150" t="s">
        <v>7372</v>
      </c>
      <c r="G5109" t="s">
        <v>400</v>
      </c>
      <c r="H5109" s="150" t="str">
        <f>IF(Proc[[#This Row],[type]]="LFF (MDG-F)",MID(Proc[[#This Row],[Obj]],13,10),"")</f>
        <v/>
      </c>
      <c r="J5109" s="150" t="b">
        <f>Proc[[#This Row],[Requested]]=Proc[[#This Row],[CurrentParent]]</f>
        <v>1</v>
      </c>
      <c r="K5109" s="150" t="str">
        <f>IF(Proc[[#This Row],[Author]]="Marcela Urrego",VLOOKUP(LEFT(Proc[[#This Row],[Requested]],1),Table3[#All],2,0),VLOOKUP(Proc[[#This Row],[Author]],Table4[],2,0))</f>
        <v>LS</v>
      </c>
      <c r="L5109" s="150" t="s">
        <v>6435</v>
      </c>
      <c r="M5109" s="176">
        <v>46006</v>
      </c>
      <c r="N5109" s="177"/>
      <c r="O5109" s="177"/>
      <c r="P5109" s="177" t="str">
        <f ca="1">IF(Proc[[#This Row],[DaysAgeing]]&gt;5,"yep","on track")</f>
        <v>yep</v>
      </c>
      <c r="Q5109" s="3">
        <f ca="1">IF(Proc[[#This Row],[DateClosed]]="",ABS(NETWORKDAYS(Proc[[#This Row],[DateOpened]],TODAY()))-1,ABS(NETWORKDAYS(Proc[[#This Row],[DateOpened]],Proc[[#This Row],[DateClosed]]))-1)</f>
        <v>17</v>
      </c>
      <c r="R5109" s="177" t="s">
        <v>489</v>
      </c>
      <c r="S5109" s="150"/>
    </row>
    <row r="5110" spans="1:19" hidden="1">
      <c r="A5110" t="s">
        <v>7371</v>
      </c>
      <c r="B5110" s="150" t="str">
        <f>IFERROR(VLOOKUP(Proc[[#This Row],[App]],Table2[],3,0),"open")</f>
        <v>ok</v>
      </c>
      <c r="C5110" s="149" t="s">
        <v>369</v>
      </c>
      <c r="D5110" t="s">
        <v>3472</v>
      </c>
      <c r="E5110" t="s">
        <v>6956</v>
      </c>
      <c r="F5110" s="150" t="s">
        <v>6956</v>
      </c>
      <c r="G5110" t="s">
        <v>400</v>
      </c>
      <c r="H5110" s="150" t="str">
        <f>IF(Proc[[#This Row],[type]]="LFF (MDG-F)",MID(Proc[[#This Row],[Obj]],13,10),"")</f>
        <v/>
      </c>
      <c r="J5110" s="150" t="b">
        <f>Proc[[#This Row],[Requested]]=Proc[[#This Row],[CurrentParent]]</f>
        <v>1</v>
      </c>
      <c r="K5110" s="150" t="str">
        <f>IF(Proc[[#This Row],[Author]]="Marcela Urrego",VLOOKUP(LEFT(Proc[[#This Row],[Requested]],1),Table3[#All],2,0),VLOOKUP(Proc[[#This Row],[Author]],Table4[],2,0))</f>
        <v>LS</v>
      </c>
      <c r="L5110" s="150" t="s">
        <v>6435</v>
      </c>
      <c r="M5110" s="176">
        <v>46006</v>
      </c>
      <c r="N5110" s="177"/>
      <c r="O5110" s="177"/>
      <c r="P5110" s="177" t="str">
        <f ca="1">IF(Proc[[#This Row],[DaysAgeing]]&gt;5,"yep","on track")</f>
        <v>yep</v>
      </c>
      <c r="Q5110" s="3">
        <f ca="1">IF(Proc[[#This Row],[DateClosed]]="",ABS(NETWORKDAYS(Proc[[#This Row],[DateOpened]],TODAY()))-1,ABS(NETWORKDAYS(Proc[[#This Row],[DateOpened]],Proc[[#This Row],[DateClosed]]))-1)</f>
        <v>17</v>
      </c>
      <c r="R5110" s="177" t="s">
        <v>489</v>
      </c>
      <c r="S5110" s="150"/>
    </row>
    <row r="5111" spans="1:19" hidden="1">
      <c r="A5111" s="149" t="s">
        <v>7371</v>
      </c>
      <c r="B5111" s="150" t="str">
        <f>IFERROR(VLOOKUP(Proc[[#This Row],[App]],Table2[],3,0),"open")</f>
        <v>ok</v>
      </c>
      <c r="C5111" s="149" t="s">
        <v>369</v>
      </c>
      <c r="D5111" t="s">
        <v>3456</v>
      </c>
      <c r="E5111" t="s">
        <v>6956</v>
      </c>
      <c r="F5111" s="150" t="s">
        <v>6956</v>
      </c>
      <c r="G5111" s="149" t="s">
        <v>400</v>
      </c>
      <c r="H5111" s="150" t="str">
        <f>IF(Proc[[#This Row],[type]]="LFF (MDG-F)",MID(Proc[[#This Row],[Obj]],13,10),"")</f>
        <v/>
      </c>
      <c r="J5111" s="150" t="b">
        <f>Proc[[#This Row],[Requested]]=Proc[[#This Row],[CurrentParent]]</f>
        <v>1</v>
      </c>
      <c r="K5111" s="150" t="str">
        <f>IF(Proc[[#This Row],[Author]]="Marcela Urrego",VLOOKUP(LEFT(Proc[[#This Row],[Requested]],1),Table3[#All],2,0),VLOOKUP(Proc[[#This Row],[Author]],Table4[],2,0))</f>
        <v>LS</v>
      </c>
      <c r="L5111" s="150" t="s">
        <v>6435</v>
      </c>
      <c r="M5111" s="176">
        <v>46006</v>
      </c>
      <c r="N5111" s="177"/>
      <c r="O5111" s="177"/>
      <c r="P5111" s="177" t="str">
        <f ca="1">IF(Proc[[#This Row],[DaysAgeing]]&gt;5,"yep","on track")</f>
        <v>yep</v>
      </c>
      <c r="Q5111" s="3">
        <f ca="1">IF(Proc[[#This Row],[DateClosed]]="",ABS(NETWORKDAYS(Proc[[#This Row],[DateOpened]],TODAY()))-1,ABS(NETWORKDAYS(Proc[[#This Row],[DateOpened]],Proc[[#This Row],[DateClosed]]))-1)</f>
        <v>17</v>
      </c>
      <c r="R5111" s="177" t="s">
        <v>489</v>
      </c>
      <c r="S5111" s="150"/>
    </row>
    <row r="5112" spans="1:19" hidden="1">
      <c r="A5112" s="149" t="s">
        <v>7371</v>
      </c>
      <c r="B5112" s="150" t="str">
        <f>IFERROR(VLOOKUP(Proc[[#This Row],[App]],Table2[],3,0),"open")</f>
        <v>ok</v>
      </c>
      <c r="C5112" s="149" t="s">
        <v>369</v>
      </c>
      <c r="D5112" t="s">
        <v>7369</v>
      </c>
      <c r="E5112" t="s">
        <v>7373</v>
      </c>
      <c r="F5112" s="150" t="s">
        <v>7373</v>
      </c>
      <c r="G5112" s="149" t="s">
        <v>400</v>
      </c>
      <c r="H5112" s="150" t="str">
        <f>IF(Proc[[#This Row],[type]]="LFF (MDG-F)",MID(Proc[[#This Row],[Obj]],13,10),"")</f>
        <v/>
      </c>
      <c r="J5112" s="150" t="b">
        <f>Proc[[#This Row],[Requested]]=Proc[[#This Row],[CurrentParent]]</f>
        <v>1</v>
      </c>
      <c r="K5112" s="150" t="str">
        <f>IF(Proc[[#This Row],[Author]]="Marcela Urrego",VLOOKUP(LEFT(Proc[[#This Row],[Requested]],1),Table3[#All],2,0),VLOOKUP(Proc[[#This Row],[Author]],Table4[],2,0))</f>
        <v>LS</v>
      </c>
      <c r="L5112" s="150" t="s">
        <v>6435</v>
      </c>
      <c r="M5112" s="176">
        <v>46006</v>
      </c>
      <c r="N5112" s="177"/>
      <c r="O5112" s="177"/>
      <c r="P5112" s="177" t="str">
        <f ca="1">IF(Proc[[#This Row],[DaysAgeing]]&gt;5,"yep","on track")</f>
        <v>yep</v>
      </c>
      <c r="Q5112" s="3">
        <f ca="1">IF(Proc[[#This Row],[DateClosed]]="",ABS(NETWORKDAYS(Proc[[#This Row],[DateOpened]],TODAY()))-1,ABS(NETWORKDAYS(Proc[[#This Row],[DateOpened]],Proc[[#This Row],[DateClosed]]))-1)</f>
        <v>17</v>
      </c>
      <c r="R5112" s="177" t="s">
        <v>489</v>
      </c>
      <c r="S5112" s="150"/>
    </row>
    <row r="5113" spans="1:19" hidden="1">
      <c r="A5113" s="149" t="s">
        <v>7371</v>
      </c>
      <c r="B5113" s="150" t="str">
        <f>IFERROR(VLOOKUP(Proc[[#This Row],[App]],Table2[],3,0),"open")</f>
        <v>ok</v>
      </c>
      <c r="C5113" s="149" t="s">
        <v>369</v>
      </c>
      <c r="D5113" t="s">
        <v>7370</v>
      </c>
      <c r="E5113" t="s">
        <v>7374</v>
      </c>
      <c r="F5113" s="150" t="s">
        <v>7374</v>
      </c>
      <c r="G5113" s="149" t="s">
        <v>400</v>
      </c>
      <c r="H5113" s="150" t="str">
        <f>IF(Proc[[#This Row],[type]]="LFF (MDG-F)",MID(Proc[[#This Row],[Obj]],13,10),"")</f>
        <v/>
      </c>
      <c r="J5113" s="150" t="b">
        <f>Proc[[#This Row],[Requested]]=Proc[[#This Row],[CurrentParent]]</f>
        <v>1</v>
      </c>
      <c r="K5113" s="150" t="str">
        <f>IF(Proc[[#This Row],[Author]]="Marcela Urrego",VLOOKUP(LEFT(Proc[[#This Row],[Requested]],1),Table3[#All],2,0),VLOOKUP(Proc[[#This Row],[Author]],Table4[],2,0))</f>
        <v>LS</v>
      </c>
      <c r="L5113" s="150" t="s">
        <v>6435</v>
      </c>
      <c r="M5113" s="176">
        <v>46006</v>
      </c>
      <c r="N5113" s="177"/>
      <c r="O5113" s="177"/>
      <c r="P5113" s="177" t="str">
        <f ca="1">IF(Proc[[#This Row],[DaysAgeing]]&gt;5,"yep","on track")</f>
        <v>yep</v>
      </c>
      <c r="Q5113" s="3">
        <f ca="1">IF(Proc[[#This Row],[DateClosed]]="",ABS(NETWORKDAYS(Proc[[#This Row],[DateOpened]],TODAY()))-1,ABS(NETWORKDAYS(Proc[[#This Row],[DateOpened]],Proc[[#This Row],[DateClosed]]))-1)</f>
        <v>17</v>
      </c>
      <c r="R5113" s="177" t="s">
        <v>489</v>
      </c>
      <c r="S5113" s="150"/>
    </row>
    <row r="5114" spans="1:19" hidden="1">
      <c r="A5114" s="149" t="s">
        <v>7371</v>
      </c>
      <c r="B5114" s="150" t="str">
        <f>IFERROR(VLOOKUP(Proc[[#This Row],[App]],Table2[],3,0),"open")</f>
        <v>ok</v>
      </c>
      <c r="C5114" s="149" t="s">
        <v>369</v>
      </c>
      <c r="D5114" t="s">
        <v>3430</v>
      </c>
      <c r="E5114" t="s">
        <v>7375</v>
      </c>
      <c r="F5114" s="150" t="s">
        <v>7375</v>
      </c>
      <c r="G5114" t="s">
        <v>406</v>
      </c>
      <c r="H5114" s="150" t="str">
        <f>IF(Proc[[#This Row],[type]]="LFF (MDG-F)",MID(Proc[[#This Row],[Obj]],13,10),"")</f>
        <v>1756C00005</v>
      </c>
      <c r="J5114" s="150" t="b">
        <f>Proc[[#This Row],[Requested]]=Proc[[#This Row],[CurrentParent]]</f>
        <v>1</v>
      </c>
      <c r="K5114" s="150" t="str">
        <f>IF(Proc[[#This Row],[Author]]="Marcela Urrego",VLOOKUP(LEFT(Proc[[#This Row],[Requested]],1),Table3[#All],2,0),VLOOKUP(Proc[[#This Row],[Author]],Table4[],2,0))</f>
        <v>LS</v>
      </c>
      <c r="L5114" s="150" t="s">
        <v>6435</v>
      </c>
      <c r="M5114" s="176">
        <v>46006</v>
      </c>
      <c r="N5114" s="177"/>
      <c r="O5114" s="177"/>
      <c r="P5114" s="177" t="str">
        <f ca="1">IF(Proc[[#This Row],[DaysAgeing]]&gt;5,"yep","on track")</f>
        <v>yep</v>
      </c>
      <c r="Q5114" s="3">
        <f ca="1">IF(Proc[[#This Row],[DateClosed]]="",ABS(NETWORKDAYS(Proc[[#This Row],[DateOpened]],TODAY()))-1,ABS(NETWORKDAYS(Proc[[#This Row],[DateOpened]],Proc[[#This Row],[DateClosed]]))-1)</f>
        <v>17</v>
      </c>
      <c r="R5114" s="177" t="s">
        <v>489</v>
      </c>
      <c r="S5114" s="150"/>
    </row>
    <row r="5115" spans="1:19">
      <c r="A5115" t="s">
        <v>7376</v>
      </c>
      <c r="B5115" s="150" t="str">
        <f>IFERROR(VLOOKUP(Proc[[#This Row],[App]],Table2[],3,0),"open")</f>
        <v>open</v>
      </c>
      <c r="C5115" t="s">
        <v>370</v>
      </c>
      <c r="D5115" t="s">
        <v>7378</v>
      </c>
      <c r="E5115" t="s">
        <v>7377</v>
      </c>
      <c r="F5115" s="150" t="s">
        <v>7406</v>
      </c>
      <c r="G5115" t="s">
        <v>400</v>
      </c>
      <c r="H5115" s="150" t="str">
        <f>IF(Proc[[#This Row],[type]]="LFF (MDG-F)",MID(Proc[[#This Row],[Obj]],13,10),"")</f>
        <v/>
      </c>
      <c r="I5115" t="s">
        <v>7379</v>
      </c>
      <c r="J5115" s="150" t="b">
        <f>Proc[[#This Row],[Requested]]=Proc[[#This Row],[CurrentParent]]</f>
        <v>0</v>
      </c>
      <c r="K5115" s="150" t="str">
        <f>IF(Proc[[#This Row],[Author]]="Marcela Urrego",VLOOKUP(LEFT(Proc[[#This Row],[Requested]],1),Table3[#All],2,0),VLOOKUP(Proc[[#This Row],[Author]],Table4[],2,0))</f>
        <v>MGF</v>
      </c>
      <c r="L5115" s="150" t="s">
        <v>6435</v>
      </c>
      <c r="M5115" s="177">
        <v>46006</v>
      </c>
      <c r="N5115" s="177"/>
      <c r="O5115" s="177"/>
      <c r="P5115" s="177" t="str">
        <f ca="1">IF(Proc[[#This Row],[DaysAgeing]]&gt;5,"yep","on track")</f>
        <v>yep</v>
      </c>
      <c r="Q5115" s="3">
        <f ca="1">IF(Proc[[#This Row],[DateClosed]]="",ABS(NETWORKDAYS(Proc[[#This Row],[DateOpened]],TODAY()))-1,ABS(NETWORKDAYS(Proc[[#This Row],[DateOpened]],Proc[[#This Row],[DateClosed]]))-1)</f>
        <v>17</v>
      </c>
      <c r="R5115" s="177" t="s">
        <v>485</v>
      </c>
      <c r="S5115" s="150"/>
    </row>
    <row r="5116" spans="1:19" hidden="1">
      <c r="A5116" t="s">
        <v>7381</v>
      </c>
      <c r="B5116" s="150" t="str">
        <f>IFERROR(VLOOKUP(Proc[[#This Row],[App]],Table2[],3,0),"open")</f>
        <v>ok</v>
      </c>
      <c r="C5116" s="149" t="s">
        <v>369</v>
      </c>
      <c r="D5116" t="s">
        <v>2089</v>
      </c>
      <c r="E5116" t="s">
        <v>2092</v>
      </c>
      <c r="F5116" s="150" t="s">
        <v>2092</v>
      </c>
      <c r="G5116" s="149" t="s">
        <v>400</v>
      </c>
      <c r="H5116" s="150" t="str">
        <f>IF(Proc[[#This Row],[type]]="LFF (MDG-F)",MID(Proc[[#This Row],[Obj]],13,10),"")</f>
        <v/>
      </c>
      <c r="J5116" s="150" t="b">
        <f>Proc[[#This Row],[Requested]]=Proc[[#This Row],[CurrentParent]]</f>
        <v>1</v>
      </c>
      <c r="K5116" s="150" t="str">
        <f>IF(Proc[[#This Row],[Author]]="Marcela Urrego",VLOOKUP(LEFT(Proc[[#This Row],[Requested]],1),Table3[#All],2,0),VLOOKUP(Proc[[#This Row],[Author]],Table4[],2,0))</f>
        <v>MGF</v>
      </c>
      <c r="L5116" s="150" t="s">
        <v>6435</v>
      </c>
      <c r="M5116" s="177">
        <v>46009</v>
      </c>
      <c r="N5116" s="177"/>
      <c r="O5116" s="177"/>
      <c r="P5116" s="177" t="str">
        <f ca="1">IF(Proc[[#This Row],[DaysAgeing]]&gt;5,"yep","on track")</f>
        <v>yep</v>
      </c>
      <c r="Q5116" s="3">
        <f ca="1">IF(Proc[[#This Row],[DateClosed]]="",ABS(NETWORKDAYS(Proc[[#This Row],[DateOpened]],TODAY()))-1,ABS(NETWORKDAYS(Proc[[#This Row],[DateOpened]],Proc[[#This Row],[DateClosed]]))-1)</f>
        <v>14</v>
      </c>
      <c r="R5116" s="177" t="s">
        <v>481</v>
      </c>
      <c r="S5116" s="150"/>
    </row>
    <row r="5117" spans="1:19" hidden="1">
      <c r="A5117" s="149" t="s">
        <v>7381</v>
      </c>
      <c r="B5117" s="150" t="str">
        <f>IFERROR(VLOOKUP(Proc[[#This Row],[App]],Table2[],3,0),"open")</f>
        <v>ok</v>
      </c>
      <c r="C5117" s="149" t="s">
        <v>369</v>
      </c>
      <c r="D5117" t="s">
        <v>2090</v>
      </c>
      <c r="E5117" t="s">
        <v>2093</v>
      </c>
      <c r="F5117" s="150" t="s">
        <v>2093</v>
      </c>
      <c r="G5117" s="149" t="s">
        <v>400</v>
      </c>
      <c r="H5117" s="150" t="str">
        <f>IF(Proc[[#This Row],[type]]="LFF (MDG-F)",MID(Proc[[#This Row],[Obj]],13,10),"")</f>
        <v/>
      </c>
      <c r="J5117" s="150" t="b">
        <f>Proc[[#This Row],[Requested]]=Proc[[#This Row],[CurrentParent]]</f>
        <v>1</v>
      </c>
      <c r="K5117" s="150" t="str">
        <f>IF(Proc[[#This Row],[Author]]="Marcela Urrego",VLOOKUP(LEFT(Proc[[#This Row],[Requested]],1),Table3[#All],2,0),VLOOKUP(Proc[[#This Row],[Author]],Table4[],2,0))</f>
        <v>MGF</v>
      </c>
      <c r="L5117" s="150" t="s">
        <v>6435</v>
      </c>
      <c r="M5117" s="177">
        <v>46009</v>
      </c>
      <c r="N5117" s="177"/>
      <c r="O5117" s="177"/>
      <c r="P5117" s="177" t="str">
        <f ca="1">IF(Proc[[#This Row],[DaysAgeing]]&gt;5,"yep","on track")</f>
        <v>yep</v>
      </c>
      <c r="Q5117" s="3">
        <f ca="1">IF(Proc[[#This Row],[DateClosed]]="",ABS(NETWORKDAYS(Proc[[#This Row],[DateOpened]],TODAY()))-1,ABS(NETWORKDAYS(Proc[[#This Row],[DateOpened]],Proc[[#This Row],[DateClosed]]))-1)</f>
        <v>14</v>
      </c>
      <c r="R5117" s="177" t="s">
        <v>481</v>
      </c>
      <c r="S5117" s="150"/>
    </row>
    <row r="5118" spans="1:19" hidden="1">
      <c r="A5118" s="149" t="s">
        <v>7381</v>
      </c>
      <c r="B5118" s="150" t="str">
        <f>IFERROR(VLOOKUP(Proc[[#This Row],[App]],Table2[],3,0),"open")</f>
        <v>ok</v>
      </c>
      <c r="C5118" s="149" t="s">
        <v>369</v>
      </c>
      <c r="D5118" t="s">
        <v>7382</v>
      </c>
      <c r="E5118" t="s">
        <v>7380</v>
      </c>
      <c r="F5118" s="150" t="s">
        <v>7380</v>
      </c>
      <c r="G5118" t="s">
        <v>406</v>
      </c>
      <c r="H5118" s="150" t="str">
        <f>IF(Proc[[#This Row],[type]]="LFF (MDG-F)",MID(Proc[[#This Row],[Obj]],13,10),"")</f>
        <v>DE20529800</v>
      </c>
      <c r="J5118" s="150" t="b">
        <f>Proc[[#This Row],[Requested]]=Proc[[#This Row],[CurrentParent]]</f>
        <v>1</v>
      </c>
      <c r="K5118" s="150" t="str">
        <f>IF(Proc[[#This Row],[Author]]="Marcela Urrego",VLOOKUP(LEFT(Proc[[#This Row],[Requested]],1),Table3[#All],2,0),VLOOKUP(Proc[[#This Row],[Author]],Table4[],2,0))</f>
        <v>MGF</v>
      </c>
      <c r="L5118" s="150" t="s">
        <v>6435</v>
      </c>
      <c r="M5118" s="177">
        <v>46009</v>
      </c>
      <c r="N5118" s="177"/>
      <c r="O5118" s="177"/>
      <c r="P5118" s="177" t="str">
        <f ca="1">IF(Proc[[#This Row],[DaysAgeing]]&gt;5,"yep","on track")</f>
        <v>yep</v>
      </c>
      <c r="Q5118" s="3">
        <f ca="1">IF(Proc[[#This Row],[DateClosed]]="",ABS(NETWORKDAYS(Proc[[#This Row],[DateOpened]],TODAY()))-1,ABS(NETWORKDAYS(Proc[[#This Row],[DateOpened]],Proc[[#This Row],[DateClosed]]))-1)</f>
        <v>14</v>
      </c>
      <c r="R5118" s="177" t="s">
        <v>481</v>
      </c>
      <c r="S5118" s="150"/>
    </row>
    <row r="5119" spans="1:19" hidden="1">
      <c r="A5119" s="149" t="s">
        <v>7381</v>
      </c>
      <c r="B5119" s="150" t="str">
        <f>IFERROR(VLOOKUP(Proc[[#This Row],[App]],Table2[],3,0),"open")</f>
        <v>ok</v>
      </c>
      <c r="C5119" s="149" t="s">
        <v>369</v>
      </c>
      <c r="D5119" t="s">
        <v>7383</v>
      </c>
      <c r="E5119" t="s">
        <v>7380</v>
      </c>
      <c r="F5119" s="150" t="s">
        <v>7380</v>
      </c>
      <c r="G5119" s="149" t="s">
        <v>406</v>
      </c>
      <c r="H5119" s="150" t="str">
        <f>IF(Proc[[#This Row],[type]]="LFF (MDG-F)",MID(Proc[[#This Row],[Obj]],13,10),"")</f>
        <v>DE20529900</v>
      </c>
      <c r="J5119" s="150" t="b">
        <f>Proc[[#This Row],[Requested]]=Proc[[#This Row],[CurrentParent]]</f>
        <v>1</v>
      </c>
      <c r="K5119" s="150" t="str">
        <f>IF(Proc[[#This Row],[Author]]="Marcela Urrego",VLOOKUP(LEFT(Proc[[#This Row],[Requested]],1),Table3[#All],2,0),VLOOKUP(Proc[[#This Row],[Author]],Table4[],2,0))</f>
        <v>MGF</v>
      </c>
      <c r="L5119" s="150" t="s">
        <v>6435</v>
      </c>
      <c r="M5119" s="177">
        <v>46009</v>
      </c>
      <c r="N5119" s="177"/>
      <c r="O5119" s="177"/>
      <c r="P5119" s="177" t="str">
        <f ca="1">IF(Proc[[#This Row],[DaysAgeing]]&gt;5,"yep","on track")</f>
        <v>yep</v>
      </c>
      <c r="Q5119" s="3">
        <f ca="1">IF(Proc[[#This Row],[DateClosed]]="",ABS(NETWORKDAYS(Proc[[#This Row],[DateOpened]],TODAY()))-1,ABS(NETWORKDAYS(Proc[[#This Row],[DateOpened]],Proc[[#This Row],[DateClosed]]))-1)</f>
        <v>14</v>
      </c>
      <c r="R5119" s="177" t="s">
        <v>481</v>
      </c>
      <c r="S5119" s="150"/>
    </row>
    <row r="5120" spans="1:19" hidden="1">
      <c r="A5120" t="s">
        <v>7384</v>
      </c>
      <c r="B5120" s="150" t="str">
        <f>IFERROR(VLOOKUP(Proc[[#This Row],[App]],Table2[],3,0),"open")</f>
        <v>ok</v>
      </c>
      <c r="C5120" s="149" t="s">
        <v>369</v>
      </c>
      <c r="D5120" t="s">
        <v>7427</v>
      </c>
      <c r="E5120" t="s">
        <v>7392</v>
      </c>
      <c r="F5120" s="150" t="s">
        <v>7392</v>
      </c>
      <c r="G5120" s="149" t="s">
        <v>400</v>
      </c>
      <c r="H5120" s="150" t="str">
        <f>IF(Proc[[#This Row],[type]]="LFF (MDG-F)",MID(Proc[[#This Row],[Obj]],13,10),"")</f>
        <v/>
      </c>
      <c r="J5120" s="150" t="b">
        <f>Proc[[#This Row],[Requested]]=Proc[[#This Row],[CurrentParent]]</f>
        <v>1</v>
      </c>
      <c r="K5120" s="150" t="str">
        <f>IF(Proc[[#This Row],[Author]]="Marcela Urrego",VLOOKUP(LEFT(Proc[[#This Row],[Requested]],1),Table3[#All],2,0),VLOOKUP(Proc[[#This Row],[Author]],Table4[],2,0))</f>
        <v>LS</v>
      </c>
      <c r="L5120" s="150" t="s">
        <v>6435</v>
      </c>
      <c r="M5120" s="177">
        <v>46009</v>
      </c>
      <c r="N5120" s="177"/>
      <c r="O5120" s="177"/>
      <c r="P5120" s="177" t="str">
        <f ca="1">IF(Proc[[#This Row],[DaysAgeing]]&gt;5,"yep","on track")</f>
        <v>yep</v>
      </c>
      <c r="Q5120" s="3">
        <f ca="1">IF(Proc[[#This Row],[DateClosed]]="",ABS(NETWORKDAYS(Proc[[#This Row],[DateOpened]],TODAY()))-1,ABS(NETWORKDAYS(Proc[[#This Row],[DateOpened]],Proc[[#This Row],[DateClosed]]))-1)</f>
        <v>14</v>
      </c>
      <c r="R5120" s="177" t="s">
        <v>489</v>
      </c>
      <c r="S5120" s="150"/>
    </row>
    <row r="5121" spans="1:19" hidden="1">
      <c r="A5121" s="149" t="s">
        <v>7384</v>
      </c>
      <c r="B5121" s="150" t="str">
        <f>IFERROR(VLOOKUP(Proc[[#This Row],[App]],Table2[],3,0),"open")</f>
        <v>ok</v>
      </c>
      <c r="C5121" s="149" t="s">
        <v>369</v>
      </c>
      <c r="D5121" t="s">
        <v>7386</v>
      </c>
      <c r="E5121" t="s">
        <v>4100</v>
      </c>
      <c r="F5121" s="150" t="s">
        <v>4100</v>
      </c>
      <c r="G5121" s="149" t="s">
        <v>400</v>
      </c>
      <c r="H5121" s="150" t="str">
        <f>IF(Proc[[#This Row],[type]]="LFF (MDG-F)",MID(Proc[[#This Row],[Obj]],13,10),"")</f>
        <v/>
      </c>
      <c r="J5121" s="150" t="b">
        <f>Proc[[#This Row],[Requested]]=Proc[[#This Row],[CurrentParent]]</f>
        <v>1</v>
      </c>
      <c r="K5121" s="150" t="str">
        <f>IF(Proc[[#This Row],[Author]]="Marcela Urrego",VLOOKUP(LEFT(Proc[[#This Row],[Requested]],1),Table3[#All],2,0),VLOOKUP(Proc[[#This Row],[Author]],Table4[],2,0))</f>
        <v>LS</v>
      </c>
      <c r="L5121" s="150" t="s">
        <v>6435</v>
      </c>
      <c r="M5121" s="177">
        <v>46009</v>
      </c>
      <c r="N5121" s="177"/>
      <c r="O5121" s="177"/>
      <c r="P5121" s="177" t="str">
        <f ca="1">IF(Proc[[#This Row],[DaysAgeing]]&gt;5,"yep","on track")</f>
        <v>yep</v>
      </c>
      <c r="Q5121" s="3">
        <f ca="1">IF(Proc[[#This Row],[DateClosed]]="",ABS(NETWORKDAYS(Proc[[#This Row],[DateOpened]],TODAY()))-1,ABS(NETWORKDAYS(Proc[[#This Row],[DateOpened]],Proc[[#This Row],[DateClosed]]))-1)</f>
        <v>14</v>
      </c>
      <c r="R5121" s="177" t="s">
        <v>489</v>
      </c>
      <c r="S5121" s="150"/>
    </row>
    <row r="5122" spans="1:19" hidden="1">
      <c r="A5122" s="149" t="s">
        <v>7384</v>
      </c>
      <c r="B5122" s="150" t="str">
        <f>IFERROR(VLOOKUP(Proc[[#This Row],[App]],Table2[],3,0),"open")</f>
        <v>ok</v>
      </c>
      <c r="C5122" s="149" t="s">
        <v>369</v>
      </c>
      <c r="D5122" t="s">
        <v>7387</v>
      </c>
      <c r="E5122" t="s">
        <v>7393</v>
      </c>
      <c r="F5122" s="150" t="s">
        <v>7393</v>
      </c>
      <c r="G5122" s="149" t="s">
        <v>400</v>
      </c>
      <c r="H5122" s="150" t="str">
        <f>IF(Proc[[#This Row],[type]]="LFF (MDG-F)",MID(Proc[[#This Row],[Obj]],13,10),"")</f>
        <v/>
      </c>
      <c r="J5122" s="150" t="b">
        <f>Proc[[#This Row],[Requested]]=Proc[[#This Row],[CurrentParent]]</f>
        <v>1</v>
      </c>
      <c r="K5122" s="150" t="str">
        <f>IF(Proc[[#This Row],[Author]]="Marcela Urrego",VLOOKUP(LEFT(Proc[[#This Row],[Requested]],1),Table3[#All],2,0),VLOOKUP(Proc[[#This Row],[Author]],Table4[],2,0))</f>
        <v>LS</v>
      </c>
      <c r="L5122" s="150" t="s">
        <v>6435</v>
      </c>
      <c r="M5122" s="177">
        <v>46009</v>
      </c>
      <c r="N5122" s="177"/>
      <c r="O5122" s="177"/>
      <c r="P5122" s="177" t="str">
        <f ca="1">IF(Proc[[#This Row],[DaysAgeing]]&gt;5,"yep","on track")</f>
        <v>yep</v>
      </c>
      <c r="Q5122" s="3">
        <f ca="1">IF(Proc[[#This Row],[DateClosed]]="",ABS(NETWORKDAYS(Proc[[#This Row],[DateOpened]],TODAY()))-1,ABS(NETWORKDAYS(Proc[[#This Row],[DateOpened]],Proc[[#This Row],[DateClosed]]))-1)</f>
        <v>14</v>
      </c>
      <c r="R5122" s="177" t="s">
        <v>489</v>
      </c>
      <c r="S5122" s="150"/>
    </row>
    <row r="5123" spans="1:19" hidden="1">
      <c r="A5123" s="149" t="s">
        <v>7384</v>
      </c>
      <c r="B5123" s="150" t="str">
        <f>IFERROR(VLOOKUP(Proc[[#This Row],[App]],Table2[],3,0),"open")</f>
        <v>ok</v>
      </c>
      <c r="C5123" s="149" t="s">
        <v>369</v>
      </c>
      <c r="D5123" t="s">
        <v>7388</v>
      </c>
      <c r="E5123" t="s">
        <v>7394</v>
      </c>
      <c r="F5123" s="150" t="s">
        <v>7394</v>
      </c>
      <c r="G5123" s="149" t="s">
        <v>400</v>
      </c>
      <c r="H5123" s="150" t="str">
        <f>IF(Proc[[#This Row],[type]]="LFF (MDG-F)",MID(Proc[[#This Row],[Obj]],13,10),"")</f>
        <v/>
      </c>
      <c r="J5123" s="150" t="b">
        <f>Proc[[#This Row],[Requested]]=Proc[[#This Row],[CurrentParent]]</f>
        <v>1</v>
      </c>
      <c r="K5123" s="150" t="str">
        <f>IF(Proc[[#This Row],[Author]]="Marcela Urrego",VLOOKUP(LEFT(Proc[[#This Row],[Requested]],1),Table3[#All],2,0),VLOOKUP(Proc[[#This Row],[Author]],Table4[],2,0))</f>
        <v>LS</v>
      </c>
      <c r="L5123" s="150" t="s">
        <v>6435</v>
      </c>
      <c r="M5123" s="177">
        <v>46009</v>
      </c>
      <c r="N5123" s="177"/>
      <c r="O5123" s="177"/>
      <c r="P5123" s="177" t="str">
        <f ca="1">IF(Proc[[#This Row],[DaysAgeing]]&gt;5,"yep","on track")</f>
        <v>yep</v>
      </c>
      <c r="Q5123" s="3">
        <f ca="1">IF(Proc[[#This Row],[DateClosed]]="",ABS(NETWORKDAYS(Proc[[#This Row],[DateOpened]],TODAY()))-1,ABS(NETWORKDAYS(Proc[[#This Row],[DateOpened]],Proc[[#This Row],[DateClosed]]))-1)</f>
        <v>14</v>
      </c>
      <c r="R5123" s="177" t="s">
        <v>489</v>
      </c>
      <c r="S5123" s="150"/>
    </row>
    <row r="5124" spans="1:19" hidden="1">
      <c r="A5124" s="149" t="s">
        <v>7384</v>
      </c>
      <c r="B5124" s="150" t="str">
        <f>IFERROR(VLOOKUP(Proc[[#This Row],[App]],Table2[],3,0),"open")</f>
        <v>ok</v>
      </c>
      <c r="C5124" s="149" t="s">
        <v>369</v>
      </c>
      <c r="D5124" t="s">
        <v>7389</v>
      </c>
      <c r="E5124" t="s">
        <v>4100</v>
      </c>
      <c r="F5124" s="150" t="s">
        <v>4100</v>
      </c>
      <c r="G5124" s="149" t="s">
        <v>400</v>
      </c>
      <c r="H5124" s="150" t="str">
        <f>IF(Proc[[#This Row],[type]]="LFF (MDG-F)",MID(Proc[[#This Row],[Obj]],13,10),"")</f>
        <v/>
      </c>
      <c r="J5124" s="150" t="b">
        <f>Proc[[#This Row],[Requested]]=Proc[[#This Row],[CurrentParent]]</f>
        <v>1</v>
      </c>
      <c r="K5124" s="150" t="str">
        <f>IF(Proc[[#This Row],[Author]]="Marcela Urrego",VLOOKUP(LEFT(Proc[[#This Row],[Requested]],1),Table3[#All],2,0),VLOOKUP(Proc[[#This Row],[Author]],Table4[],2,0))</f>
        <v>LS</v>
      </c>
      <c r="L5124" s="150" t="s">
        <v>6435</v>
      </c>
      <c r="M5124" s="177">
        <v>46009</v>
      </c>
      <c r="N5124" s="177"/>
      <c r="O5124" s="177"/>
      <c r="P5124" s="177" t="str">
        <f ca="1">IF(Proc[[#This Row],[DaysAgeing]]&gt;5,"yep","on track")</f>
        <v>yep</v>
      </c>
      <c r="Q5124" s="3">
        <f ca="1">IF(Proc[[#This Row],[DateClosed]]="",ABS(NETWORKDAYS(Proc[[#This Row],[DateOpened]],TODAY()))-1,ABS(NETWORKDAYS(Proc[[#This Row],[DateOpened]],Proc[[#This Row],[DateClosed]]))-1)</f>
        <v>14</v>
      </c>
      <c r="R5124" s="177" t="s">
        <v>489</v>
      </c>
      <c r="S5124" s="150"/>
    </row>
    <row r="5125" spans="1:19" hidden="1">
      <c r="A5125" s="149" t="s">
        <v>7384</v>
      </c>
      <c r="B5125" s="150" t="str">
        <f>IFERROR(VLOOKUP(Proc[[#This Row],[App]],Table2[],3,0),"open")</f>
        <v>ok</v>
      </c>
      <c r="C5125" s="149" t="s">
        <v>369</v>
      </c>
      <c r="D5125" t="s">
        <v>7390</v>
      </c>
      <c r="E5125" t="s">
        <v>7395</v>
      </c>
      <c r="F5125" s="150" t="s">
        <v>7395</v>
      </c>
      <c r="G5125" s="149" t="s">
        <v>400</v>
      </c>
      <c r="H5125" s="150" t="str">
        <f>IF(Proc[[#This Row],[type]]="LFF (MDG-F)",MID(Proc[[#This Row],[Obj]],13,10),"")</f>
        <v/>
      </c>
      <c r="J5125" s="150" t="b">
        <f>Proc[[#This Row],[Requested]]=Proc[[#This Row],[CurrentParent]]</f>
        <v>1</v>
      </c>
      <c r="K5125" s="150" t="str">
        <f>IF(Proc[[#This Row],[Author]]="Marcela Urrego",VLOOKUP(LEFT(Proc[[#This Row],[Requested]],1),Table3[#All],2,0),VLOOKUP(Proc[[#This Row],[Author]],Table4[],2,0))</f>
        <v>LS</v>
      </c>
      <c r="L5125" s="150" t="s">
        <v>6435</v>
      </c>
      <c r="M5125" s="177">
        <v>46009</v>
      </c>
      <c r="N5125" s="177"/>
      <c r="O5125" s="177"/>
      <c r="P5125" s="177" t="str">
        <f ca="1">IF(Proc[[#This Row],[DaysAgeing]]&gt;5,"yep","on track")</f>
        <v>yep</v>
      </c>
      <c r="Q5125" s="3">
        <f ca="1">IF(Proc[[#This Row],[DateClosed]]="",ABS(NETWORKDAYS(Proc[[#This Row],[DateOpened]],TODAY()))-1,ABS(NETWORKDAYS(Proc[[#This Row],[DateOpened]],Proc[[#This Row],[DateClosed]]))-1)</f>
        <v>14</v>
      </c>
      <c r="R5125" s="177" t="s">
        <v>489</v>
      </c>
      <c r="S5125" s="150"/>
    </row>
    <row r="5126" spans="1:19" hidden="1">
      <c r="A5126" s="149" t="s">
        <v>7384</v>
      </c>
      <c r="B5126" s="150" t="str">
        <f>IFERROR(VLOOKUP(Proc[[#This Row],[App]],Table2[],3,0),"open")</f>
        <v>ok</v>
      </c>
      <c r="C5126" s="149" t="s">
        <v>369</v>
      </c>
      <c r="D5126" t="s">
        <v>7391</v>
      </c>
      <c r="E5126" t="s">
        <v>7396</v>
      </c>
      <c r="F5126" s="150" t="s">
        <v>7396</v>
      </c>
      <c r="G5126" s="149" t="s">
        <v>400</v>
      </c>
      <c r="H5126" s="150" t="str">
        <f>IF(Proc[[#This Row],[type]]="LFF (MDG-F)",MID(Proc[[#This Row],[Obj]],13,10),"")</f>
        <v/>
      </c>
      <c r="J5126" s="150" t="b">
        <f>Proc[[#This Row],[Requested]]=Proc[[#This Row],[CurrentParent]]</f>
        <v>1</v>
      </c>
      <c r="K5126" s="150" t="str">
        <f>IF(Proc[[#This Row],[Author]]="Marcela Urrego",VLOOKUP(LEFT(Proc[[#This Row],[Requested]],1),Table3[#All],2,0),VLOOKUP(Proc[[#This Row],[Author]],Table4[],2,0))</f>
        <v>LS</v>
      </c>
      <c r="L5126" s="150" t="s">
        <v>6435</v>
      </c>
      <c r="M5126" s="177">
        <v>46009</v>
      </c>
      <c r="N5126" s="177"/>
      <c r="O5126" s="177"/>
      <c r="P5126" s="177" t="str">
        <f ca="1">IF(Proc[[#This Row],[DaysAgeing]]&gt;5,"yep","on track")</f>
        <v>yep</v>
      </c>
      <c r="Q5126" s="3">
        <f ca="1">IF(Proc[[#This Row],[DateClosed]]="",ABS(NETWORKDAYS(Proc[[#This Row],[DateOpened]],TODAY()))-1,ABS(NETWORKDAYS(Proc[[#This Row],[DateOpened]],Proc[[#This Row],[DateClosed]]))-1)</f>
        <v>14</v>
      </c>
      <c r="R5126" s="177" t="s">
        <v>489</v>
      </c>
      <c r="S5126" s="150"/>
    </row>
    <row r="5127" spans="1:19" hidden="1">
      <c r="A5127" t="s">
        <v>7399</v>
      </c>
      <c r="B5127" s="150" t="str">
        <f>IFERROR(VLOOKUP(Proc[[#This Row],[App]],Table2[],3,0),"open")</f>
        <v>ok</v>
      </c>
      <c r="C5127" s="149" t="s">
        <v>369</v>
      </c>
      <c r="D5127" t="s">
        <v>2089</v>
      </c>
      <c r="E5127" t="s">
        <v>2092</v>
      </c>
      <c r="F5127" s="150" t="s">
        <v>2092</v>
      </c>
      <c r="G5127" s="149" t="s">
        <v>400</v>
      </c>
      <c r="H5127" s="150" t="str">
        <f>IF(Proc[[#This Row],[type]]="LFF (MDG-F)",MID(Proc[[#This Row],[Obj]],13,10),"")</f>
        <v/>
      </c>
      <c r="J5127" s="150" t="b">
        <f>Proc[[#This Row],[Requested]]=Proc[[#This Row],[CurrentParent]]</f>
        <v>1</v>
      </c>
      <c r="K5127" s="150" t="str">
        <f>IF(Proc[[#This Row],[Author]]="Marcela Urrego",VLOOKUP(LEFT(Proc[[#This Row],[Requested]],1),Table3[#All],2,0),VLOOKUP(Proc[[#This Row],[Author]],Table4[],2,0))</f>
        <v>MGF</v>
      </c>
      <c r="L5127" s="150" t="s">
        <v>6435</v>
      </c>
      <c r="M5127" s="177">
        <v>46009</v>
      </c>
      <c r="N5127" s="177"/>
      <c r="O5127" s="177"/>
      <c r="P5127" s="177" t="str">
        <f ca="1">IF(Proc[[#This Row],[DaysAgeing]]&gt;5,"yep","on track")</f>
        <v>yep</v>
      </c>
      <c r="Q5127" s="3">
        <f ca="1">IF(Proc[[#This Row],[DateClosed]]="",ABS(NETWORKDAYS(Proc[[#This Row],[DateOpened]],TODAY()))-1,ABS(NETWORKDAYS(Proc[[#This Row],[DateOpened]],Proc[[#This Row],[DateClosed]]))-1)</f>
        <v>14</v>
      </c>
      <c r="R5127" s="177" t="s">
        <v>481</v>
      </c>
      <c r="S5127" s="150"/>
    </row>
    <row r="5128" spans="1:19" hidden="1">
      <c r="A5128" s="149" t="s">
        <v>7399</v>
      </c>
      <c r="B5128" s="150" t="str">
        <f>IFERROR(VLOOKUP(Proc[[#This Row],[App]],Table2[],3,0),"open")</f>
        <v>ok</v>
      </c>
      <c r="C5128" s="149" t="s">
        <v>369</v>
      </c>
      <c r="D5128" t="s">
        <v>2090</v>
      </c>
      <c r="E5128" t="s">
        <v>2093</v>
      </c>
      <c r="F5128" s="150" t="s">
        <v>2093</v>
      </c>
      <c r="G5128" s="149" t="s">
        <v>400</v>
      </c>
      <c r="H5128" s="150" t="str">
        <f>IF(Proc[[#This Row],[type]]="LFF (MDG-F)",MID(Proc[[#This Row],[Obj]],13,10),"")</f>
        <v/>
      </c>
      <c r="J5128" s="150" t="b">
        <f>Proc[[#This Row],[Requested]]=Proc[[#This Row],[CurrentParent]]</f>
        <v>1</v>
      </c>
      <c r="K5128" s="150" t="str">
        <f>IF(Proc[[#This Row],[Author]]="Marcela Urrego",VLOOKUP(LEFT(Proc[[#This Row],[Requested]],1),Table3[#All],2,0),VLOOKUP(Proc[[#This Row],[Author]],Table4[],2,0))</f>
        <v>MGF</v>
      </c>
      <c r="L5128" s="150" t="s">
        <v>6435</v>
      </c>
      <c r="M5128" s="177">
        <v>46009</v>
      </c>
      <c r="N5128" s="177"/>
      <c r="O5128" s="177"/>
      <c r="P5128" s="177" t="str">
        <f ca="1">IF(Proc[[#This Row],[DaysAgeing]]&gt;5,"yep","on track")</f>
        <v>yep</v>
      </c>
      <c r="Q5128" s="3">
        <f ca="1">IF(Proc[[#This Row],[DateClosed]]="",ABS(NETWORKDAYS(Proc[[#This Row],[DateOpened]],TODAY()))-1,ABS(NETWORKDAYS(Proc[[#This Row],[DateOpened]],Proc[[#This Row],[DateClosed]]))-1)</f>
        <v>14</v>
      </c>
      <c r="R5128" s="177" t="s">
        <v>481</v>
      </c>
      <c r="S5128" s="150"/>
    </row>
    <row r="5129" spans="1:19" hidden="1">
      <c r="A5129" s="149" t="s">
        <v>7399</v>
      </c>
      <c r="B5129" s="150" t="str">
        <f>IFERROR(VLOOKUP(Proc[[#This Row],[App]],Table2[],3,0),"open")</f>
        <v>ok</v>
      </c>
      <c r="C5129" s="149" t="s">
        <v>369</v>
      </c>
      <c r="D5129" t="s">
        <v>7397</v>
      </c>
      <c r="E5129" t="s">
        <v>1362</v>
      </c>
      <c r="F5129" s="150" t="s">
        <v>1362</v>
      </c>
      <c r="G5129" s="149" t="s">
        <v>406</v>
      </c>
      <c r="H5129" s="150" t="str">
        <f>IF(Proc[[#This Row],[type]]="LFF (MDG-F)",MID(Proc[[#This Row],[Obj]],13,10),"")</f>
        <v>DE10538620</v>
      </c>
      <c r="J5129" s="150" t="b">
        <f>Proc[[#This Row],[Requested]]=Proc[[#This Row],[CurrentParent]]</f>
        <v>1</v>
      </c>
      <c r="K5129" s="150" t="str">
        <f>IF(Proc[[#This Row],[Author]]="Marcela Urrego",VLOOKUP(LEFT(Proc[[#This Row],[Requested]],1),Table3[#All],2,0),VLOOKUP(Proc[[#This Row],[Author]],Table4[],2,0))</f>
        <v>MGF</v>
      </c>
      <c r="L5129" s="150" t="s">
        <v>6435</v>
      </c>
      <c r="M5129" s="177">
        <v>46009</v>
      </c>
      <c r="N5129" s="177"/>
      <c r="O5129" s="177"/>
      <c r="P5129" s="177" t="str">
        <f ca="1">IF(Proc[[#This Row],[DaysAgeing]]&gt;5,"yep","on track")</f>
        <v>yep</v>
      </c>
      <c r="Q5129" s="3">
        <f ca="1">IF(Proc[[#This Row],[DateClosed]]="",ABS(NETWORKDAYS(Proc[[#This Row],[DateOpened]],TODAY()))-1,ABS(NETWORKDAYS(Proc[[#This Row],[DateOpened]],Proc[[#This Row],[DateClosed]]))-1)</f>
        <v>14</v>
      </c>
      <c r="R5129" s="177" t="s">
        <v>481</v>
      </c>
      <c r="S5129" s="150"/>
    </row>
    <row r="5130" spans="1:19" hidden="1">
      <c r="A5130" s="149" t="s">
        <v>7399</v>
      </c>
      <c r="B5130" s="150" t="str">
        <f>IFERROR(VLOOKUP(Proc[[#This Row],[App]],Table2[],3,0),"open")</f>
        <v>ok</v>
      </c>
      <c r="C5130" s="149" t="s">
        <v>369</v>
      </c>
      <c r="D5130" t="s">
        <v>7398</v>
      </c>
      <c r="E5130" t="s">
        <v>1362</v>
      </c>
      <c r="F5130" s="150" t="s">
        <v>1362</v>
      </c>
      <c r="G5130" s="149" t="s">
        <v>406</v>
      </c>
      <c r="H5130" s="150" t="str">
        <f>IF(Proc[[#This Row],[type]]="LFF (MDG-F)",MID(Proc[[#This Row],[Obj]],13,10),"")</f>
        <v>DE20538620</v>
      </c>
      <c r="J5130" s="150" t="b">
        <f>Proc[[#This Row],[Requested]]=Proc[[#This Row],[CurrentParent]]</f>
        <v>1</v>
      </c>
      <c r="K5130" s="150" t="str">
        <f>IF(Proc[[#This Row],[Author]]="Marcela Urrego",VLOOKUP(LEFT(Proc[[#This Row],[Requested]],1),Table3[#All],2,0),VLOOKUP(Proc[[#This Row],[Author]],Table4[],2,0))</f>
        <v>MGF</v>
      </c>
      <c r="L5130" s="150" t="s">
        <v>6435</v>
      </c>
      <c r="M5130" s="177">
        <v>46009</v>
      </c>
      <c r="N5130" s="177"/>
      <c r="O5130" s="177"/>
      <c r="P5130" s="177" t="str">
        <f ca="1">IF(Proc[[#This Row],[DaysAgeing]]&gt;5,"yep","on track")</f>
        <v>yep</v>
      </c>
      <c r="Q5130" s="3">
        <f ca="1">IF(Proc[[#This Row],[DateClosed]]="",ABS(NETWORKDAYS(Proc[[#This Row],[DateOpened]],TODAY()))-1,ABS(NETWORKDAYS(Proc[[#This Row],[DateOpened]],Proc[[#This Row],[DateClosed]]))-1)</f>
        <v>14</v>
      </c>
      <c r="R5130" s="177" t="s">
        <v>481</v>
      </c>
      <c r="S5130" s="150"/>
    </row>
    <row r="5131" spans="1:19" hidden="1">
      <c r="A5131" s="149" t="s">
        <v>7410</v>
      </c>
      <c r="B5131" s="150" t="str">
        <f>IFERROR(VLOOKUP(Proc[[#This Row],[App]],Table2[],3,0),"open")</f>
        <v>open</v>
      </c>
      <c r="C5131" s="149" t="s">
        <v>369</v>
      </c>
      <c r="D5131" t="s">
        <v>7412</v>
      </c>
      <c r="E5131" t="s">
        <v>7409</v>
      </c>
      <c r="F5131" s="150" t="s">
        <v>7409</v>
      </c>
      <c r="G5131" s="149" t="s">
        <v>400</v>
      </c>
      <c r="H5131" s="150" t="str">
        <f>IF(Proc[[#This Row],[type]]="LFF (MDG-F)",MID(Proc[[#This Row],[Obj]],13,10),"")</f>
        <v/>
      </c>
      <c r="J5131" s="150" t="b">
        <f>Proc[[#This Row],[Requested]]=Proc[[#This Row],[CurrentParent]]</f>
        <v>1</v>
      </c>
      <c r="K5131" s="150" t="str">
        <f>IF(Proc[[#This Row],[Author]]="Marcela Urrego",VLOOKUP(LEFT(Proc[[#This Row],[Requested]],1),Table3[#All],2,0),VLOOKUP(Proc[[#This Row],[Author]],Table4[],2,0))</f>
        <v>MGF</v>
      </c>
      <c r="L5131" s="150" t="s">
        <v>6435</v>
      </c>
      <c r="M5131" s="177">
        <v>46015</v>
      </c>
      <c r="N5131" s="177"/>
      <c r="O5131" s="177"/>
      <c r="P5131" s="177" t="str">
        <f ca="1">IF(Proc[[#This Row],[DaysAgeing]]&gt;5,"yep","on track")</f>
        <v>yep</v>
      </c>
      <c r="Q5131" s="3">
        <f ca="1">IF(Proc[[#This Row],[DateClosed]]="",ABS(NETWORKDAYS(Proc[[#This Row],[DateOpened]],TODAY()))-1,ABS(NETWORKDAYS(Proc[[#This Row],[DateOpened]],Proc[[#This Row],[DateClosed]]))-1)</f>
        <v>10</v>
      </c>
      <c r="R5131" s="177" t="s">
        <v>7411</v>
      </c>
      <c r="S5131" s="150"/>
    </row>
    <row r="5132" spans="1:19" hidden="1">
      <c r="A5132" s="149" t="s">
        <v>7410</v>
      </c>
      <c r="B5132" s="150" t="str">
        <f>IFERROR(VLOOKUP(Proc[[#This Row],[App]],Table2[],3,0),"open")</f>
        <v>open</v>
      </c>
      <c r="C5132" s="149" t="s">
        <v>369</v>
      </c>
      <c r="D5132" t="s">
        <v>7413</v>
      </c>
      <c r="E5132" t="s">
        <v>7409</v>
      </c>
      <c r="F5132" s="150" t="s">
        <v>7409</v>
      </c>
      <c r="G5132" s="149" t="s">
        <v>400</v>
      </c>
      <c r="H5132" s="150" t="str">
        <f>IF(Proc[[#This Row],[type]]="LFF (MDG-F)",MID(Proc[[#This Row],[Obj]],13,10),"")</f>
        <v/>
      </c>
      <c r="J5132" s="150" t="b">
        <f>Proc[[#This Row],[Requested]]=Proc[[#This Row],[CurrentParent]]</f>
        <v>1</v>
      </c>
      <c r="K5132" s="150" t="str">
        <f>IF(Proc[[#This Row],[Author]]="Marcela Urrego",VLOOKUP(LEFT(Proc[[#This Row],[Requested]],1),Table3[#All],2,0),VLOOKUP(Proc[[#This Row],[Author]],Table4[],2,0))</f>
        <v>MGF</v>
      </c>
      <c r="L5132" s="150" t="s">
        <v>6435</v>
      </c>
      <c r="M5132" s="177">
        <v>46015</v>
      </c>
      <c r="N5132" s="177"/>
      <c r="O5132" s="177"/>
      <c r="P5132" s="177" t="str">
        <f ca="1">IF(Proc[[#This Row],[DaysAgeing]]&gt;5,"yep","on track")</f>
        <v>yep</v>
      </c>
      <c r="Q5132" s="3">
        <f ca="1">IF(Proc[[#This Row],[DateClosed]]="",ABS(NETWORKDAYS(Proc[[#This Row],[DateOpened]],TODAY()))-1,ABS(NETWORKDAYS(Proc[[#This Row],[DateOpened]],Proc[[#This Row],[DateClosed]]))-1)</f>
        <v>10</v>
      </c>
      <c r="R5132" s="177" t="s">
        <v>7411</v>
      </c>
      <c r="S5132" s="150"/>
    </row>
    <row r="5133" spans="1:19" hidden="1">
      <c r="A5133" s="149" t="s">
        <v>7410</v>
      </c>
      <c r="B5133" s="150" t="str">
        <f>IFERROR(VLOOKUP(Proc[[#This Row],[App]],Table2[],3,0),"open")</f>
        <v>open</v>
      </c>
      <c r="C5133" s="149" t="s">
        <v>369</v>
      </c>
      <c r="D5133" t="s">
        <v>7414</v>
      </c>
      <c r="E5133" t="s">
        <v>7409</v>
      </c>
      <c r="F5133" s="150" t="s">
        <v>7409</v>
      </c>
      <c r="G5133" s="149" t="s">
        <v>400</v>
      </c>
      <c r="H5133" s="150" t="str">
        <f>IF(Proc[[#This Row],[type]]="LFF (MDG-F)",MID(Proc[[#This Row],[Obj]],13,10),"")</f>
        <v/>
      </c>
      <c r="J5133" s="150" t="b">
        <f>Proc[[#This Row],[Requested]]=Proc[[#This Row],[CurrentParent]]</f>
        <v>1</v>
      </c>
      <c r="K5133" s="150" t="str">
        <f>IF(Proc[[#This Row],[Author]]="Marcela Urrego",VLOOKUP(LEFT(Proc[[#This Row],[Requested]],1),Table3[#All],2,0),VLOOKUP(Proc[[#This Row],[Author]],Table4[],2,0))</f>
        <v>MGF</v>
      </c>
      <c r="L5133" s="150" t="s">
        <v>6435</v>
      </c>
      <c r="M5133" s="177">
        <v>46015</v>
      </c>
      <c r="N5133" s="177"/>
      <c r="O5133" s="177"/>
      <c r="P5133" s="177" t="str">
        <f ca="1">IF(Proc[[#This Row],[DaysAgeing]]&gt;5,"yep","on track")</f>
        <v>yep</v>
      </c>
      <c r="Q5133" s="3">
        <f ca="1">IF(Proc[[#This Row],[DateClosed]]="",ABS(NETWORKDAYS(Proc[[#This Row],[DateOpened]],TODAY()))-1,ABS(NETWORKDAYS(Proc[[#This Row],[DateOpened]],Proc[[#This Row],[DateClosed]]))-1)</f>
        <v>10</v>
      </c>
      <c r="R5133" s="177" t="s">
        <v>7411</v>
      </c>
      <c r="S5133" s="150"/>
    </row>
    <row r="5134" spans="1:19" hidden="1">
      <c r="A5134" s="149" t="s">
        <v>7410</v>
      </c>
      <c r="B5134" s="150" t="str">
        <f>IFERROR(VLOOKUP(Proc[[#This Row],[App]],Table2[],3,0),"open")</f>
        <v>open</v>
      </c>
      <c r="C5134" s="149" t="s">
        <v>369</v>
      </c>
      <c r="D5134" t="s">
        <v>7415</v>
      </c>
      <c r="E5134" t="s">
        <v>7409</v>
      </c>
      <c r="F5134" s="150" t="s">
        <v>7409</v>
      </c>
      <c r="G5134" s="149" t="s">
        <v>400</v>
      </c>
      <c r="H5134" s="150" t="str">
        <f>IF(Proc[[#This Row],[type]]="LFF (MDG-F)",MID(Proc[[#This Row],[Obj]],13,10),"")</f>
        <v/>
      </c>
      <c r="J5134" s="150" t="b">
        <f>Proc[[#This Row],[Requested]]=Proc[[#This Row],[CurrentParent]]</f>
        <v>1</v>
      </c>
      <c r="K5134" s="150" t="str">
        <f>IF(Proc[[#This Row],[Author]]="Marcela Urrego",VLOOKUP(LEFT(Proc[[#This Row],[Requested]],1),Table3[#All],2,0),VLOOKUP(Proc[[#This Row],[Author]],Table4[],2,0))</f>
        <v>MGF</v>
      </c>
      <c r="L5134" s="150" t="s">
        <v>6435</v>
      </c>
      <c r="M5134" s="177">
        <v>46015</v>
      </c>
      <c r="N5134" s="177"/>
      <c r="O5134" s="177"/>
      <c r="P5134" s="177" t="str">
        <f ca="1">IF(Proc[[#This Row],[DaysAgeing]]&gt;5,"yep","on track")</f>
        <v>yep</v>
      </c>
      <c r="Q5134" s="3">
        <f ca="1">IF(Proc[[#This Row],[DateClosed]]="",ABS(NETWORKDAYS(Proc[[#This Row],[DateOpened]],TODAY()))-1,ABS(NETWORKDAYS(Proc[[#This Row],[DateOpened]],Proc[[#This Row],[DateClosed]]))-1)</f>
        <v>10</v>
      </c>
      <c r="R5134" s="177" t="s">
        <v>7411</v>
      </c>
      <c r="S5134" s="150"/>
    </row>
    <row r="5135" spans="1:19" hidden="1">
      <c r="A5135" s="149" t="s">
        <v>7410</v>
      </c>
      <c r="B5135" s="150" t="str">
        <f>IFERROR(VLOOKUP(Proc[[#This Row],[App]],Table2[],3,0),"open")</f>
        <v>open</v>
      </c>
      <c r="C5135" s="149" t="s">
        <v>369</v>
      </c>
      <c r="D5135" t="s">
        <v>7416</v>
      </c>
      <c r="E5135" t="s">
        <v>7409</v>
      </c>
      <c r="F5135" s="150" t="s">
        <v>7409</v>
      </c>
      <c r="G5135" s="149" t="s">
        <v>400</v>
      </c>
      <c r="H5135" s="150" t="str">
        <f>IF(Proc[[#This Row],[type]]="LFF (MDG-F)",MID(Proc[[#This Row],[Obj]],13,10),"")</f>
        <v/>
      </c>
      <c r="J5135" s="150" t="b">
        <f>Proc[[#This Row],[Requested]]=Proc[[#This Row],[CurrentParent]]</f>
        <v>1</v>
      </c>
      <c r="K5135" s="150" t="str">
        <f>IF(Proc[[#This Row],[Author]]="Marcela Urrego",VLOOKUP(LEFT(Proc[[#This Row],[Requested]],1),Table3[#All],2,0),VLOOKUP(Proc[[#This Row],[Author]],Table4[],2,0))</f>
        <v>MGF</v>
      </c>
      <c r="L5135" s="150" t="s">
        <v>6435</v>
      </c>
      <c r="M5135" s="177">
        <v>46015</v>
      </c>
      <c r="N5135" s="177"/>
      <c r="O5135" s="177"/>
      <c r="P5135" s="177" t="str">
        <f ca="1">IF(Proc[[#This Row],[DaysAgeing]]&gt;5,"yep","on track")</f>
        <v>yep</v>
      </c>
      <c r="Q5135" s="3">
        <f ca="1">IF(Proc[[#This Row],[DateClosed]]="",ABS(NETWORKDAYS(Proc[[#This Row],[DateOpened]],TODAY()))-1,ABS(NETWORKDAYS(Proc[[#This Row],[DateOpened]],Proc[[#This Row],[DateClosed]]))-1)</f>
        <v>10</v>
      </c>
      <c r="R5135" s="177" t="s">
        <v>7411</v>
      </c>
      <c r="S5135" s="150"/>
    </row>
    <row r="5136" spans="1:19" hidden="1">
      <c r="A5136" s="149" t="s">
        <v>7410</v>
      </c>
      <c r="B5136" s="150" t="str">
        <f>IFERROR(VLOOKUP(Proc[[#This Row],[App]],Table2[],3,0),"open")</f>
        <v>open</v>
      </c>
      <c r="C5136" s="149" t="s">
        <v>369</v>
      </c>
      <c r="D5136" t="s">
        <v>7414</v>
      </c>
      <c r="E5136" t="s">
        <v>7409</v>
      </c>
      <c r="F5136" s="150" t="s">
        <v>7409</v>
      </c>
      <c r="G5136" s="149" t="s">
        <v>400</v>
      </c>
      <c r="H5136" s="150" t="str">
        <f>IF(Proc[[#This Row],[type]]="LFF (MDG-F)",MID(Proc[[#This Row],[Obj]],13,10),"")</f>
        <v/>
      </c>
      <c r="J5136" s="150" t="b">
        <f>Proc[[#This Row],[Requested]]=Proc[[#This Row],[CurrentParent]]</f>
        <v>1</v>
      </c>
      <c r="K5136" s="150" t="str">
        <f>IF(Proc[[#This Row],[Author]]="Marcela Urrego",VLOOKUP(LEFT(Proc[[#This Row],[Requested]],1),Table3[#All],2,0),VLOOKUP(Proc[[#This Row],[Author]],Table4[],2,0))</f>
        <v>MGF</v>
      </c>
      <c r="L5136" s="150" t="s">
        <v>6435</v>
      </c>
      <c r="M5136" s="177">
        <v>46015</v>
      </c>
      <c r="N5136" s="177"/>
      <c r="O5136" s="177"/>
      <c r="P5136" s="177" t="str">
        <f ca="1">IF(Proc[[#This Row],[DaysAgeing]]&gt;5,"yep","on track")</f>
        <v>yep</v>
      </c>
      <c r="Q5136" s="3">
        <f ca="1">IF(Proc[[#This Row],[DateClosed]]="",ABS(NETWORKDAYS(Proc[[#This Row],[DateOpened]],TODAY()))-1,ABS(NETWORKDAYS(Proc[[#This Row],[DateOpened]],Proc[[#This Row],[DateClosed]]))-1)</f>
        <v>10</v>
      </c>
      <c r="R5136" s="177" t="s">
        <v>7411</v>
      </c>
      <c r="S5136" s="150"/>
    </row>
    <row r="5137" spans="1:19" hidden="1">
      <c r="A5137" s="149" t="s">
        <v>7410</v>
      </c>
      <c r="B5137" s="150" t="str">
        <f>IFERROR(VLOOKUP(Proc[[#This Row],[App]],Table2[],3,0),"open")</f>
        <v>open</v>
      </c>
      <c r="C5137" s="149" t="s">
        <v>369</v>
      </c>
      <c r="D5137" t="s">
        <v>7417</v>
      </c>
      <c r="E5137" t="s">
        <v>7409</v>
      </c>
      <c r="F5137" s="150" t="s">
        <v>7409</v>
      </c>
      <c r="G5137" s="149" t="s">
        <v>400</v>
      </c>
      <c r="H5137" s="150" t="str">
        <f>IF(Proc[[#This Row],[type]]="LFF (MDG-F)",MID(Proc[[#This Row],[Obj]],13,10),"")</f>
        <v/>
      </c>
      <c r="J5137" s="150" t="b">
        <f>Proc[[#This Row],[Requested]]=Proc[[#This Row],[CurrentParent]]</f>
        <v>1</v>
      </c>
      <c r="K5137" s="150" t="str">
        <f>IF(Proc[[#This Row],[Author]]="Marcela Urrego",VLOOKUP(LEFT(Proc[[#This Row],[Requested]],1),Table3[#All],2,0),VLOOKUP(Proc[[#This Row],[Author]],Table4[],2,0))</f>
        <v>MGF</v>
      </c>
      <c r="L5137" s="150" t="s">
        <v>6435</v>
      </c>
      <c r="M5137" s="177">
        <v>46015</v>
      </c>
      <c r="N5137" s="177"/>
      <c r="O5137" s="177"/>
      <c r="P5137" s="177" t="str">
        <f ca="1">IF(Proc[[#This Row],[DaysAgeing]]&gt;5,"yep","on track")</f>
        <v>yep</v>
      </c>
      <c r="Q5137" s="3">
        <f ca="1">IF(Proc[[#This Row],[DateClosed]]="",ABS(NETWORKDAYS(Proc[[#This Row],[DateOpened]],TODAY()))-1,ABS(NETWORKDAYS(Proc[[#This Row],[DateOpened]],Proc[[#This Row],[DateClosed]]))-1)</f>
        <v>10</v>
      </c>
      <c r="R5137" s="177" t="s">
        <v>7411</v>
      </c>
      <c r="S5137" s="150"/>
    </row>
    <row r="5138" spans="1:19" hidden="1">
      <c r="A5138" s="149" t="s">
        <v>7410</v>
      </c>
      <c r="B5138" s="150" t="str">
        <f>IFERROR(VLOOKUP(Proc[[#This Row],[App]],Table2[],3,0),"open")</f>
        <v>open</v>
      </c>
      <c r="C5138" s="149" t="s">
        <v>369</v>
      </c>
      <c r="D5138" t="s">
        <v>7418</v>
      </c>
      <c r="E5138" t="s">
        <v>7409</v>
      </c>
      <c r="F5138" s="150" t="s">
        <v>7409</v>
      </c>
      <c r="G5138" s="149" t="s">
        <v>400</v>
      </c>
      <c r="H5138" s="150" t="str">
        <f>IF(Proc[[#This Row],[type]]="LFF (MDG-F)",MID(Proc[[#This Row],[Obj]],13,10),"")</f>
        <v/>
      </c>
      <c r="J5138" s="150" t="b">
        <f>Proc[[#This Row],[Requested]]=Proc[[#This Row],[CurrentParent]]</f>
        <v>1</v>
      </c>
      <c r="K5138" s="150" t="str">
        <f>IF(Proc[[#This Row],[Author]]="Marcela Urrego",VLOOKUP(LEFT(Proc[[#This Row],[Requested]],1),Table3[#All],2,0),VLOOKUP(Proc[[#This Row],[Author]],Table4[],2,0))</f>
        <v>MGF</v>
      </c>
      <c r="L5138" s="150" t="s">
        <v>6435</v>
      </c>
      <c r="M5138" s="177">
        <v>46015</v>
      </c>
      <c r="N5138" s="177"/>
      <c r="O5138" s="177"/>
      <c r="P5138" s="177" t="str">
        <f ca="1">IF(Proc[[#This Row],[DaysAgeing]]&gt;5,"yep","on track")</f>
        <v>yep</v>
      </c>
      <c r="Q5138" s="3">
        <f ca="1">IF(Proc[[#This Row],[DateClosed]]="",ABS(NETWORKDAYS(Proc[[#This Row],[DateOpened]],TODAY()))-1,ABS(NETWORKDAYS(Proc[[#This Row],[DateOpened]],Proc[[#This Row],[DateClosed]]))-1)</f>
        <v>10</v>
      </c>
      <c r="R5138" s="177" t="s">
        <v>7411</v>
      </c>
      <c r="S5138" s="150"/>
    </row>
    <row r="5139" spans="1:19" hidden="1">
      <c r="A5139" s="149" t="s">
        <v>7410</v>
      </c>
      <c r="B5139" s="150" t="str">
        <f>IFERROR(VLOOKUP(Proc[[#This Row],[App]],Table2[],3,0),"open")</f>
        <v>open</v>
      </c>
      <c r="C5139" s="149" t="s">
        <v>369</v>
      </c>
      <c r="D5139" t="s">
        <v>7419</v>
      </c>
      <c r="E5139" t="s">
        <v>7409</v>
      </c>
      <c r="F5139" s="150" t="s">
        <v>7409</v>
      </c>
      <c r="G5139" s="149" t="s">
        <v>400</v>
      </c>
      <c r="H5139" s="150" t="str">
        <f>IF(Proc[[#This Row],[type]]="LFF (MDG-F)",MID(Proc[[#This Row],[Obj]],13,10),"")</f>
        <v/>
      </c>
      <c r="J5139" s="150" t="b">
        <f>Proc[[#This Row],[Requested]]=Proc[[#This Row],[CurrentParent]]</f>
        <v>1</v>
      </c>
      <c r="K5139" s="150" t="str">
        <f>IF(Proc[[#This Row],[Author]]="Marcela Urrego",VLOOKUP(LEFT(Proc[[#This Row],[Requested]],1),Table3[#All],2,0),VLOOKUP(Proc[[#This Row],[Author]],Table4[],2,0))</f>
        <v>MGF</v>
      </c>
      <c r="L5139" s="150" t="s">
        <v>6435</v>
      </c>
      <c r="M5139" s="177">
        <v>46015</v>
      </c>
      <c r="N5139" s="177"/>
      <c r="O5139" s="177"/>
      <c r="P5139" s="177" t="str">
        <f ca="1">IF(Proc[[#This Row],[DaysAgeing]]&gt;5,"yep","on track")</f>
        <v>yep</v>
      </c>
      <c r="Q5139" s="3">
        <f ca="1">IF(Proc[[#This Row],[DateClosed]]="",ABS(NETWORKDAYS(Proc[[#This Row],[DateOpened]],TODAY()))-1,ABS(NETWORKDAYS(Proc[[#This Row],[DateOpened]],Proc[[#This Row],[DateClosed]]))-1)</f>
        <v>10</v>
      </c>
      <c r="R5139" s="177" t="s">
        <v>7411</v>
      </c>
      <c r="S5139" s="150"/>
    </row>
    <row r="5140" spans="1:19" hidden="1">
      <c r="A5140" s="149" t="s">
        <v>7410</v>
      </c>
      <c r="B5140" s="150" t="str">
        <f>IFERROR(VLOOKUP(Proc[[#This Row],[App]],Table2[],3,0),"open")</f>
        <v>open</v>
      </c>
      <c r="C5140" s="149" t="s">
        <v>369</v>
      </c>
      <c r="D5140" t="s">
        <v>7420</v>
      </c>
      <c r="E5140" t="s">
        <v>7409</v>
      </c>
      <c r="F5140" s="150" t="s">
        <v>7409</v>
      </c>
      <c r="G5140" s="149" t="s">
        <v>400</v>
      </c>
      <c r="H5140" s="150" t="str">
        <f>IF(Proc[[#This Row],[type]]="LFF (MDG-F)",MID(Proc[[#This Row],[Obj]],13,10),"")</f>
        <v/>
      </c>
      <c r="J5140" s="150" t="b">
        <f>Proc[[#This Row],[Requested]]=Proc[[#This Row],[CurrentParent]]</f>
        <v>1</v>
      </c>
      <c r="K5140" s="150" t="str">
        <f>IF(Proc[[#This Row],[Author]]="Marcela Urrego",VLOOKUP(LEFT(Proc[[#This Row],[Requested]],1),Table3[#All],2,0),VLOOKUP(Proc[[#This Row],[Author]],Table4[],2,0))</f>
        <v>MGF</v>
      </c>
      <c r="L5140" s="150" t="s">
        <v>6435</v>
      </c>
      <c r="M5140" s="177">
        <v>46015</v>
      </c>
      <c r="N5140" s="177"/>
      <c r="O5140" s="177"/>
      <c r="P5140" s="177" t="str">
        <f ca="1">IF(Proc[[#This Row],[DaysAgeing]]&gt;5,"yep","on track")</f>
        <v>yep</v>
      </c>
      <c r="Q5140" s="3">
        <f ca="1">IF(Proc[[#This Row],[DateClosed]]="",ABS(NETWORKDAYS(Proc[[#This Row],[DateOpened]],TODAY()))-1,ABS(NETWORKDAYS(Proc[[#This Row],[DateOpened]],Proc[[#This Row],[DateClosed]]))-1)</f>
        <v>10</v>
      </c>
      <c r="R5140" s="177" t="s">
        <v>7411</v>
      </c>
      <c r="S5140" s="150"/>
    </row>
    <row r="5141" spans="1:19" hidden="1">
      <c r="A5141" s="149" t="s">
        <v>7410</v>
      </c>
      <c r="B5141" s="150" t="str">
        <f>IFERROR(VLOOKUP(Proc[[#This Row],[App]],Table2[],3,0),"open")</f>
        <v>open</v>
      </c>
      <c r="C5141" s="149" t="s">
        <v>369</v>
      </c>
      <c r="D5141" t="s">
        <v>7421</v>
      </c>
      <c r="E5141" t="s">
        <v>7409</v>
      </c>
      <c r="F5141" s="150" t="s">
        <v>7409</v>
      </c>
      <c r="G5141" s="149" t="s">
        <v>400</v>
      </c>
      <c r="H5141" s="150" t="str">
        <f>IF(Proc[[#This Row],[type]]="LFF (MDG-F)",MID(Proc[[#This Row],[Obj]],13,10),"")</f>
        <v/>
      </c>
      <c r="J5141" s="150" t="b">
        <f>Proc[[#This Row],[Requested]]=Proc[[#This Row],[CurrentParent]]</f>
        <v>1</v>
      </c>
      <c r="K5141" s="150" t="str">
        <f>IF(Proc[[#This Row],[Author]]="Marcela Urrego",VLOOKUP(LEFT(Proc[[#This Row],[Requested]],1),Table3[#All],2,0),VLOOKUP(Proc[[#This Row],[Author]],Table4[],2,0))</f>
        <v>MGF</v>
      </c>
      <c r="L5141" s="150" t="s">
        <v>6435</v>
      </c>
      <c r="M5141" s="177">
        <v>46015</v>
      </c>
      <c r="N5141" s="177"/>
      <c r="O5141" s="177"/>
      <c r="P5141" s="177" t="str">
        <f ca="1">IF(Proc[[#This Row],[DaysAgeing]]&gt;5,"yep","on track")</f>
        <v>yep</v>
      </c>
      <c r="Q5141" s="3">
        <f ca="1">IF(Proc[[#This Row],[DateClosed]]="",ABS(NETWORKDAYS(Proc[[#This Row],[DateOpened]],TODAY()))-1,ABS(NETWORKDAYS(Proc[[#This Row],[DateOpened]],Proc[[#This Row],[DateClosed]]))-1)</f>
        <v>10</v>
      </c>
      <c r="R5141" s="177" t="s">
        <v>7411</v>
      </c>
      <c r="S5141" s="150"/>
    </row>
    <row r="5142" spans="1:19" hidden="1">
      <c r="A5142" s="149" t="s">
        <v>7410</v>
      </c>
      <c r="B5142" s="150" t="str">
        <f>IFERROR(VLOOKUP(Proc[[#This Row],[App]],Table2[],3,0),"open")</f>
        <v>open</v>
      </c>
      <c r="C5142" s="149" t="s">
        <v>369</v>
      </c>
      <c r="D5142" t="s">
        <v>7422</v>
      </c>
      <c r="E5142" t="s">
        <v>7409</v>
      </c>
      <c r="F5142" s="150" t="s">
        <v>7409</v>
      </c>
      <c r="G5142" s="149" t="s">
        <v>400</v>
      </c>
      <c r="H5142" s="150" t="str">
        <f>IF(Proc[[#This Row],[type]]="LFF (MDG-F)",MID(Proc[[#This Row],[Obj]],13,10),"")</f>
        <v/>
      </c>
      <c r="J5142" s="150" t="b">
        <f>Proc[[#This Row],[Requested]]=Proc[[#This Row],[CurrentParent]]</f>
        <v>1</v>
      </c>
      <c r="K5142" s="150" t="str">
        <f>IF(Proc[[#This Row],[Author]]="Marcela Urrego",VLOOKUP(LEFT(Proc[[#This Row],[Requested]],1),Table3[#All],2,0),VLOOKUP(Proc[[#This Row],[Author]],Table4[],2,0))</f>
        <v>MGF</v>
      </c>
      <c r="L5142" s="150" t="s">
        <v>6435</v>
      </c>
      <c r="M5142" s="177">
        <v>46015</v>
      </c>
      <c r="N5142" s="177"/>
      <c r="O5142" s="177"/>
      <c r="P5142" s="177" t="str">
        <f ca="1">IF(Proc[[#This Row],[DaysAgeing]]&gt;5,"yep","on track")</f>
        <v>yep</v>
      </c>
      <c r="Q5142" s="3">
        <f ca="1">IF(Proc[[#This Row],[DateClosed]]="",ABS(NETWORKDAYS(Proc[[#This Row],[DateOpened]],TODAY()))-1,ABS(NETWORKDAYS(Proc[[#This Row],[DateOpened]],Proc[[#This Row],[DateClosed]]))-1)</f>
        <v>10</v>
      </c>
      <c r="R5142" s="177" t="s">
        <v>7411</v>
      </c>
      <c r="S5142" s="150"/>
    </row>
    <row r="5143" spans="1:19" hidden="1">
      <c r="A5143" s="149" t="s">
        <v>7410</v>
      </c>
      <c r="B5143" s="150" t="str">
        <f>IFERROR(VLOOKUP(Proc[[#This Row],[App]],Table2[],3,0),"open")</f>
        <v>open</v>
      </c>
      <c r="C5143" s="149" t="s">
        <v>369</v>
      </c>
      <c r="D5143" t="s">
        <v>7423</v>
      </c>
      <c r="E5143" t="s">
        <v>7409</v>
      </c>
      <c r="F5143" s="150" t="s">
        <v>7409</v>
      </c>
      <c r="G5143" s="149" t="s">
        <v>400</v>
      </c>
      <c r="H5143" s="150" t="str">
        <f>IF(Proc[[#This Row],[type]]="LFF (MDG-F)",MID(Proc[[#This Row],[Obj]],13,10),"")</f>
        <v/>
      </c>
      <c r="J5143" s="150" t="b">
        <f>Proc[[#This Row],[Requested]]=Proc[[#This Row],[CurrentParent]]</f>
        <v>1</v>
      </c>
      <c r="K5143" s="150" t="str">
        <f>IF(Proc[[#This Row],[Author]]="Marcela Urrego",VLOOKUP(LEFT(Proc[[#This Row],[Requested]],1),Table3[#All],2,0),VLOOKUP(Proc[[#This Row],[Author]],Table4[],2,0))</f>
        <v>MGF</v>
      </c>
      <c r="L5143" s="150" t="s">
        <v>6435</v>
      </c>
      <c r="M5143" s="177">
        <v>46015</v>
      </c>
      <c r="N5143" s="177"/>
      <c r="O5143" s="177"/>
      <c r="P5143" s="177" t="str">
        <f ca="1">IF(Proc[[#This Row],[DaysAgeing]]&gt;5,"yep","on track")</f>
        <v>yep</v>
      </c>
      <c r="Q5143" s="3">
        <f ca="1">IF(Proc[[#This Row],[DateClosed]]="",ABS(NETWORKDAYS(Proc[[#This Row],[DateOpened]],TODAY()))-1,ABS(NETWORKDAYS(Proc[[#This Row],[DateOpened]],Proc[[#This Row],[DateClosed]]))-1)</f>
        <v>10</v>
      </c>
      <c r="R5143" s="177" t="s">
        <v>7411</v>
      </c>
      <c r="S5143" s="150"/>
    </row>
    <row r="5144" spans="1:19" hidden="1">
      <c r="A5144" s="149" t="s">
        <v>7410</v>
      </c>
      <c r="B5144" s="150" t="str">
        <f>IFERROR(VLOOKUP(Proc[[#This Row],[App]],Table2[],3,0),"open")</f>
        <v>open</v>
      </c>
      <c r="C5144" s="149" t="s">
        <v>369</v>
      </c>
      <c r="D5144" t="s">
        <v>7424</v>
      </c>
      <c r="E5144" t="s">
        <v>7409</v>
      </c>
      <c r="F5144" s="150" t="s">
        <v>7409</v>
      </c>
      <c r="G5144" s="149" t="s">
        <v>400</v>
      </c>
      <c r="H5144" s="150" t="str">
        <f>IF(Proc[[#This Row],[type]]="LFF (MDG-F)",MID(Proc[[#This Row],[Obj]],13,10),"")</f>
        <v/>
      </c>
      <c r="J5144" s="150" t="b">
        <f>Proc[[#This Row],[Requested]]=Proc[[#This Row],[CurrentParent]]</f>
        <v>1</v>
      </c>
      <c r="K5144" s="150" t="str">
        <f>IF(Proc[[#This Row],[Author]]="Marcela Urrego",VLOOKUP(LEFT(Proc[[#This Row],[Requested]],1),Table3[#All],2,0),VLOOKUP(Proc[[#This Row],[Author]],Table4[],2,0))</f>
        <v>MGF</v>
      </c>
      <c r="L5144" s="150" t="s">
        <v>6435</v>
      </c>
      <c r="M5144" s="177">
        <v>46015</v>
      </c>
      <c r="N5144" s="177"/>
      <c r="O5144" s="177"/>
      <c r="P5144" s="177" t="str">
        <f ca="1">IF(Proc[[#This Row],[DaysAgeing]]&gt;5,"yep","on track")</f>
        <v>yep</v>
      </c>
      <c r="Q5144" s="3">
        <f ca="1">IF(Proc[[#This Row],[DateClosed]]="",ABS(NETWORKDAYS(Proc[[#This Row],[DateOpened]],TODAY()))-1,ABS(NETWORKDAYS(Proc[[#This Row],[DateOpened]],Proc[[#This Row],[DateClosed]]))-1)</f>
        <v>10</v>
      </c>
      <c r="R5144" s="177" t="s">
        <v>7411</v>
      </c>
      <c r="S5144" s="150"/>
    </row>
    <row r="5145" spans="1:19" hidden="1">
      <c r="A5145" s="149" t="s">
        <v>7410</v>
      </c>
      <c r="B5145" s="150" t="str">
        <f>IFERROR(VLOOKUP(Proc[[#This Row],[App]],Table2[],3,0),"open")</f>
        <v>open</v>
      </c>
      <c r="C5145" s="149" t="s">
        <v>369</v>
      </c>
      <c r="D5145" t="s">
        <v>7425</v>
      </c>
      <c r="E5145" t="s">
        <v>7409</v>
      </c>
      <c r="F5145" s="150" t="s">
        <v>7409</v>
      </c>
      <c r="G5145" s="149" t="s">
        <v>400</v>
      </c>
      <c r="H5145" s="150" t="str">
        <f>IF(Proc[[#This Row],[type]]="LFF (MDG-F)",MID(Proc[[#This Row],[Obj]],13,10),"")</f>
        <v/>
      </c>
      <c r="J5145" s="150" t="b">
        <f>Proc[[#This Row],[Requested]]=Proc[[#This Row],[CurrentParent]]</f>
        <v>1</v>
      </c>
      <c r="K5145" s="150" t="str">
        <f>IF(Proc[[#This Row],[Author]]="Marcela Urrego",VLOOKUP(LEFT(Proc[[#This Row],[Requested]],1),Table3[#All],2,0),VLOOKUP(Proc[[#This Row],[Author]],Table4[],2,0))</f>
        <v>MGF</v>
      </c>
      <c r="L5145" s="150" t="s">
        <v>6435</v>
      </c>
      <c r="M5145" s="177">
        <v>46015</v>
      </c>
      <c r="N5145" s="177"/>
      <c r="O5145" s="177"/>
      <c r="P5145" s="177" t="str">
        <f ca="1">IF(Proc[[#This Row],[DaysAgeing]]&gt;5,"yep","on track")</f>
        <v>yep</v>
      </c>
      <c r="Q5145" s="3">
        <f ca="1">IF(Proc[[#This Row],[DateClosed]]="",ABS(NETWORKDAYS(Proc[[#This Row],[DateOpened]],TODAY()))-1,ABS(NETWORKDAYS(Proc[[#This Row],[DateOpened]],Proc[[#This Row],[DateClosed]]))-1)</f>
        <v>10</v>
      </c>
      <c r="R5145" s="177" t="s">
        <v>7411</v>
      </c>
      <c r="S5145" s="150"/>
    </row>
    <row r="5146" spans="1:19" hidden="1">
      <c r="A5146" s="149" t="s">
        <v>7410</v>
      </c>
      <c r="B5146" s="150" t="str">
        <f>IFERROR(VLOOKUP(Proc[[#This Row],[App]],Table2[],3,0),"open")</f>
        <v>open</v>
      </c>
      <c r="C5146" s="149" t="s">
        <v>369</v>
      </c>
      <c r="D5146" t="s">
        <v>7426</v>
      </c>
      <c r="E5146" t="s">
        <v>7409</v>
      </c>
      <c r="F5146" s="150" t="s">
        <v>7409</v>
      </c>
      <c r="G5146" s="149" t="s">
        <v>400</v>
      </c>
      <c r="H5146" s="150" t="str">
        <f>IF(Proc[[#This Row],[type]]="LFF (MDG-F)",MID(Proc[[#This Row],[Obj]],13,10),"")</f>
        <v/>
      </c>
      <c r="J5146" s="150" t="b">
        <f>Proc[[#This Row],[Requested]]=Proc[[#This Row],[CurrentParent]]</f>
        <v>1</v>
      </c>
      <c r="K5146" s="150" t="str">
        <f>IF(Proc[[#This Row],[Author]]="Marcela Urrego",VLOOKUP(LEFT(Proc[[#This Row],[Requested]],1),Table3[#All],2,0),VLOOKUP(Proc[[#This Row],[Author]],Table4[],2,0))</f>
        <v>MGF</v>
      </c>
      <c r="L5146" s="150" t="s">
        <v>6435</v>
      </c>
      <c r="M5146" s="177">
        <v>46015</v>
      </c>
      <c r="N5146" s="177"/>
      <c r="O5146" s="177"/>
      <c r="P5146" s="177" t="str">
        <f ca="1">IF(Proc[[#This Row],[DaysAgeing]]&gt;5,"yep","on track")</f>
        <v>yep</v>
      </c>
      <c r="Q5146" s="3">
        <f ca="1">IF(Proc[[#This Row],[DateClosed]]="",ABS(NETWORKDAYS(Proc[[#This Row],[DateOpened]],TODAY()))-1,ABS(NETWORKDAYS(Proc[[#This Row],[DateOpened]],Proc[[#This Row],[DateClosed]]))-1)</f>
        <v>10</v>
      </c>
      <c r="R5146" s="177" t="s">
        <v>7411</v>
      </c>
      <c r="S5146" s="150"/>
    </row>
    <row r="5147" spans="1:19" hidden="1">
      <c r="A5147" t="s">
        <v>7433</v>
      </c>
      <c r="B5147" s="150" t="str">
        <f>IFERROR(VLOOKUP(Proc[[#This Row],[App]],Table2[],3,0),"open")</f>
        <v>open</v>
      </c>
      <c r="C5147" t="s">
        <v>369</v>
      </c>
      <c r="D5147" t="s">
        <v>7428</v>
      </c>
      <c r="E5147" t="s">
        <v>4929</v>
      </c>
      <c r="F5147" s="150" t="s">
        <v>4929</v>
      </c>
      <c r="G5147" s="149" t="s">
        <v>400</v>
      </c>
      <c r="H5147" s="150" t="str">
        <f>IF(Proc[[#This Row],[type]]="LFF (MDG-F)",MID(Proc[[#This Row],[Obj]],13,10),"")</f>
        <v/>
      </c>
      <c r="J5147" s="150" t="b">
        <f>Proc[[#This Row],[Requested]]=Proc[[#This Row],[CurrentParent]]</f>
        <v>1</v>
      </c>
      <c r="K5147" s="150" t="str">
        <f>IF(Proc[[#This Row],[Author]]="Marcela Urrego",VLOOKUP(LEFT(Proc[[#This Row],[Requested]],1),Table3[#All],2,0),VLOOKUP(Proc[[#This Row],[Author]],Table4[],2,0))</f>
        <v>LS</v>
      </c>
      <c r="L5147" s="150" t="s">
        <v>6435</v>
      </c>
      <c r="M5147" s="177">
        <v>46020</v>
      </c>
      <c r="N5147" s="178"/>
      <c r="O5147" s="178"/>
      <c r="P5147" s="178" t="str">
        <f ca="1">IF(Proc[[#This Row],[DaysAgeing]]&gt;5,"yep","on track")</f>
        <v>yep</v>
      </c>
      <c r="Q5147" s="3">
        <f ca="1">IF(Proc[[#This Row],[DateClosed]]="",ABS(NETWORKDAYS(Proc[[#This Row],[DateOpened]],TODAY()))-1,ABS(NETWORKDAYS(Proc[[#This Row],[DateOpened]],Proc[[#This Row],[DateClosed]]))-1)</f>
        <v>7</v>
      </c>
      <c r="R5147" s="178" t="s">
        <v>489</v>
      </c>
      <c r="S5147" s="150"/>
    </row>
    <row r="5148" spans="1:19" hidden="1">
      <c r="A5148" t="s">
        <v>7433</v>
      </c>
      <c r="B5148" s="150" t="str">
        <f>IFERROR(VLOOKUP(Proc[[#This Row],[App]],Table2[],3,0),"open")</f>
        <v>open</v>
      </c>
      <c r="C5148" s="149" t="s">
        <v>369</v>
      </c>
      <c r="D5148" t="s">
        <v>7429</v>
      </c>
      <c r="E5148" t="s">
        <v>4929</v>
      </c>
      <c r="F5148" s="150" t="s">
        <v>4929</v>
      </c>
      <c r="G5148" s="149" t="s">
        <v>400</v>
      </c>
      <c r="H5148" s="150" t="str">
        <f>IF(Proc[[#This Row],[type]]="LFF (MDG-F)",MID(Proc[[#This Row],[Obj]],13,10),"")</f>
        <v/>
      </c>
      <c r="J5148" s="150" t="b">
        <f>Proc[[#This Row],[Requested]]=Proc[[#This Row],[CurrentParent]]</f>
        <v>1</v>
      </c>
      <c r="K5148" s="150" t="str">
        <f>IF(Proc[[#This Row],[Author]]="Marcela Urrego",VLOOKUP(LEFT(Proc[[#This Row],[Requested]],1),Table3[#All],2,0),VLOOKUP(Proc[[#This Row],[Author]],Table4[],2,0))</f>
        <v>LS</v>
      </c>
      <c r="L5148" s="150" t="s">
        <v>6435</v>
      </c>
      <c r="M5148" s="177">
        <v>46020</v>
      </c>
      <c r="N5148" s="178"/>
      <c r="O5148" s="178"/>
      <c r="P5148" s="178" t="str">
        <f ca="1">IF(Proc[[#This Row],[DaysAgeing]]&gt;5,"yep","on track")</f>
        <v>yep</v>
      </c>
      <c r="Q5148" s="3">
        <f ca="1">IF(Proc[[#This Row],[DateClosed]]="",ABS(NETWORKDAYS(Proc[[#This Row],[DateOpened]],TODAY()))-1,ABS(NETWORKDAYS(Proc[[#This Row],[DateOpened]],Proc[[#This Row],[DateClosed]]))-1)</f>
        <v>7</v>
      </c>
      <c r="R5148" s="178" t="s">
        <v>489</v>
      </c>
      <c r="S5148" s="150"/>
    </row>
    <row r="5149" spans="1:19" hidden="1">
      <c r="A5149" t="s">
        <v>7433</v>
      </c>
      <c r="B5149" s="150" t="str">
        <f>IFERROR(VLOOKUP(Proc[[#This Row],[App]],Table2[],3,0),"open")</f>
        <v>open</v>
      </c>
      <c r="C5149" s="149" t="s">
        <v>369</v>
      </c>
      <c r="D5149" t="s">
        <v>7430</v>
      </c>
      <c r="E5149" t="s">
        <v>3535</v>
      </c>
      <c r="F5149" s="150" t="s">
        <v>3535</v>
      </c>
      <c r="G5149" s="149" t="s">
        <v>400</v>
      </c>
      <c r="H5149" s="150" t="str">
        <f>IF(Proc[[#This Row],[type]]="LFF (MDG-F)",MID(Proc[[#This Row],[Obj]],13,10),"")</f>
        <v/>
      </c>
      <c r="J5149" s="150" t="b">
        <f>Proc[[#This Row],[Requested]]=Proc[[#This Row],[CurrentParent]]</f>
        <v>1</v>
      </c>
      <c r="K5149" s="150" t="str">
        <f>IF(Proc[[#This Row],[Author]]="Marcela Urrego",VLOOKUP(LEFT(Proc[[#This Row],[Requested]],1),Table3[#All],2,0),VLOOKUP(Proc[[#This Row],[Author]],Table4[],2,0))</f>
        <v>LS</v>
      </c>
      <c r="L5149" s="150" t="s">
        <v>6435</v>
      </c>
      <c r="M5149" s="177">
        <v>46020</v>
      </c>
      <c r="N5149" s="178"/>
      <c r="O5149" s="178"/>
      <c r="P5149" s="178" t="str">
        <f ca="1">IF(Proc[[#This Row],[DaysAgeing]]&gt;5,"yep","on track")</f>
        <v>yep</v>
      </c>
      <c r="Q5149" s="3">
        <f ca="1">IF(Proc[[#This Row],[DateClosed]]="",ABS(NETWORKDAYS(Proc[[#This Row],[DateOpened]],TODAY()))-1,ABS(NETWORKDAYS(Proc[[#This Row],[DateOpened]],Proc[[#This Row],[DateClosed]]))-1)</f>
        <v>7</v>
      </c>
      <c r="R5149" s="178" t="s">
        <v>489</v>
      </c>
      <c r="S5149" s="150"/>
    </row>
    <row r="5150" spans="1:19" hidden="1">
      <c r="A5150" t="s">
        <v>7434</v>
      </c>
      <c r="B5150" s="150" t="str">
        <f>IFERROR(VLOOKUP(Proc[[#This Row],[App]],Table2[],3,0),"open")</f>
        <v>open</v>
      </c>
      <c r="C5150" t="s">
        <v>369</v>
      </c>
      <c r="D5150" t="s">
        <v>7435</v>
      </c>
      <c r="E5150" t="s">
        <v>7459</v>
      </c>
      <c r="F5150" s="150" t="s">
        <v>7459</v>
      </c>
      <c r="G5150" t="s">
        <v>400</v>
      </c>
      <c r="H5150" s="150" t="str">
        <f>IF(Proc[[#This Row],[type]]="LFF (MDG-F)",MID(Proc[[#This Row],[Obj]],13,10),"")</f>
        <v/>
      </c>
      <c r="J5150" s="150" t="b">
        <f>Proc[[#This Row],[Requested]]=Proc[[#This Row],[CurrentParent]]</f>
        <v>1</v>
      </c>
      <c r="K5150" s="150" t="str">
        <f>IF(Proc[[#This Row],[Author]]="Marcela Urrego",VLOOKUP(LEFT(Proc[[#This Row],[Requested]],1),Table3[#All],2,0),VLOOKUP(Proc[[#This Row],[Author]],Table4[],2,0))</f>
        <v>LS</v>
      </c>
      <c r="L5150" s="150" t="s">
        <v>6435</v>
      </c>
      <c r="M5150" s="178">
        <v>46024</v>
      </c>
      <c r="N5150" s="178"/>
      <c r="O5150" s="178"/>
      <c r="P5150" s="178" t="str">
        <f ca="1">IF(Proc[[#This Row],[DaysAgeing]]&gt;5,"yep","on track")</f>
        <v>on track</v>
      </c>
      <c r="Q5150" s="3">
        <f ca="1">IF(Proc[[#This Row],[DateClosed]]="",ABS(NETWORKDAYS(Proc[[#This Row],[DateOpened]],TODAY()))-1,ABS(NETWORKDAYS(Proc[[#This Row],[DateOpened]],Proc[[#This Row],[DateClosed]]))-1)</f>
        <v>3</v>
      </c>
      <c r="R5150" s="178" t="s">
        <v>489</v>
      </c>
      <c r="S5150" s="150"/>
    </row>
    <row r="5151" spans="1:19" hidden="1">
      <c r="A5151" s="149" t="s">
        <v>7434</v>
      </c>
      <c r="B5151" s="150" t="str">
        <f>IFERROR(VLOOKUP(Proc[[#This Row],[App]],Table2[],3,0),"open")</f>
        <v>open</v>
      </c>
      <c r="C5151" s="149" t="s">
        <v>369</v>
      </c>
      <c r="D5151" t="s">
        <v>7436</v>
      </c>
      <c r="E5151" t="s">
        <v>524</v>
      </c>
      <c r="F5151" s="150" t="s">
        <v>524</v>
      </c>
      <c r="G5151" s="149" t="s">
        <v>400</v>
      </c>
      <c r="H5151" s="150" t="str">
        <f>IF(Proc[[#This Row],[type]]="LFF (MDG-F)",MID(Proc[[#This Row],[Obj]],13,10),"")</f>
        <v/>
      </c>
      <c r="J5151" s="150" t="b">
        <f>Proc[[#This Row],[Requested]]=Proc[[#This Row],[CurrentParent]]</f>
        <v>1</v>
      </c>
      <c r="K5151" s="150" t="str">
        <f>IF(Proc[[#This Row],[Author]]="Marcela Urrego",VLOOKUP(LEFT(Proc[[#This Row],[Requested]],1),Table3[#All],2,0),VLOOKUP(Proc[[#This Row],[Author]],Table4[],2,0))</f>
        <v>LS</v>
      </c>
      <c r="L5151" s="150" t="s">
        <v>6435</v>
      </c>
      <c r="M5151" s="178">
        <v>46024</v>
      </c>
      <c r="N5151" s="178"/>
      <c r="O5151" s="178"/>
      <c r="P5151" s="178" t="str">
        <f ca="1">IF(Proc[[#This Row],[DaysAgeing]]&gt;5,"yep","on track")</f>
        <v>on track</v>
      </c>
      <c r="Q5151" s="3">
        <f ca="1">IF(Proc[[#This Row],[DateClosed]]="",ABS(NETWORKDAYS(Proc[[#This Row],[DateOpened]],TODAY()))-1,ABS(NETWORKDAYS(Proc[[#This Row],[DateOpened]],Proc[[#This Row],[DateClosed]]))-1)</f>
        <v>3</v>
      </c>
      <c r="R5151" s="178" t="s">
        <v>489</v>
      </c>
      <c r="S5151" s="150"/>
    </row>
    <row r="5152" spans="1:19" hidden="1">
      <c r="A5152" s="149" t="s">
        <v>7434</v>
      </c>
      <c r="B5152" s="150" t="str">
        <f>IFERROR(VLOOKUP(Proc[[#This Row],[App]],Table2[],3,0),"open")</f>
        <v>open</v>
      </c>
      <c r="C5152" s="149" t="s">
        <v>369</v>
      </c>
      <c r="D5152" t="s">
        <v>7437</v>
      </c>
      <c r="E5152" t="s">
        <v>524</v>
      </c>
      <c r="F5152" s="150" t="s">
        <v>524</v>
      </c>
      <c r="G5152" s="149" t="s">
        <v>400</v>
      </c>
      <c r="H5152" s="150" t="str">
        <f>IF(Proc[[#This Row],[type]]="LFF (MDG-F)",MID(Proc[[#This Row],[Obj]],13,10),"")</f>
        <v/>
      </c>
      <c r="J5152" s="150" t="b">
        <f>Proc[[#This Row],[Requested]]=Proc[[#This Row],[CurrentParent]]</f>
        <v>1</v>
      </c>
      <c r="K5152" s="150" t="str">
        <f>IF(Proc[[#This Row],[Author]]="Marcela Urrego",VLOOKUP(LEFT(Proc[[#This Row],[Requested]],1),Table3[#All],2,0),VLOOKUP(Proc[[#This Row],[Author]],Table4[],2,0))</f>
        <v>LS</v>
      </c>
      <c r="L5152" s="150" t="s">
        <v>6435</v>
      </c>
      <c r="M5152" s="178">
        <v>46024</v>
      </c>
      <c r="N5152" s="178"/>
      <c r="O5152" s="178"/>
      <c r="P5152" s="178" t="str">
        <f ca="1">IF(Proc[[#This Row],[DaysAgeing]]&gt;5,"yep","on track")</f>
        <v>on track</v>
      </c>
      <c r="Q5152" s="3">
        <f ca="1">IF(Proc[[#This Row],[DateClosed]]="",ABS(NETWORKDAYS(Proc[[#This Row],[DateOpened]],TODAY()))-1,ABS(NETWORKDAYS(Proc[[#This Row],[DateOpened]],Proc[[#This Row],[DateClosed]]))-1)</f>
        <v>3</v>
      </c>
      <c r="R5152" s="178" t="s">
        <v>489</v>
      </c>
      <c r="S5152" s="150"/>
    </row>
    <row r="5153" spans="1:19" hidden="1">
      <c r="A5153" s="149" t="s">
        <v>7434</v>
      </c>
      <c r="B5153" s="150" t="str">
        <f>IFERROR(VLOOKUP(Proc[[#This Row],[App]],Table2[],3,0),"open")</f>
        <v>open</v>
      </c>
      <c r="C5153" s="149" t="s">
        <v>369</v>
      </c>
      <c r="D5153" t="s">
        <v>7438</v>
      </c>
      <c r="E5153" t="s">
        <v>497</v>
      </c>
      <c r="F5153" s="150" t="s">
        <v>497</v>
      </c>
      <c r="G5153" s="149" t="s">
        <v>400</v>
      </c>
      <c r="H5153" s="150" t="str">
        <f>IF(Proc[[#This Row],[type]]="LFF (MDG-F)",MID(Proc[[#This Row],[Obj]],13,10),"")</f>
        <v/>
      </c>
      <c r="J5153" s="150" t="b">
        <f>Proc[[#This Row],[Requested]]=Proc[[#This Row],[CurrentParent]]</f>
        <v>1</v>
      </c>
      <c r="K5153" s="150" t="str">
        <f>IF(Proc[[#This Row],[Author]]="Marcela Urrego",VLOOKUP(LEFT(Proc[[#This Row],[Requested]],1),Table3[#All],2,0),VLOOKUP(Proc[[#This Row],[Author]],Table4[],2,0))</f>
        <v>LS</v>
      </c>
      <c r="L5153" s="150" t="s">
        <v>6435</v>
      </c>
      <c r="M5153" s="178">
        <v>46024</v>
      </c>
      <c r="N5153" s="178"/>
      <c r="O5153" s="178"/>
      <c r="P5153" s="178" t="str">
        <f ca="1">IF(Proc[[#This Row],[DaysAgeing]]&gt;5,"yep","on track")</f>
        <v>on track</v>
      </c>
      <c r="Q5153" s="3">
        <f ca="1">IF(Proc[[#This Row],[DateClosed]]="",ABS(NETWORKDAYS(Proc[[#This Row],[DateOpened]],TODAY()))-1,ABS(NETWORKDAYS(Proc[[#This Row],[DateOpened]],Proc[[#This Row],[DateClosed]]))-1)</f>
        <v>3</v>
      </c>
      <c r="R5153" s="178" t="s">
        <v>489</v>
      </c>
      <c r="S5153" s="150"/>
    </row>
    <row r="5154" spans="1:19" hidden="1">
      <c r="A5154" s="149" t="s">
        <v>7434</v>
      </c>
      <c r="B5154" s="150" t="str">
        <f>IFERROR(VLOOKUP(Proc[[#This Row],[App]],Table2[],3,0),"open")</f>
        <v>open</v>
      </c>
      <c r="C5154" s="149" t="s">
        <v>369</v>
      </c>
      <c r="D5154" t="s">
        <v>7439</v>
      </c>
      <c r="E5154" t="s">
        <v>497</v>
      </c>
      <c r="F5154" s="150" t="s">
        <v>497</v>
      </c>
      <c r="G5154" s="149" t="s">
        <v>400</v>
      </c>
      <c r="H5154" s="150" t="str">
        <f>IF(Proc[[#This Row],[type]]="LFF (MDG-F)",MID(Proc[[#This Row],[Obj]],13,10),"")</f>
        <v/>
      </c>
      <c r="J5154" s="150" t="b">
        <f>Proc[[#This Row],[Requested]]=Proc[[#This Row],[CurrentParent]]</f>
        <v>1</v>
      </c>
      <c r="K5154" s="150" t="str">
        <f>IF(Proc[[#This Row],[Author]]="Marcela Urrego",VLOOKUP(LEFT(Proc[[#This Row],[Requested]],1),Table3[#All],2,0),VLOOKUP(Proc[[#This Row],[Author]],Table4[],2,0))</f>
        <v>LS</v>
      </c>
      <c r="L5154" s="150" t="s">
        <v>6435</v>
      </c>
      <c r="M5154" s="178">
        <v>46024</v>
      </c>
      <c r="N5154" s="178"/>
      <c r="O5154" s="178"/>
      <c r="P5154" s="178" t="str">
        <f ca="1">IF(Proc[[#This Row],[DaysAgeing]]&gt;5,"yep","on track")</f>
        <v>on track</v>
      </c>
      <c r="Q5154" s="3">
        <f ca="1">IF(Proc[[#This Row],[DateClosed]]="",ABS(NETWORKDAYS(Proc[[#This Row],[DateOpened]],TODAY()))-1,ABS(NETWORKDAYS(Proc[[#This Row],[DateOpened]],Proc[[#This Row],[DateClosed]]))-1)</f>
        <v>3</v>
      </c>
      <c r="R5154" s="178" t="s">
        <v>489</v>
      </c>
      <c r="S5154" s="150"/>
    </row>
    <row r="5155" spans="1:19" hidden="1">
      <c r="A5155" s="149" t="s">
        <v>7434</v>
      </c>
      <c r="B5155" s="150" t="str">
        <f>IFERROR(VLOOKUP(Proc[[#This Row],[App]],Table2[],3,0),"open")</f>
        <v>open</v>
      </c>
      <c r="C5155" s="149" t="s">
        <v>369</v>
      </c>
      <c r="D5155" t="s">
        <v>7440</v>
      </c>
      <c r="E5155" t="s">
        <v>7460</v>
      </c>
      <c r="F5155" s="150" t="s">
        <v>7460</v>
      </c>
      <c r="G5155" s="149" t="s">
        <v>400</v>
      </c>
      <c r="H5155" s="150" t="str">
        <f>IF(Proc[[#This Row],[type]]="LFF (MDG-F)",MID(Proc[[#This Row],[Obj]],13,10),"")</f>
        <v/>
      </c>
      <c r="J5155" s="150" t="b">
        <f>Proc[[#This Row],[Requested]]=Proc[[#This Row],[CurrentParent]]</f>
        <v>1</v>
      </c>
      <c r="K5155" s="150" t="str">
        <f>IF(Proc[[#This Row],[Author]]="Marcela Urrego",VLOOKUP(LEFT(Proc[[#This Row],[Requested]],1),Table3[#All],2,0),VLOOKUP(Proc[[#This Row],[Author]],Table4[],2,0))</f>
        <v>LS</v>
      </c>
      <c r="L5155" s="150" t="s">
        <v>6435</v>
      </c>
      <c r="M5155" s="178">
        <v>46024</v>
      </c>
      <c r="N5155" s="178"/>
      <c r="O5155" s="178"/>
      <c r="P5155" s="178" t="str">
        <f ca="1">IF(Proc[[#This Row],[DaysAgeing]]&gt;5,"yep","on track")</f>
        <v>on track</v>
      </c>
      <c r="Q5155" s="3">
        <f ca="1">IF(Proc[[#This Row],[DateClosed]]="",ABS(NETWORKDAYS(Proc[[#This Row],[DateOpened]],TODAY()))-1,ABS(NETWORKDAYS(Proc[[#This Row],[DateOpened]],Proc[[#This Row],[DateClosed]]))-1)</f>
        <v>3</v>
      </c>
      <c r="R5155" s="178" t="s">
        <v>489</v>
      </c>
      <c r="S5155" s="150"/>
    </row>
    <row r="5156" spans="1:19" hidden="1">
      <c r="A5156" s="149" t="s">
        <v>7434</v>
      </c>
      <c r="B5156" s="150" t="str">
        <f>IFERROR(VLOOKUP(Proc[[#This Row],[App]],Table2[],3,0),"open")</f>
        <v>open</v>
      </c>
      <c r="C5156" s="149" t="s">
        <v>369</v>
      </c>
      <c r="D5156" t="s">
        <v>7441</v>
      </c>
      <c r="E5156" t="s">
        <v>7461</v>
      </c>
      <c r="F5156" s="150" t="s">
        <v>7461</v>
      </c>
      <c r="G5156" s="149" t="s">
        <v>400</v>
      </c>
      <c r="H5156" s="150" t="str">
        <f>IF(Proc[[#This Row],[type]]="LFF (MDG-F)",MID(Proc[[#This Row],[Obj]],13,10),"")</f>
        <v/>
      </c>
      <c r="J5156" s="150" t="b">
        <f>Proc[[#This Row],[Requested]]=Proc[[#This Row],[CurrentParent]]</f>
        <v>1</v>
      </c>
      <c r="K5156" s="150" t="str">
        <f>IF(Proc[[#This Row],[Author]]="Marcela Urrego",VLOOKUP(LEFT(Proc[[#This Row],[Requested]],1),Table3[#All],2,0),VLOOKUP(Proc[[#This Row],[Author]],Table4[],2,0))</f>
        <v>LS</v>
      </c>
      <c r="L5156" s="150" t="s">
        <v>6435</v>
      </c>
      <c r="M5156" s="178">
        <v>46024</v>
      </c>
      <c r="N5156" s="178"/>
      <c r="O5156" s="178"/>
      <c r="P5156" s="178" t="str">
        <f ca="1">IF(Proc[[#This Row],[DaysAgeing]]&gt;5,"yep","on track")</f>
        <v>on track</v>
      </c>
      <c r="Q5156" s="3">
        <f ca="1">IF(Proc[[#This Row],[DateClosed]]="",ABS(NETWORKDAYS(Proc[[#This Row],[DateOpened]],TODAY()))-1,ABS(NETWORKDAYS(Proc[[#This Row],[DateOpened]],Proc[[#This Row],[DateClosed]]))-1)</f>
        <v>3</v>
      </c>
      <c r="R5156" s="178" t="s">
        <v>489</v>
      </c>
      <c r="S5156" s="150"/>
    </row>
    <row r="5157" spans="1:19" hidden="1">
      <c r="A5157" s="149" t="s">
        <v>7434</v>
      </c>
      <c r="B5157" s="150" t="str">
        <f>IFERROR(VLOOKUP(Proc[[#This Row],[App]],Table2[],3,0),"open")</f>
        <v>open</v>
      </c>
      <c r="C5157" s="149" t="s">
        <v>369</v>
      </c>
      <c r="D5157" t="s">
        <v>7442</v>
      </c>
      <c r="E5157" t="s">
        <v>7461</v>
      </c>
      <c r="F5157" s="150" t="s">
        <v>7461</v>
      </c>
      <c r="G5157" s="149" t="s">
        <v>400</v>
      </c>
      <c r="H5157" s="150" t="str">
        <f>IF(Proc[[#This Row],[type]]="LFF (MDG-F)",MID(Proc[[#This Row],[Obj]],13,10),"")</f>
        <v/>
      </c>
      <c r="J5157" s="150" t="b">
        <f>Proc[[#This Row],[Requested]]=Proc[[#This Row],[CurrentParent]]</f>
        <v>1</v>
      </c>
      <c r="K5157" s="150" t="str">
        <f>IF(Proc[[#This Row],[Author]]="Marcela Urrego",VLOOKUP(LEFT(Proc[[#This Row],[Requested]],1),Table3[#All],2,0),VLOOKUP(Proc[[#This Row],[Author]],Table4[],2,0))</f>
        <v>LS</v>
      </c>
      <c r="L5157" s="150" t="s">
        <v>6435</v>
      </c>
      <c r="M5157" s="178">
        <v>46024</v>
      </c>
      <c r="N5157" s="178"/>
      <c r="O5157" s="178"/>
      <c r="P5157" s="178" t="str">
        <f ca="1">IF(Proc[[#This Row],[DaysAgeing]]&gt;5,"yep","on track")</f>
        <v>on track</v>
      </c>
      <c r="Q5157" s="3">
        <f ca="1">IF(Proc[[#This Row],[DateClosed]]="",ABS(NETWORKDAYS(Proc[[#This Row],[DateOpened]],TODAY()))-1,ABS(NETWORKDAYS(Proc[[#This Row],[DateOpened]],Proc[[#This Row],[DateClosed]]))-1)</f>
        <v>3</v>
      </c>
      <c r="R5157" s="178" t="s">
        <v>489</v>
      </c>
      <c r="S5157" s="150"/>
    </row>
    <row r="5158" spans="1:19" hidden="1">
      <c r="A5158" s="149" t="s">
        <v>7434</v>
      </c>
      <c r="B5158" s="150" t="str">
        <f>IFERROR(VLOOKUP(Proc[[#This Row],[App]],Table2[],3,0),"open")</f>
        <v>open</v>
      </c>
      <c r="C5158" s="149" t="s">
        <v>369</v>
      </c>
      <c r="D5158" t="s">
        <v>7443</v>
      </c>
      <c r="E5158" t="s">
        <v>7461</v>
      </c>
      <c r="F5158" s="150" t="s">
        <v>7461</v>
      </c>
      <c r="G5158" s="149" t="s">
        <v>400</v>
      </c>
      <c r="H5158" s="150" t="str">
        <f>IF(Proc[[#This Row],[type]]="LFF (MDG-F)",MID(Proc[[#This Row],[Obj]],13,10),"")</f>
        <v/>
      </c>
      <c r="J5158" s="150" t="b">
        <f>Proc[[#This Row],[Requested]]=Proc[[#This Row],[CurrentParent]]</f>
        <v>1</v>
      </c>
      <c r="K5158" s="150" t="str">
        <f>IF(Proc[[#This Row],[Author]]="Marcela Urrego",VLOOKUP(LEFT(Proc[[#This Row],[Requested]],1),Table3[#All],2,0),VLOOKUP(Proc[[#This Row],[Author]],Table4[],2,0))</f>
        <v>LS</v>
      </c>
      <c r="L5158" s="150" t="s">
        <v>6435</v>
      </c>
      <c r="M5158" s="178">
        <v>46024</v>
      </c>
      <c r="N5158" s="178"/>
      <c r="O5158" s="178"/>
      <c r="P5158" s="178" t="str">
        <f ca="1">IF(Proc[[#This Row],[DaysAgeing]]&gt;5,"yep","on track")</f>
        <v>on track</v>
      </c>
      <c r="Q5158" s="3">
        <f ca="1">IF(Proc[[#This Row],[DateClosed]]="",ABS(NETWORKDAYS(Proc[[#This Row],[DateOpened]],TODAY()))-1,ABS(NETWORKDAYS(Proc[[#This Row],[DateOpened]],Proc[[#This Row],[DateClosed]]))-1)</f>
        <v>3</v>
      </c>
      <c r="R5158" s="178" t="s">
        <v>489</v>
      </c>
      <c r="S5158" s="150"/>
    </row>
    <row r="5159" spans="1:19" hidden="1">
      <c r="A5159" s="149" t="s">
        <v>7434</v>
      </c>
      <c r="B5159" s="150" t="str">
        <f>IFERROR(VLOOKUP(Proc[[#This Row],[App]],Table2[],3,0),"open")</f>
        <v>open</v>
      </c>
      <c r="C5159" s="149" t="s">
        <v>369</v>
      </c>
      <c r="D5159" t="s">
        <v>7444</v>
      </c>
      <c r="E5159" t="s">
        <v>524</v>
      </c>
      <c r="F5159" s="150" t="s">
        <v>524</v>
      </c>
      <c r="G5159" s="149" t="s">
        <v>400</v>
      </c>
      <c r="H5159" s="150" t="str">
        <f>IF(Proc[[#This Row],[type]]="LFF (MDG-F)",MID(Proc[[#This Row],[Obj]],13,10),"")</f>
        <v/>
      </c>
      <c r="J5159" s="150" t="b">
        <f>Proc[[#This Row],[Requested]]=Proc[[#This Row],[CurrentParent]]</f>
        <v>1</v>
      </c>
      <c r="K5159" s="150" t="str">
        <f>IF(Proc[[#This Row],[Author]]="Marcela Urrego",VLOOKUP(LEFT(Proc[[#This Row],[Requested]],1),Table3[#All],2,0),VLOOKUP(Proc[[#This Row],[Author]],Table4[],2,0))</f>
        <v>LS</v>
      </c>
      <c r="L5159" s="150" t="s">
        <v>6435</v>
      </c>
      <c r="M5159" s="178">
        <v>46024</v>
      </c>
      <c r="N5159" s="178"/>
      <c r="O5159" s="178"/>
      <c r="P5159" s="178" t="str">
        <f ca="1">IF(Proc[[#This Row],[DaysAgeing]]&gt;5,"yep","on track")</f>
        <v>on track</v>
      </c>
      <c r="Q5159" s="3">
        <f ca="1">IF(Proc[[#This Row],[DateClosed]]="",ABS(NETWORKDAYS(Proc[[#This Row],[DateOpened]],TODAY()))-1,ABS(NETWORKDAYS(Proc[[#This Row],[DateOpened]],Proc[[#This Row],[DateClosed]]))-1)</f>
        <v>3</v>
      </c>
      <c r="R5159" s="178" t="s">
        <v>489</v>
      </c>
      <c r="S5159" s="150"/>
    </row>
    <row r="5160" spans="1:19" hidden="1">
      <c r="A5160" s="149" t="s">
        <v>7434</v>
      </c>
      <c r="B5160" s="150" t="str">
        <f>IFERROR(VLOOKUP(Proc[[#This Row],[App]],Table2[],3,0),"open")</f>
        <v>open</v>
      </c>
      <c r="C5160" s="149" t="s">
        <v>369</v>
      </c>
      <c r="D5160" t="s">
        <v>7445</v>
      </c>
      <c r="E5160" t="s">
        <v>524</v>
      </c>
      <c r="F5160" s="150" t="s">
        <v>524</v>
      </c>
      <c r="G5160" s="149" t="s">
        <v>400</v>
      </c>
      <c r="H5160" s="150" t="str">
        <f>IF(Proc[[#This Row],[type]]="LFF (MDG-F)",MID(Proc[[#This Row],[Obj]],13,10),"")</f>
        <v/>
      </c>
      <c r="J5160" s="150" t="b">
        <f>Proc[[#This Row],[Requested]]=Proc[[#This Row],[CurrentParent]]</f>
        <v>1</v>
      </c>
      <c r="K5160" s="150" t="str">
        <f>IF(Proc[[#This Row],[Author]]="Marcela Urrego",VLOOKUP(LEFT(Proc[[#This Row],[Requested]],1),Table3[#All],2,0),VLOOKUP(Proc[[#This Row],[Author]],Table4[],2,0))</f>
        <v>LS</v>
      </c>
      <c r="L5160" s="150" t="s">
        <v>6435</v>
      </c>
      <c r="M5160" s="178">
        <v>46024</v>
      </c>
      <c r="N5160" s="178"/>
      <c r="O5160" s="178"/>
      <c r="P5160" s="178" t="str">
        <f ca="1">IF(Proc[[#This Row],[DaysAgeing]]&gt;5,"yep","on track")</f>
        <v>on track</v>
      </c>
      <c r="Q5160" s="3">
        <f ca="1">IF(Proc[[#This Row],[DateClosed]]="",ABS(NETWORKDAYS(Proc[[#This Row],[DateOpened]],TODAY()))-1,ABS(NETWORKDAYS(Proc[[#This Row],[DateOpened]],Proc[[#This Row],[DateClosed]]))-1)</f>
        <v>3</v>
      </c>
      <c r="R5160" s="178" t="s">
        <v>489</v>
      </c>
      <c r="S5160" s="150"/>
    </row>
    <row r="5161" spans="1:19" hidden="1">
      <c r="A5161" s="149" t="s">
        <v>7434</v>
      </c>
      <c r="B5161" s="150" t="str">
        <f>IFERROR(VLOOKUP(Proc[[#This Row],[App]],Table2[],3,0),"open")</f>
        <v>open</v>
      </c>
      <c r="C5161" s="149" t="s">
        <v>369</v>
      </c>
      <c r="D5161" t="s">
        <v>7446</v>
      </c>
      <c r="E5161" t="s">
        <v>7350</v>
      </c>
      <c r="F5161" s="150" t="s">
        <v>7350</v>
      </c>
      <c r="G5161" s="149" t="s">
        <v>400</v>
      </c>
      <c r="H5161" s="150" t="str">
        <f>IF(Proc[[#This Row],[type]]="LFF (MDG-F)",MID(Proc[[#This Row],[Obj]],13,10),"")</f>
        <v/>
      </c>
      <c r="J5161" s="150" t="b">
        <f>Proc[[#This Row],[Requested]]=Proc[[#This Row],[CurrentParent]]</f>
        <v>1</v>
      </c>
      <c r="K5161" s="150" t="str">
        <f>IF(Proc[[#This Row],[Author]]="Marcela Urrego",VLOOKUP(LEFT(Proc[[#This Row],[Requested]],1),Table3[#All],2,0),VLOOKUP(Proc[[#This Row],[Author]],Table4[],2,0))</f>
        <v>LS</v>
      </c>
      <c r="L5161" s="150" t="s">
        <v>6435</v>
      </c>
      <c r="M5161" s="178">
        <v>46024</v>
      </c>
      <c r="N5161" s="178"/>
      <c r="O5161" s="178"/>
      <c r="P5161" s="178" t="str">
        <f ca="1">IF(Proc[[#This Row],[DaysAgeing]]&gt;5,"yep","on track")</f>
        <v>on track</v>
      </c>
      <c r="Q5161" s="3">
        <f ca="1">IF(Proc[[#This Row],[DateClosed]]="",ABS(NETWORKDAYS(Proc[[#This Row],[DateOpened]],TODAY()))-1,ABS(NETWORKDAYS(Proc[[#This Row],[DateOpened]],Proc[[#This Row],[DateClosed]]))-1)</f>
        <v>3</v>
      </c>
      <c r="R5161" s="178" t="s">
        <v>489</v>
      </c>
      <c r="S5161" s="150"/>
    </row>
    <row r="5162" spans="1:19" hidden="1">
      <c r="A5162" s="149" t="s">
        <v>7434</v>
      </c>
      <c r="B5162" s="150" t="str">
        <f>IFERROR(VLOOKUP(Proc[[#This Row],[App]],Table2[],3,0),"open")</f>
        <v>open</v>
      </c>
      <c r="C5162" s="149" t="s">
        <v>369</v>
      </c>
      <c r="D5162" t="s">
        <v>7447</v>
      </c>
      <c r="E5162" t="s">
        <v>7462</v>
      </c>
      <c r="F5162" s="150" t="s">
        <v>7462</v>
      </c>
      <c r="G5162" s="149" t="s">
        <v>400</v>
      </c>
      <c r="H5162" s="150" t="str">
        <f>IF(Proc[[#This Row],[type]]="LFF (MDG-F)",MID(Proc[[#This Row],[Obj]],13,10),"")</f>
        <v/>
      </c>
      <c r="J5162" s="150" t="b">
        <f>Proc[[#This Row],[Requested]]=Proc[[#This Row],[CurrentParent]]</f>
        <v>1</v>
      </c>
      <c r="K5162" s="150" t="str">
        <f>IF(Proc[[#This Row],[Author]]="Marcela Urrego",VLOOKUP(LEFT(Proc[[#This Row],[Requested]],1),Table3[#All],2,0),VLOOKUP(Proc[[#This Row],[Author]],Table4[],2,0))</f>
        <v>LS</v>
      </c>
      <c r="L5162" s="150" t="s">
        <v>6435</v>
      </c>
      <c r="M5162" s="178">
        <v>46024</v>
      </c>
      <c r="N5162" s="178"/>
      <c r="O5162" s="178"/>
      <c r="P5162" s="178" t="str">
        <f ca="1">IF(Proc[[#This Row],[DaysAgeing]]&gt;5,"yep","on track")</f>
        <v>on track</v>
      </c>
      <c r="Q5162" s="3">
        <f ca="1">IF(Proc[[#This Row],[DateClosed]]="",ABS(NETWORKDAYS(Proc[[#This Row],[DateOpened]],TODAY()))-1,ABS(NETWORKDAYS(Proc[[#This Row],[DateOpened]],Proc[[#This Row],[DateClosed]]))-1)</f>
        <v>3</v>
      </c>
      <c r="R5162" s="178" t="s">
        <v>489</v>
      </c>
      <c r="S5162" s="150"/>
    </row>
    <row r="5163" spans="1:19" hidden="1">
      <c r="A5163" s="149" t="s">
        <v>7434</v>
      </c>
      <c r="B5163" s="150" t="str">
        <f>IFERROR(VLOOKUP(Proc[[#This Row],[App]],Table2[],3,0),"open")</f>
        <v>open</v>
      </c>
      <c r="C5163" s="149" t="s">
        <v>369</v>
      </c>
      <c r="D5163" t="s">
        <v>7448</v>
      </c>
      <c r="E5163" t="s">
        <v>7338</v>
      </c>
      <c r="F5163" s="150" t="s">
        <v>7338</v>
      </c>
      <c r="G5163" s="149" t="s">
        <v>400</v>
      </c>
      <c r="H5163" s="150" t="str">
        <f>IF(Proc[[#This Row],[type]]="LFF (MDG-F)",MID(Proc[[#This Row],[Obj]],13,10),"")</f>
        <v/>
      </c>
      <c r="J5163" s="150" t="b">
        <f>Proc[[#This Row],[Requested]]=Proc[[#This Row],[CurrentParent]]</f>
        <v>1</v>
      </c>
      <c r="K5163" s="150" t="str">
        <f>IF(Proc[[#This Row],[Author]]="Marcela Urrego",VLOOKUP(LEFT(Proc[[#This Row],[Requested]],1),Table3[#All],2,0),VLOOKUP(Proc[[#This Row],[Author]],Table4[],2,0))</f>
        <v>LS</v>
      </c>
      <c r="L5163" s="150" t="s">
        <v>6435</v>
      </c>
      <c r="M5163" s="178">
        <v>46024</v>
      </c>
      <c r="N5163" s="178"/>
      <c r="O5163" s="178"/>
      <c r="P5163" s="178" t="str">
        <f ca="1">IF(Proc[[#This Row],[DaysAgeing]]&gt;5,"yep","on track")</f>
        <v>on track</v>
      </c>
      <c r="Q5163" s="3">
        <f ca="1">IF(Proc[[#This Row],[DateClosed]]="",ABS(NETWORKDAYS(Proc[[#This Row],[DateOpened]],TODAY()))-1,ABS(NETWORKDAYS(Proc[[#This Row],[DateOpened]],Proc[[#This Row],[DateClosed]]))-1)</f>
        <v>3</v>
      </c>
      <c r="R5163" s="178" t="s">
        <v>489</v>
      </c>
      <c r="S5163" s="150"/>
    </row>
    <row r="5164" spans="1:19" hidden="1">
      <c r="A5164" s="149" t="s">
        <v>7434</v>
      </c>
      <c r="B5164" s="150" t="str">
        <f>IFERROR(VLOOKUP(Proc[[#This Row],[App]],Table2[],3,0),"open")</f>
        <v>open</v>
      </c>
      <c r="C5164" s="149" t="s">
        <v>369</v>
      </c>
      <c r="D5164" t="s">
        <v>7449</v>
      </c>
      <c r="E5164" t="s">
        <v>7338</v>
      </c>
      <c r="F5164" s="150" t="s">
        <v>7338</v>
      </c>
      <c r="G5164" s="149" t="s">
        <v>400</v>
      </c>
      <c r="H5164" s="150" t="str">
        <f>IF(Proc[[#This Row],[type]]="LFF (MDG-F)",MID(Proc[[#This Row],[Obj]],13,10),"")</f>
        <v/>
      </c>
      <c r="J5164" s="150" t="b">
        <f>Proc[[#This Row],[Requested]]=Proc[[#This Row],[CurrentParent]]</f>
        <v>1</v>
      </c>
      <c r="K5164" s="150" t="str">
        <f>IF(Proc[[#This Row],[Author]]="Marcela Urrego",VLOOKUP(LEFT(Proc[[#This Row],[Requested]],1),Table3[#All],2,0),VLOOKUP(Proc[[#This Row],[Author]],Table4[],2,0))</f>
        <v>LS</v>
      </c>
      <c r="L5164" s="150" t="s">
        <v>6435</v>
      </c>
      <c r="M5164" s="178">
        <v>46024</v>
      </c>
      <c r="N5164" s="178"/>
      <c r="O5164" s="178"/>
      <c r="P5164" s="178" t="str">
        <f ca="1">IF(Proc[[#This Row],[DaysAgeing]]&gt;5,"yep","on track")</f>
        <v>on track</v>
      </c>
      <c r="Q5164" s="3">
        <f ca="1">IF(Proc[[#This Row],[DateClosed]]="",ABS(NETWORKDAYS(Proc[[#This Row],[DateOpened]],TODAY()))-1,ABS(NETWORKDAYS(Proc[[#This Row],[DateOpened]],Proc[[#This Row],[DateClosed]]))-1)</f>
        <v>3</v>
      </c>
      <c r="R5164" s="178" t="s">
        <v>489</v>
      </c>
      <c r="S5164" s="150"/>
    </row>
    <row r="5165" spans="1:19" hidden="1">
      <c r="A5165" s="149" t="s">
        <v>7434</v>
      </c>
      <c r="B5165" s="150" t="str">
        <f>IFERROR(VLOOKUP(Proc[[#This Row],[App]],Table2[],3,0),"open")</f>
        <v>open</v>
      </c>
      <c r="C5165" s="149" t="s">
        <v>369</v>
      </c>
      <c r="D5165" t="s">
        <v>7450</v>
      </c>
      <c r="E5165" t="s">
        <v>7338</v>
      </c>
      <c r="F5165" s="150" t="s">
        <v>7338</v>
      </c>
      <c r="G5165" s="149" t="s">
        <v>400</v>
      </c>
      <c r="H5165" s="150" t="str">
        <f>IF(Proc[[#This Row],[type]]="LFF (MDG-F)",MID(Proc[[#This Row],[Obj]],13,10),"")</f>
        <v/>
      </c>
      <c r="J5165" s="150" t="b">
        <f>Proc[[#This Row],[Requested]]=Proc[[#This Row],[CurrentParent]]</f>
        <v>1</v>
      </c>
      <c r="K5165" s="150" t="str">
        <f>IF(Proc[[#This Row],[Author]]="Marcela Urrego",VLOOKUP(LEFT(Proc[[#This Row],[Requested]],1),Table3[#All],2,0),VLOOKUP(Proc[[#This Row],[Author]],Table4[],2,0))</f>
        <v>LS</v>
      </c>
      <c r="L5165" s="150" t="s">
        <v>6435</v>
      </c>
      <c r="M5165" s="178">
        <v>46024</v>
      </c>
      <c r="N5165" s="178"/>
      <c r="O5165" s="178"/>
      <c r="P5165" s="178" t="str">
        <f ca="1">IF(Proc[[#This Row],[DaysAgeing]]&gt;5,"yep","on track")</f>
        <v>on track</v>
      </c>
      <c r="Q5165" s="3">
        <f ca="1">IF(Proc[[#This Row],[DateClosed]]="",ABS(NETWORKDAYS(Proc[[#This Row],[DateOpened]],TODAY()))-1,ABS(NETWORKDAYS(Proc[[#This Row],[DateOpened]],Proc[[#This Row],[DateClosed]]))-1)</f>
        <v>3</v>
      </c>
      <c r="R5165" s="178" t="s">
        <v>489</v>
      </c>
      <c r="S5165" s="150"/>
    </row>
    <row r="5166" spans="1:19" hidden="1">
      <c r="A5166" s="149" t="s">
        <v>7434</v>
      </c>
      <c r="B5166" s="150" t="str">
        <f>IFERROR(VLOOKUP(Proc[[#This Row],[App]],Table2[],3,0),"open")</f>
        <v>open</v>
      </c>
      <c r="C5166" s="149" t="s">
        <v>369</v>
      </c>
      <c r="D5166" t="s">
        <v>7451</v>
      </c>
      <c r="E5166" t="s">
        <v>524</v>
      </c>
      <c r="F5166" s="150" t="s">
        <v>524</v>
      </c>
      <c r="G5166" s="149" t="s">
        <v>400</v>
      </c>
      <c r="H5166" s="150" t="str">
        <f>IF(Proc[[#This Row],[type]]="LFF (MDG-F)",MID(Proc[[#This Row],[Obj]],13,10),"")</f>
        <v/>
      </c>
      <c r="J5166" s="150" t="b">
        <f>Proc[[#This Row],[Requested]]=Proc[[#This Row],[CurrentParent]]</f>
        <v>1</v>
      </c>
      <c r="K5166" s="150" t="str">
        <f>IF(Proc[[#This Row],[Author]]="Marcela Urrego",VLOOKUP(LEFT(Proc[[#This Row],[Requested]],1),Table3[#All],2,0),VLOOKUP(Proc[[#This Row],[Author]],Table4[],2,0))</f>
        <v>LS</v>
      </c>
      <c r="L5166" s="150" t="s">
        <v>6435</v>
      </c>
      <c r="M5166" s="178">
        <v>46024</v>
      </c>
      <c r="N5166" s="178"/>
      <c r="O5166" s="178"/>
      <c r="P5166" s="178" t="str">
        <f ca="1">IF(Proc[[#This Row],[DaysAgeing]]&gt;5,"yep","on track")</f>
        <v>on track</v>
      </c>
      <c r="Q5166" s="3">
        <f ca="1">IF(Proc[[#This Row],[DateClosed]]="",ABS(NETWORKDAYS(Proc[[#This Row],[DateOpened]],TODAY()))-1,ABS(NETWORKDAYS(Proc[[#This Row],[DateOpened]],Proc[[#This Row],[DateClosed]]))-1)</f>
        <v>3</v>
      </c>
      <c r="R5166" s="178" t="s">
        <v>489</v>
      </c>
      <c r="S5166" s="150"/>
    </row>
    <row r="5167" spans="1:19" hidden="1">
      <c r="A5167" s="149" t="s">
        <v>7434</v>
      </c>
      <c r="B5167" s="150" t="str">
        <f>IFERROR(VLOOKUP(Proc[[#This Row],[App]],Table2[],3,0),"open")</f>
        <v>open</v>
      </c>
      <c r="C5167" s="149" t="s">
        <v>369</v>
      </c>
      <c r="D5167" t="s">
        <v>7452</v>
      </c>
      <c r="E5167" t="s">
        <v>2862</v>
      </c>
      <c r="F5167" s="150" t="s">
        <v>2862</v>
      </c>
      <c r="G5167" s="149" t="s">
        <v>400</v>
      </c>
      <c r="H5167" s="150" t="str">
        <f>IF(Proc[[#This Row],[type]]="LFF (MDG-F)",MID(Proc[[#This Row],[Obj]],13,10),"")</f>
        <v/>
      </c>
      <c r="J5167" s="150" t="b">
        <f>Proc[[#This Row],[Requested]]=Proc[[#This Row],[CurrentParent]]</f>
        <v>1</v>
      </c>
      <c r="K5167" s="150" t="str">
        <f>IF(Proc[[#This Row],[Author]]="Marcela Urrego",VLOOKUP(LEFT(Proc[[#This Row],[Requested]],1),Table3[#All],2,0),VLOOKUP(Proc[[#This Row],[Author]],Table4[],2,0))</f>
        <v>LS</v>
      </c>
      <c r="L5167" s="150" t="s">
        <v>6435</v>
      </c>
      <c r="M5167" s="178">
        <v>46024</v>
      </c>
      <c r="N5167" s="178"/>
      <c r="O5167" s="178"/>
      <c r="P5167" s="178" t="str">
        <f ca="1">IF(Proc[[#This Row],[DaysAgeing]]&gt;5,"yep","on track")</f>
        <v>on track</v>
      </c>
      <c r="Q5167" s="3">
        <f ca="1">IF(Proc[[#This Row],[DateClosed]]="",ABS(NETWORKDAYS(Proc[[#This Row],[DateOpened]],TODAY()))-1,ABS(NETWORKDAYS(Proc[[#This Row],[DateOpened]],Proc[[#This Row],[DateClosed]]))-1)</f>
        <v>3</v>
      </c>
      <c r="R5167" s="178" t="s">
        <v>489</v>
      </c>
      <c r="S5167" s="150"/>
    </row>
    <row r="5168" spans="1:19" hidden="1">
      <c r="A5168" s="149" t="s">
        <v>7434</v>
      </c>
      <c r="B5168" s="150" t="str">
        <f>IFERROR(VLOOKUP(Proc[[#This Row],[App]],Table2[],3,0),"open")</f>
        <v>open</v>
      </c>
      <c r="C5168" s="149" t="s">
        <v>369</v>
      </c>
      <c r="D5168" t="s">
        <v>7453</v>
      </c>
      <c r="E5168" t="s">
        <v>524</v>
      </c>
      <c r="F5168" s="150" t="s">
        <v>524</v>
      </c>
      <c r="G5168" s="149" t="s">
        <v>400</v>
      </c>
      <c r="H5168" s="150" t="str">
        <f>IF(Proc[[#This Row],[type]]="LFF (MDG-F)",MID(Proc[[#This Row],[Obj]],13,10),"")</f>
        <v/>
      </c>
      <c r="J5168" s="150" t="b">
        <f>Proc[[#This Row],[Requested]]=Proc[[#This Row],[CurrentParent]]</f>
        <v>1</v>
      </c>
      <c r="K5168" s="150" t="str">
        <f>IF(Proc[[#This Row],[Author]]="Marcela Urrego",VLOOKUP(LEFT(Proc[[#This Row],[Requested]],1),Table3[#All],2,0),VLOOKUP(Proc[[#This Row],[Author]],Table4[],2,0))</f>
        <v>LS</v>
      </c>
      <c r="L5168" s="150" t="s">
        <v>6435</v>
      </c>
      <c r="M5168" s="178">
        <v>46024</v>
      </c>
      <c r="N5168" s="178"/>
      <c r="O5168" s="178"/>
      <c r="P5168" s="178" t="str">
        <f ca="1">IF(Proc[[#This Row],[DaysAgeing]]&gt;5,"yep","on track")</f>
        <v>on track</v>
      </c>
      <c r="Q5168" s="3">
        <f ca="1">IF(Proc[[#This Row],[DateClosed]]="",ABS(NETWORKDAYS(Proc[[#This Row],[DateOpened]],TODAY()))-1,ABS(NETWORKDAYS(Proc[[#This Row],[DateOpened]],Proc[[#This Row],[DateClosed]]))-1)</f>
        <v>3</v>
      </c>
      <c r="R5168" s="178" t="s">
        <v>489</v>
      </c>
      <c r="S5168" s="150"/>
    </row>
    <row r="5169" spans="1:19" hidden="1">
      <c r="A5169" s="149" t="s">
        <v>7434</v>
      </c>
      <c r="B5169" s="150" t="str">
        <f>IFERROR(VLOOKUP(Proc[[#This Row],[App]],Table2[],3,0),"open")</f>
        <v>open</v>
      </c>
      <c r="C5169" s="149" t="s">
        <v>369</v>
      </c>
      <c r="D5169" t="s">
        <v>7454</v>
      </c>
      <c r="E5169" t="s">
        <v>524</v>
      </c>
      <c r="F5169" s="150" t="s">
        <v>524</v>
      </c>
      <c r="G5169" s="149" t="s">
        <v>400</v>
      </c>
      <c r="H5169" s="150" t="str">
        <f>IF(Proc[[#This Row],[type]]="LFF (MDG-F)",MID(Proc[[#This Row],[Obj]],13,10),"")</f>
        <v/>
      </c>
      <c r="J5169" s="150" t="b">
        <f>Proc[[#This Row],[Requested]]=Proc[[#This Row],[CurrentParent]]</f>
        <v>1</v>
      </c>
      <c r="K5169" s="150" t="str">
        <f>IF(Proc[[#This Row],[Author]]="Marcela Urrego",VLOOKUP(LEFT(Proc[[#This Row],[Requested]],1),Table3[#All],2,0),VLOOKUP(Proc[[#This Row],[Author]],Table4[],2,0))</f>
        <v>LS</v>
      </c>
      <c r="L5169" s="150" t="s">
        <v>6435</v>
      </c>
      <c r="M5169" s="178">
        <v>46024</v>
      </c>
      <c r="N5169" s="178"/>
      <c r="O5169" s="178"/>
      <c r="P5169" s="178" t="str">
        <f ca="1">IF(Proc[[#This Row],[DaysAgeing]]&gt;5,"yep","on track")</f>
        <v>on track</v>
      </c>
      <c r="Q5169" s="3">
        <f ca="1">IF(Proc[[#This Row],[DateClosed]]="",ABS(NETWORKDAYS(Proc[[#This Row],[DateOpened]],TODAY()))-1,ABS(NETWORKDAYS(Proc[[#This Row],[DateOpened]],Proc[[#This Row],[DateClosed]]))-1)</f>
        <v>3</v>
      </c>
      <c r="R5169" s="178" t="s">
        <v>489</v>
      </c>
      <c r="S5169" s="150"/>
    </row>
    <row r="5170" spans="1:19" hidden="1">
      <c r="A5170" s="149" t="s">
        <v>7434</v>
      </c>
      <c r="B5170" s="150" t="str">
        <f>IFERROR(VLOOKUP(Proc[[#This Row],[App]],Table2[],3,0),"open")</f>
        <v>open</v>
      </c>
      <c r="C5170" s="149" t="s">
        <v>369</v>
      </c>
      <c r="D5170" t="s">
        <v>7455</v>
      </c>
      <c r="E5170" t="s">
        <v>524</v>
      </c>
      <c r="F5170" s="150" t="s">
        <v>524</v>
      </c>
      <c r="G5170" s="149" t="s">
        <v>400</v>
      </c>
      <c r="H5170" s="150" t="str">
        <f>IF(Proc[[#This Row],[type]]="LFF (MDG-F)",MID(Proc[[#This Row],[Obj]],13,10),"")</f>
        <v/>
      </c>
      <c r="J5170" s="150" t="b">
        <f>Proc[[#This Row],[Requested]]=Proc[[#This Row],[CurrentParent]]</f>
        <v>1</v>
      </c>
      <c r="K5170" s="150" t="str">
        <f>IF(Proc[[#This Row],[Author]]="Marcela Urrego",VLOOKUP(LEFT(Proc[[#This Row],[Requested]],1),Table3[#All],2,0),VLOOKUP(Proc[[#This Row],[Author]],Table4[],2,0))</f>
        <v>LS</v>
      </c>
      <c r="L5170" s="150" t="s">
        <v>6435</v>
      </c>
      <c r="M5170" s="178">
        <v>46024</v>
      </c>
      <c r="N5170" s="178"/>
      <c r="O5170" s="178"/>
      <c r="P5170" s="178" t="str">
        <f ca="1">IF(Proc[[#This Row],[DaysAgeing]]&gt;5,"yep","on track")</f>
        <v>on track</v>
      </c>
      <c r="Q5170" s="3">
        <f ca="1">IF(Proc[[#This Row],[DateClosed]]="",ABS(NETWORKDAYS(Proc[[#This Row],[DateOpened]],TODAY()))-1,ABS(NETWORKDAYS(Proc[[#This Row],[DateOpened]],Proc[[#This Row],[DateClosed]]))-1)</f>
        <v>3</v>
      </c>
      <c r="R5170" s="178" t="s">
        <v>489</v>
      </c>
      <c r="S5170" s="150"/>
    </row>
    <row r="5171" spans="1:19" hidden="1">
      <c r="A5171" s="149" t="s">
        <v>7434</v>
      </c>
      <c r="B5171" s="150" t="str">
        <f>IFERROR(VLOOKUP(Proc[[#This Row],[App]],Table2[],3,0),"open")</f>
        <v>open</v>
      </c>
      <c r="C5171" s="149" t="s">
        <v>369</v>
      </c>
      <c r="D5171" t="s">
        <v>7456</v>
      </c>
      <c r="E5171" t="s">
        <v>7463</v>
      </c>
      <c r="F5171" s="150" t="s">
        <v>7463</v>
      </c>
      <c r="G5171" s="149" t="s">
        <v>400</v>
      </c>
      <c r="H5171" s="150" t="str">
        <f>IF(Proc[[#This Row],[type]]="LFF (MDG-F)",MID(Proc[[#This Row],[Obj]],13,10),"")</f>
        <v/>
      </c>
      <c r="J5171" s="150" t="b">
        <f>Proc[[#This Row],[Requested]]=Proc[[#This Row],[CurrentParent]]</f>
        <v>1</v>
      </c>
      <c r="K5171" s="150" t="str">
        <f>IF(Proc[[#This Row],[Author]]="Marcela Urrego",VLOOKUP(LEFT(Proc[[#This Row],[Requested]],1),Table3[#All],2,0),VLOOKUP(Proc[[#This Row],[Author]],Table4[],2,0))</f>
        <v>LS</v>
      </c>
      <c r="L5171" s="150" t="s">
        <v>6435</v>
      </c>
      <c r="M5171" s="178">
        <v>46024</v>
      </c>
      <c r="N5171" s="178"/>
      <c r="O5171" s="178"/>
      <c r="P5171" s="178" t="str">
        <f ca="1">IF(Proc[[#This Row],[DaysAgeing]]&gt;5,"yep","on track")</f>
        <v>on track</v>
      </c>
      <c r="Q5171" s="3">
        <f ca="1">IF(Proc[[#This Row],[DateClosed]]="",ABS(NETWORKDAYS(Proc[[#This Row],[DateOpened]],TODAY()))-1,ABS(NETWORKDAYS(Proc[[#This Row],[DateOpened]],Proc[[#This Row],[DateClosed]]))-1)</f>
        <v>3</v>
      </c>
      <c r="R5171" s="178" t="s">
        <v>489</v>
      </c>
      <c r="S5171" s="150"/>
    </row>
    <row r="5172" spans="1:19" hidden="1">
      <c r="A5172" s="149" t="s">
        <v>7434</v>
      </c>
      <c r="B5172" s="150" t="str">
        <f>IFERROR(VLOOKUP(Proc[[#This Row],[App]],Table2[],3,0),"open")</f>
        <v>open</v>
      </c>
      <c r="C5172" s="149" t="s">
        <v>369</v>
      </c>
      <c r="D5172" t="s">
        <v>7457</v>
      </c>
      <c r="E5172" t="s">
        <v>7350</v>
      </c>
      <c r="F5172" s="150" t="s">
        <v>7350</v>
      </c>
      <c r="G5172" s="149" t="s">
        <v>400</v>
      </c>
      <c r="H5172" s="150" t="str">
        <f>IF(Proc[[#This Row],[type]]="LFF (MDG-F)",MID(Proc[[#This Row],[Obj]],13,10),"")</f>
        <v/>
      </c>
      <c r="J5172" s="150" t="b">
        <f>Proc[[#This Row],[Requested]]=Proc[[#This Row],[CurrentParent]]</f>
        <v>1</v>
      </c>
      <c r="K5172" s="150" t="str">
        <f>IF(Proc[[#This Row],[Author]]="Marcela Urrego",VLOOKUP(LEFT(Proc[[#This Row],[Requested]],1),Table3[#All],2,0),VLOOKUP(Proc[[#This Row],[Author]],Table4[],2,0))</f>
        <v>LS</v>
      </c>
      <c r="L5172" s="150" t="s">
        <v>6435</v>
      </c>
      <c r="M5172" s="178">
        <v>46024</v>
      </c>
      <c r="N5172" s="178"/>
      <c r="O5172" s="178"/>
      <c r="P5172" s="178" t="str">
        <f ca="1">IF(Proc[[#This Row],[DaysAgeing]]&gt;5,"yep","on track")</f>
        <v>on track</v>
      </c>
      <c r="Q5172" s="3">
        <f ca="1">IF(Proc[[#This Row],[DateClosed]]="",ABS(NETWORKDAYS(Proc[[#This Row],[DateOpened]],TODAY()))-1,ABS(NETWORKDAYS(Proc[[#This Row],[DateOpened]],Proc[[#This Row],[DateClosed]]))-1)</f>
        <v>3</v>
      </c>
      <c r="R5172" s="178" t="s">
        <v>489</v>
      </c>
      <c r="S5172" s="150"/>
    </row>
    <row r="5173" spans="1:19" hidden="1">
      <c r="A5173" s="149" t="s">
        <v>7434</v>
      </c>
      <c r="B5173" s="150" t="str">
        <f>IFERROR(VLOOKUP(Proc[[#This Row],[App]],Table2[],3,0),"open")</f>
        <v>open</v>
      </c>
      <c r="C5173" s="149" t="s">
        <v>369</v>
      </c>
      <c r="D5173" t="s">
        <v>7458</v>
      </c>
      <c r="E5173" t="s">
        <v>524</v>
      </c>
      <c r="F5173" s="150" t="s">
        <v>524</v>
      </c>
      <c r="G5173" s="149" t="s">
        <v>400</v>
      </c>
      <c r="H5173" s="150" t="str">
        <f>IF(Proc[[#This Row],[type]]="LFF (MDG-F)",MID(Proc[[#This Row],[Obj]],13,10),"")</f>
        <v/>
      </c>
      <c r="J5173" s="150" t="b">
        <f>Proc[[#This Row],[Requested]]=Proc[[#This Row],[CurrentParent]]</f>
        <v>1</v>
      </c>
      <c r="K5173" s="150" t="str">
        <f>IF(Proc[[#This Row],[Author]]="Marcela Urrego",VLOOKUP(LEFT(Proc[[#This Row],[Requested]],1),Table3[#All],2,0),VLOOKUP(Proc[[#This Row],[Author]],Table4[],2,0))</f>
        <v>LS</v>
      </c>
      <c r="L5173" s="150" t="s">
        <v>6435</v>
      </c>
      <c r="M5173" s="178">
        <v>46024</v>
      </c>
      <c r="N5173" s="178"/>
      <c r="O5173" s="178"/>
      <c r="P5173" s="178" t="str">
        <f ca="1">IF(Proc[[#This Row],[DaysAgeing]]&gt;5,"yep","on track")</f>
        <v>on track</v>
      </c>
      <c r="Q5173" s="3">
        <f ca="1">IF(Proc[[#This Row],[DateClosed]]="",ABS(NETWORKDAYS(Proc[[#This Row],[DateOpened]],TODAY()))-1,ABS(NETWORKDAYS(Proc[[#This Row],[DateOpened]],Proc[[#This Row],[DateClosed]]))-1)</f>
        <v>3</v>
      </c>
      <c r="R5173" s="178" t="s">
        <v>489</v>
      </c>
      <c r="S5173" s="150"/>
    </row>
    <row r="5174" spans="1:19" hidden="1">
      <c r="A5174" t="s">
        <v>7464</v>
      </c>
      <c r="B5174" s="150" t="str">
        <f>IFERROR(VLOOKUP(Proc[[#This Row],[App]],Table2[],3,0),"open")</f>
        <v>open</v>
      </c>
      <c r="C5174" s="149" t="s">
        <v>369</v>
      </c>
      <c r="D5174" s="99" t="s">
        <v>7465</v>
      </c>
      <c r="E5174" t="s">
        <v>7466</v>
      </c>
      <c r="F5174" s="150" t="s">
        <v>7466</v>
      </c>
      <c r="G5174" s="149" t="s">
        <v>400</v>
      </c>
      <c r="H5174" s="150" t="str">
        <f>IF(Proc[[#This Row],[type]]="LFF (MDG-F)",MID(Proc[[#This Row],[Obj]],13,10),"")</f>
        <v/>
      </c>
      <c r="J5174" s="150" t="b">
        <f>Proc[[#This Row],[Requested]]=Proc[[#This Row],[CurrentParent]]</f>
        <v>1</v>
      </c>
      <c r="K5174" s="150" t="str">
        <f>IF(Proc[[#This Row],[Author]]="Marcela Urrego",VLOOKUP(LEFT(Proc[[#This Row],[Requested]],1),Table3[#All],2,0),VLOOKUP(Proc[[#This Row],[Author]],Table4[],2,0))</f>
        <v>LS</v>
      </c>
      <c r="L5174" s="150" t="s">
        <v>6435</v>
      </c>
      <c r="M5174" s="178">
        <v>46024</v>
      </c>
      <c r="N5174" s="178"/>
      <c r="O5174" s="178"/>
      <c r="P5174" s="178" t="str">
        <f ca="1">IF(Proc[[#This Row],[DaysAgeing]]&gt;5,"yep","on track")</f>
        <v>on track</v>
      </c>
      <c r="Q5174" s="3">
        <f ca="1">IF(Proc[[#This Row],[DateClosed]]="",ABS(NETWORKDAYS(Proc[[#This Row],[DateOpened]],TODAY()))-1,ABS(NETWORKDAYS(Proc[[#This Row],[DateOpened]],Proc[[#This Row],[DateClosed]]))-1)</f>
        <v>3</v>
      </c>
      <c r="R5174" s="178" t="s">
        <v>489</v>
      </c>
      <c r="S5174" s="150"/>
    </row>
    <row r="5175" spans="1:19">
      <c r="A5175" t="s">
        <v>7467</v>
      </c>
      <c r="B5175" s="150" t="str">
        <f>IFERROR(VLOOKUP(Proc[[#This Row],[App]],Table2[],3,0),"open")</f>
        <v>open</v>
      </c>
      <c r="C5175" s="149" t="s">
        <v>375</v>
      </c>
      <c r="D5175" t="s">
        <v>7468</v>
      </c>
      <c r="E5175" t="s">
        <v>2593</v>
      </c>
      <c r="F5175" s="150" t="s">
        <v>2593</v>
      </c>
      <c r="G5175" t="s">
        <v>406</v>
      </c>
      <c r="H5175" s="150" t="str">
        <f>IF(Proc[[#This Row],[type]]="LFF (MDG-F)",MID(Proc[[#This Row],[Obj]],13,10),"")</f>
        <v>2123TAJQ01</v>
      </c>
      <c r="I5175" t="s">
        <v>7580</v>
      </c>
      <c r="J5175" s="150" t="b">
        <f>Proc[[#This Row],[Requested]]=Proc[[#This Row],[CurrentParent]]</f>
        <v>1</v>
      </c>
      <c r="K5175" s="150" t="str">
        <f>IF(Proc[[#This Row],[Author]]="Marcela Urrego",VLOOKUP(LEFT(Proc[[#This Row],[Requested]],1),Table3[#All],2,0),VLOOKUP(Proc[[#This Row],[Author]],Table4[],2,0))</f>
        <v>LS</v>
      </c>
      <c r="L5175" s="150" t="s">
        <v>6435</v>
      </c>
      <c r="M5175" s="178">
        <v>46024</v>
      </c>
      <c r="N5175" s="178"/>
      <c r="O5175" s="178"/>
      <c r="P5175" s="178" t="str">
        <f ca="1">IF(Proc[[#This Row],[DaysAgeing]]&gt;5,"yep","on track")</f>
        <v>on track</v>
      </c>
      <c r="Q5175" s="3">
        <f ca="1">IF(Proc[[#This Row],[DateClosed]]="",ABS(NETWORKDAYS(Proc[[#This Row],[DateOpened]],TODAY()))-1,ABS(NETWORKDAYS(Proc[[#This Row],[DateOpened]],Proc[[#This Row],[DateClosed]]))-1)</f>
        <v>3</v>
      </c>
      <c r="R5175" s="178" t="s">
        <v>489</v>
      </c>
      <c r="S5175" s="150"/>
    </row>
    <row r="5176" spans="1:19" hidden="1">
      <c r="A5176" s="149" t="s">
        <v>7467</v>
      </c>
      <c r="B5176" s="150" t="str">
        <f>IFERROR(VLOOKUP(Proc[[#This Row],[App]],Table2[],3,0),"open")</f>
        <v>open</v>
      </c>
      <c r="C5176" s="149" t="s">
        <v>369</v>
      </c>
      <c r="D5176" t="s">
        <v>7469</v>
      </c>
      <c r="E5176" t="s">
        <v>2593</v>
      </c>
      <c r="F5176" s="150" t="s">
        <v>2593</v>
      </c>
      <c r="G5176" s="149" t="s">
        <v>400</v>
      </c>
      <c r="H5176" s="150" t="str">
        <f>IF(Proc[[#This Row],[type]]="LFF (MDG-F)",MID(Proc[[#This Row],[Obj]],13,10),"")</f>
        <v/>
      </c>
      <c r="J5176" s="150" t="b">
        <f>Proc[[#This Row],[Requested]]=Proc[[#This Row],[CurrentParent]]</f>
        <v>1</v>
      </c>
      <c r="K5176" s="150" t="str">
        <f>IF(Proc[[#This Row],[Author]]="Marcela Urrego",VLOOKUP(LEFT(Proc[[#This Row],[Requested]],1),Table3[#All],2,0),VLOOKUP(Proc[[#This Row],[Author]],Table4[],2,0))</f>
        <v>LS</v>
      </c>
      <c r="L5176" s="150" t="s">
        <v>6435</v>
      </c>
      <c r="M5176" s="178">
        <v>46024</v>
      </c>
      <c r="N5176" s="178"/>
      <c r="O5176" s="178"/>
      <c r="P5176" s="178" t="str">
        <f ca="1">IF(Proc[[#This Row],[DaysAgeing]]&gt;5,"yep","on track")</f>
        <v>on track</v>
      </c>
      <c r="Q5176" s="3">
        <f ca="1">IF(Proc[[#This Row],[DateClosed]]="",ABS(NETWORKDAYS(Proc[[#This Row],[DateOpened]],TODAY()))-1,ABS(NETWORKDAYS(Proc[[#This Row],[DateOpened]],Proc[[#This Row],[DateClosed]]))-1)</f>
        <v>3</v>
      </c>
      <c r="R5176" s="178" t="s">
        <v>489</v>
      </c>
      <c r="S5176" s="150"/>
    </row>
    <row r="5177" spans="1:19" hidden="1">
      <c r="A5177" s="149" t="s">
        <v>7467</v>
      </c>
      <c r="B5177" s="150" t="str">
        <f>IFERROR(VLOOKUP(Proc[[#This Row],[App]],Table2[],3,0),"open")</f>
        <v>open</v>
      </c>
      <c r="C5177" s="149" t="s">
        <v>369</v>
      </c>
      <c r="D5177" t="s">
        <v>7470</v>
      </c>
      <c r="E5177" t="s">
        <v>4100</v>
      </c>
      <c r="F5177" s="150" t="s">
        <v>4100</v>
      </c>
      <c r="G5177" s="149" t="s">
        <v>400</v>
      </c>
      <c r="H5177" s="150" t="str">
        <f>IF(Proc[[#This Row],[type]]="LFF (MDG-F)",MID(Proc[[#This Row],[Obj]],13,10),"")</f>
        <v/>
      </c>
      <c r="J5177" s="150" t="b">
        <f>Proc[[#This Row],[Requested]]=Proc[[#This Row],[CurrentParent]]</f>
        <v>1</v>
      </c>
      <c r="K5177" s="150" t="str">
        <f>IF(Proc[[#This Row],[Author]]="Marcela Urrego",VLOOKUP(LEFT(Proc[[#This Row],[Requested]],1),Table3[#All],2,0),VLOOKUP(Proc[[#This Row],[Author]],Table4[],2,0))</f>
        <v>LS</v>
      </c>
      <c r="L5177" s="150" t="s">
        <v>6435</v>
      </c>
      <c r="M5177" s="178">
        <v>46024</v>
      </c>
      <c r="N5177" s="178"/>
      <c r="O5177" s="178"/>
      <c r="P5177" s="178" t="str">
        <f ca="1">IF(Proc[[#This Row],[DaysAgeing]]&gt;5,"yep","on track")</f>
        <v>on track</v>
      </c>
      <c r="Q5177" s="3">
        <f ca="1">IF(Proc[[#This Row],[DateClosed]]="",ABS(NETWORKDAYS(Proc[[#This Row],[DateOpened]],TODAY()))-1,ABS(NETWORKDAYS(Proc[[#This Row],[DateOpened]],Proc[[#This Row],[DateClosed]]))-1)</f>
        <v>3</v>
      </c>
      <c r="R5177" s="178" t="s">
        <v>489</v>
      </c>
      <c r="S5177" s="150"/>
    </row>
    <row r="5178" spans="1:19">
      <c r="A5178" s="149" t="s">
        <v>7467</v>
      </c>
      <c r="B5178" s="150" t="str">
        <f>IFERROR(VLOOKUP(Proc[[#This Row],[App]],Table2[],3,0),"open")</f>
        <v>open</v>
      </c>
      <c r="C5178" s="149" t="s">
        <v>377</v>
      </c>
      <c r="D5178" t="s">
        <v>7471</v>
      </c>
      <c r="E5178" t="s">
        <v>4100</v>
      </c>
      <c r="F5178" s="150"/>
      <c r="G5178" s="149" t="s">
        <v>400</v>
      </c>
      <c r="H5178" s="150" t="str">
        <f>IF(Proc[[#This Row],[type]]="LFF (MDG-F)",MID(Proc[[#This Row],[Obj]],13,10),"")</f>
        <v/>
      </c>
      <c r="J5178" s="150" t="b">
        <f>Proc[[#This Row],[Requested]]=Proc[[#This Row],[CurrentParent]]</f>
        <v>0</v>
      </c>
      <c r="K5178" s="150" t="str">
        <f>IF(Proc[[#This Row],[Author]]="Marcela Urrego",VLOOKUP(LEFT(Proc[[#This Row],[Requested]],1),Table3[#All],2,0),VLOOKUP(Proc[[#This Row],[Author]],Table4[],2,0))</f>
        <v>LS</v>
      </c>
      <c r="L5178" s="150" t="s">
        <v>6435</v>
      </c>
      <c r="M5178" s="178">
        <v>46024</v>
      </c>
      <c r="N5178" s="178"/>
      <c r="O5178" s="178"/>
      <c r="P5178" s="178" t="str">
        <f ca="1">IF(Proc[[#This Row],[DaysAgeing]]&gt;5,"yep","on track")</f>
        <v>on track</v>
      </c>
      <c r="Q5178" s="3">
        <f ca="1">IF(Proc[[#This Row],[DateClosed]]="",ABS(NETWORKDAYS(Proc[[#This Row],[DateOpened]],TODAY()))-1,ABS(NETWORKDAYS(Proc[[#This Row],[DateOpened]],Proc[[#This Row],[DateClosed]]))-1)</f>
        <v>3</v>
      </c>
      <c r="R5178" s="178" t="s">
        <v>489</v>
      </c>
      <c r="S5178" s="150"/>
    </row>
    <row r="5179" spans="1:19" hidden="1">
      <c r="A5179" s="149" t="s">
        <v>7467</v>
      </c>
      <c r="B5179" s="150" t="str">
        <f>IFERROR(VLOOKUP(Proc[[#This Row],[App]],Table2[],3,0),"open")</f>
        <v>open</v>
      </c>
      <c r="C5179" s="149" t="s">
        <v>369</v>
      </c>
      <c r="D5179" t="s">
        <v>7472</v>
      </c>
      <c r="E5179" t="s">
        <v>4100</v>
      </c>
      <c r="F5179" s="150" t="s">
        <v>4100</v>
      </c>
      <c r="G5179" s="149" t="s">
        <v>400</v>
      </c>
      <c r="H5179" s="150" t="str">
        <f>IF(Proc[[#This Row],[type]]="LFF (MDG-F)",MID(Proc[[#This Row],[Obj]],13,10),"")</f>
        <v/>
      </c>
      <c r="J5179" s="150" t="b">
        <f>Proc[[#This Row],[Requested]]=Proc[[#This Row],[CurrentParent]]</f>
        <v>1</v>
      </c>
      <c r="K5179" s="150" t="str">
        <f>IF(Proc[[#This Row],[Author]]="Marcela Urrego",VLOOKUP(LEFT(Proc[[#This Row],[Requested]],1),Table3[#All],2,0),VLOOKUP(Proc[[#This Row],[Author]],Table4[],2,0))</f>
        <v>LS</v>
      </c>
      <c r="L5179" s="150" t="s">
        <v>6435</v>
      </c>
      <c r="M5179" s="178">
        <v>46024</v>
      </c>
      <c r="N5179" s="178"/>
      <c r="O5179" s="178"/>
      <c r="P5179" s="178" t="str">
        <f ca="1">IF(Proc[[#This Row],[DaysAgeing]]&gt;5,"yep","on track")</f>
        <v>on track</v>
      </c>
      <c r="Q5179" s="3">
        <f ca="1">IF(Proc[[#This Row],[DateClosed]]="",ABS(NETWORKDAYS(Proc[[#This Row],[DateOpened]],TODAY()))-1,ABS(NETWORKDAYS(Proc[[#This Row],[DateOpened]],Proc[[#This Row],[DateClosed]]))-1)</f>
        <v>3</v>
      </c>
      <c r="R5179" s="178" t="s">
        <v>489</v>
      </c>
      <c r="S5179" s="150"/>
    </row>
    <row r="5180" spans="1:19" hidden="1">
      <c r="A5180" s="149" t="s">
        <v>7467</v>
      </c>
      <c r="B5180" s="150" t="str">
        <f>IFERROR(VLOOKUP(Proc[[#This Row],[App]],Table2[],3,0),"open")</f>
        <v>open</v>
      </c>
      <c r="C5180" s="149" t="s">
        <v>369</v>
      </c>
      <c r="D5180" t="s">
        <v>7473</v>
      </c>
      <c r="E5180" t="s">
        <v>4100</v>
      </c>
      <c r="F5180" s="150" t="s">
        <v>4100</v>
      </c>
      <c r="G5180" s="149" t="s">
        <v>400</v>
      </c>
      <c r="H5180" s="150" t="str">
        <f>IF(Proc[[#This Row],[type]]="LFF (MDG-F)",MID(Proc[[#This Row],[Obj]],13,10),"")</f>
        <v/>
      </c>
      <c r="J5180" s="150" t="b">
        <f>Proc[[#This Row],[Requested]]=Proc[[#This Row],[CurrentParent]]</f>
        <v>1</v>
      </c>
      <c r="K5180" s="150" t="str">
        <f>IF(Proc[[#This Row],[Author]]="Marcela Urrego",VLOOKUP(LEFT(Proc[[#This Row],[Requested]],1),Table3[#All],2,0),VLOOKUP(Proc[[#This Row],[Author]],Table4[],2,0))</f>
        <v>LS</v>
      </c>
      <c r="L5180" s="150" t="s">
        <v>6435</v>
      </c>
      <c r="M5180" s="178">
        <v>46024</v>
      </c>
      <c r="N5180" s="178"/>
      <c r="O5180" s="178"/>
      <c r="P5180" s="178" t="str">
        <f ca="1">IF(Proc[[#This Row],[DaysAgeing]]&gt;5,"yep","on track")</f>
        <v>on track</v>
      </c>
      <c r="Q5180" s="3">
        <f ca="1">IF(Proc[[#This Row],[DateClosed]]="",ABS(NETWORKDAYS(Proc[[#This Row],[DateOpened]],TODAY()))-1,ABS(NETWORKDAYS(Proc[[#This Row],[DateOpened]],Proc[[#This Row],[DateClosed]]))-1)</f>
        <v>3</v>
      </c>
      <c r="R5180" s="178" t="s">
        <v>489</v>
      </c>
      <c r="S5180" s="150"/>
    </row>
    <row r="5181" spans="1:19" hidden="1">
      <c r="A5181" s="149" t="s">
        <v>7467</v>
      </c>
      <c r="B5181" s="150" t="str">
        <f>IFERROR(VLOOKUP(Proc[[#This Row],[App]],Table2[],3,0),"open")</f>
        <v>open</v>
      </c>
      <c r="C5181" s="149" t="s">
        <v>369</v>
      </c>
      <c r="D5181" t="s">
        <v>7474</v>
      </c>
      <c r="E5181" t="s">
        <v>2592</v>
      </c>
      <c r="F5181" s="150" t="s">
        <v>2592</v>
      </c>
      <c r="G5181" s="149" t="s">
        <v>400</v>
      </c>
      <c r="H5181" s="150" t="str">
        <f>IF(Proc[[#This Row],[type]]="LFF (MDG-F)",MID(Proc[[#This Row],[Obj]],13,10),"")</f>
        <v/>
      </c>
      <c r="J5181" s="150" t="b">
        <f>Proc[[#This Row],[Requested]]=Proc[[#This Row],[CurrentParent]]</f>
        <v>1</v>
      </c>
      <c r="K5181" s="150" t="str">
        <f>IF(Proc[[#This Row],[Author]]="Marcela Urrego",VLOOKUP(LEFT(Proc[[#This Row],[Requested]],1),Table3[#All],2,0),VLOOKUP(Proc[[#This Row],[Author]],Table4[],2,0))</f>
        <v>LS</v>
      </c>
      <c r="L5181" s="150" t="s">
        <v>6435</v>
      </c>
      <c r="M5181" s="178">
        <v>46024</v>
      </c>
      <c r="N5181" s="178"/>
      <c r="O5181" s="178"/>
      <c r="P5181" s="178" t="str">
        <f ca="1">IF(Proc[[#This Row],[DaysAgeing]]&gt;5,"yep","on track")</f>
        <v>on track</v>
      </c>
      <c r="Q5181" s="3">
        <f ca="1">IF(Proc[[#This Row],[DateClosed]]="",ABS(NETWORKDAYS(Proc[[#This Row],[DateOpened]],TODAY()))-1,ABS(NETWORKDAYS(Proc[[#This Row],[DateOpened]],Proc[[#This Row],[DateClosed]]))-1)</f>
        <v>3</v>
      </c>
      <c r="R5181" s="178" t="s">
        <v>489</v>
      </c>
      <c r="S5181" s="150"/>
    </row>
    <row r="5182" spans="1:19" hidden="1">
      <c r="A5182" s="149" t="s">
        <v>7467</v>
      </c>
      <c r="B5182" s="150" t="str">
        <f>IFERROR(VLOOKUP(Proc[[#This Row],[App]],Table2[],3,0),"open")</f>
        <v>open</v>
      </c>
      <c r="C5182" s="149" t="s">
        <v>369</v>
      </c>
      <c r="D5182" t="s">
        <v>7475</v>
      </c>
      <c r="E5182" t="s">
        <v>2592</v>
      </c>
      <c r="F5182" s="150" t="s">
        <v>2592</v>
      </c>
      <c r="G5182" s="149" t="s">
        <v>400</v>
      </c>
      <c r="H5182" s="150" t="str">
        <f>IF(Proc[[#This Row],[type]]="LFF (MDG-F)",MID(Proc[[#This Row],[Obj]],13,10),"")</f>
        <v/>
      </c>
      <c r="J5182" s="150" t="b">
        <f>Proc[[#This Row],[Requested]]=Proc[[#This Row],[CurrentParent]]</f>
        <v>1</v>
      </c>
      <c r="K5182" s="150" t="str">
        <f>IF(Proc[[#This Row],[Author]]="Marcela Urrego",VLOOKUP(LEFT(Proc[[#This Row],[Requested]],1),Table3[#All],2,0),VLOOKUP(Proc[[#This Row],[Author]],Table4[],2,0))</f>
        <v>LS</v>
      </c>
      <c r="L5182" s="150" t="s">
        <v>6435</v>
      </c>
      <c r="M5182" s="178">
        <v>46024</v>
      </c>
      <c r="N5182" s="178"/>
      <c r="O5182" s="178"/>
      <c r="P5182" s="178" t="str">
        <f ca="1">IF(Proc[[#This Row],[DaysAgeing]]&gt;5,"yep","on track")</f>
        <v>on track</v>
      </c>
      <c r="Q5182" s="3">
        <f ca="1">IF(Proc[[#This Row],[DateClosed]]="",ABS(NETWORKDAYS(Proc[[#This Row],[DateOpened]],TODAY()))-1,ABS(NETWORKDAYS(Proc[[#This Row],[DateOpened]],Proc[[#This Row],[DateClosed]]))-1)</f>
        <v>3</v>
      </c>
      <c r="R5182" s="178" t="s">
        <v>489</v>
      </c>
      <c r="S5182" s="150"/>
    </row>
    <row r="5183" spans="1:19" hidden="1">
      <c r="A5183" s="149" t="s">
        <v>7467</v>
      </c>
      <c r="B5183" s="150" t="str">
        <f>IFERROR(VLOOKUP(Proc[[#This Row],[App]],Table2[],3,0),"open")</f>
        <v>open</v>
      </c>
      <c r="C5183" s="149" t="s">
        <v>369</v>
      </c>
      <c r="D5183" t="s">
        <v>7476</v>
      </c>
      <c r="E5183" t="s">
        <v>2592</v>
      </c>
      <c r="F5183" s="150" t="s">
        <v>2592</v>
      </c>
      <c r="G5183" s="149" t="s">
        <v>400</v>
      </c>
      <c r="H5183" s="150" t="str">
        <f>IF(Proc[[#This Row],[type]]="LFF (MDG-F)",MID(Proc[[#This Row],[Obj]],13,10),"")</f>
        <v/>
      </c>
      <c r="J5183" s="150" t="b">
        <f>Proc[[#This Row],[Requested]]=Proc[[#This Row],[CurrentParent]]</f>
        <v>1</v>
      </c>
      <c r="K5183" s="150" t="str">
        <f>IF(Proc[[#This Row],[Author]]="Marcela Urrego",VLOOKUP(LEFT(Proc[[#This Row],[Requested]],1),Table3[#All],2,0),VLOOKUP(Proc[[#This Row],[Author]],Table4[],2,0))</f>
        <v>LS</v>
      </c>
      <c r="L5183" s="150" t="s">
        <v>6435</v>
      </c>
      <c r="M5183" s="178">
        <v>46024</v>
      </c>
      <c r="N5183" s="178"/>
      <c r="O5183" s="178"/>
      <c r="P5183" s="178" t="str">
        <f ca="1">IF(Proc[[#This Row],[DaysAgeing]]&gt;5,"yep","on track")</f>
        <v>on track</v>
      </c>
      <c r="Q5183" s="3">
        <f ca="1">IF(Proc[[#This Row],[DateClosed]]="",ABS(NETWORKDAYS(Proc[[#This Row],[DateOpened]],TODAY()))-1,ABS(NETWORKDAYS(Proc[[#This Row],[DateOpened]],Proc[[#This Row],[DateClosed]]))-1)</f>
        <v>3</v>
      </c>
      <c r="R5183" s="178" t="s">
        <v>489</v>
      </c>
      <c r="S5183" s="150"/>
    </row>
    <row r="5184" spans="1:19" hidden="1">
      <c r="A5184" s="149" t="s">
        <v>7467</v>
      </c>
      <c r="B5184" s="150" t="str">
        <f>IFERROR(VLOOKUP(Proc[[#This Row],[App]],Table2[],3,0),"open")</f>
        <v>open</v>
      </c>
      <c r="C5184" s="149" t="s">
        <v>369</v>
      </c>
      <c r="D5184" t="s">
        <v>7477</v>
      </c>
      <c r="E5184" t="s">
        <v>2463</v>
      </c>
      <c r="F5184" s="150" t="s">
        <v>2463</v>
      </c>
      <c r="G5184" s="149" t="s">
        <v>400</v>
      </c>
      <c r="H5184" s="150" t="str">
        <f>IF(Proc[[#This Row],[type]]="LFF (MDG-F)",MID(Proc[[#This Row],[Obj]],13,10),"")</f>
        <v/>
      </c>
      <c r="J5184" s="150" t="b">
        <f>Proc[[#This Row],[Requested]]=Proc[[#This Row],[CurrentParent]]</f>
        <v>1</v>
      </c>
      <c r="K5184" s="150" t="str">
        <f>IF(Proc[[#This Row],[Author]]="Marcela Urrego",VLOOKUP(LEFT(Proc[[#This Row],[Requested]],1),Table3[#All],2,0),VLOOKUP(Proc[[#This Row],[Author]],Table4[],2,0))</f>
        <v>LS</v>
      </c>
      <c r="L5184" s="150" t="s">
        <v>6435</v>
      </c>
      <c r="M5184" s="178">
        <v>46024</v>
      </c>
      <c r="N5184" s="178"/>
      <c r="O5184" s="178"/>
      <c r="P5184" s="178" t="str">
        <f ca="1">IF(Proc[[#This Row],[DaysAgeing]]&gt;5,"yep","on track")</f>
        <v>on track</v>
      </c>
      <c r="Q5184" s="3">
        <f ca="1">IF(Proc[[#This Row],[DateClosed]]="",ABS(NETWORKDAYS(Proc[[#This Row],[DateOpened]],TODAY()))-1,ABS(NETWORKDAYS(Proc[[#This Row],[DateOpened]],Proc[[#This Row],[DateClosed]]))-1)</f>
        <v>3</v>
      </c>
      <c r="R5184" s="178" t="s">
        <v>489</v>
      </c>
      <c r="S5184" s="150"/>
    </row>
    <row r="5185" spans="1:19" hidden="1">
      <c r="A5185" s="149" t="s">
        <v>7467</v>
      </c>
      <c r="B5185" s="150" t="str">
        <f>IFERROR(VLOOKUP(Proc[[#This Row],[App]],Table2[],3,0),"open")</f>
        <v>open</v>
      </c>
      <c r="C5185" s="149" t="s">
        <v>369</v>
      </c>
      <c r="D5185" t="s">
        <v>7478</v>
      </c>
      <c r="E5185" t="s">
        <v>2463</v>
      </c>
      <c r="F5185" s="150" t="s">
        <v>2463</v>
      </c>
      <c r="G5185" s="149" t="s">
        <v>400</v>
      </c>
      <c r="H5185" s="150" t="str">
        <f>IF(Proc[[#This Row],[type]]="LFF (MDG-F)",MID(Proc[[#This Row],[Obj]],13,10),"")</f>
        <v/>
      </c>
      <c r="J5185" s="150" t="b">
        <f>Proc[[#This Row],[Requested]]=Proc[[#This Row],[CurrentParent]]</f>
        <v>1</v>
      </c>
      <c r="K5185" s="150" t="str">
        <f>IF(Proc[[#This Row],[Author]]="Marcela Urrego",VLOOKUP(LEFT(Proc[[#This Row],[Requested]],1),Table3[#All],2,0),VLOOKUP(Proc[[#This Row],[Author]],Table4[],2,0))</f>
        <v>LS</v>
      </c>
      <c r="L5185" s="150" t="s">
        <v>6435</v>
      </c>
      <c r="M5185" s="178">
        <v>46024</v>
      </c>
      <c r="N5185" s="178"/>
      <c r="O5185" s="178"/>
      <c r="P5185" s="178" t="str">
        <f ca="1">IF(Proc[[#This Row],[DaysAgeing]]&gt;5,"yep","on track")</f>
        <v>on track</v>
      </c>
      <c r="Q5185" s="3">
        <f ca="1">IF(Proc[[#This Row],[DateClosed]]="",ABS(NETWORKDAYS(Proc[[#This Row],[DateOpened]],TODAY()))-1,ABS(NETWORKDAYS(Proc[[#This Row],[DateOpened]],Proc[[#This Row],[DateClosed]]))-1)</f>
        <v>3</v>
      </c>
      <c r="R5185" s="178" t="s">
        <v>489</v>
      </c>
      <c r="S5185" s="150"/>
    </row>
    <row r="5186" spans="1:19" hidden="1">
      <c r="A5186" s="149" t="s">
        <v>7467</v>
      </c>
      <c r="B5186" s="150" t="str">
        <f>IFERROR(VLOOKUP(Proc[[#This Row],[App]],Table2[],3,0),"open")</f>
        <v>open</v>
      </c>
      <c r="C5186" s="149" t="s">
        <v>369</v>
      </c>
      <c r="D5186" t="s">
        <v>7479</v>
      </c>
      <c r="E5186" t="s">
        <v>2463</v>
      </c>
      <c r="F5186" s="150" t="s">
        <v>2463</v>
      </c>
      <c r="G5186" s="149" t="s">
        <v>400</v>
      </c>
      <c r="H5186" s="150" t="str">
        <f>IF(Proc[[#This Row],[type]]="LFF (MDG-F)",MID(Proc[[#This Row],[Obj]],13,10),"")</f>
        <v/>
      </c>
      <c r="J5186" s="150" t="b">
        <f>Proc[[#This Row],[Requested]]=Proc[[#This Row],[CurrentParent]]</f>
        <v>1</v>
      </c>
      <c r="K5186" s="150" t="str">
        <f>IF(Proc[[#This Row],[Author]]="Marcela Urrego",VLOOKUP(LEFT(Proc[[#This Row],[Requested]],1),Table3[#All],2,0),VLOOKUP(Proc[[#This Row],[Author]],Table4[],2,0))</f>
        <v>LS</v>
      </c>
      <c r="L5186" s="150" t="s">
        <v>6435</v>
      </c>
      <c r="M5186" s="178">
        <v>46024</v>
      </c>
      <c r="N5186" s="178"/>
      <c r="O5186" s="178"/>
      <c r="P5186" s="178" t="str">
        <f ca="1">IF(Proc[[#This Row],[DaysAgeing]]&gt;5,"yep","on track")</f>
        <v>on track</v>
      </c>
      <c r="Q5186" s="3">
        <f ca="1">IF(Proc[[#This Row],[DateClosed]]="",ABS(NETWORKDAYS(Proc[[#This Row],[DateOpened]],TODAY()))-1,ABS(NETWORKDAYS(Proc[[#This Row],[DateOpened]],Proc[[#This Row],[DateClosed]]))-1)</f>
        <v>3</v>
      </c>
      <c r="R5186" s="178" t="s">
        <v>489</v>
      </c>
      <c r="S5186" s="150"/>
    </row>
    <row r="5187" spans="1:19">
      <c r="A5187" s="149" t="s">
        <v>7467</v>
      </c>
      <c r="B5187" s="150" t="str">
        <f>IFERROR(VLOOKUP(Proc[[#This Row],[App]],Table2[],3,0),"open")</f>
        <v>open</v>
      </c>
      <c r="C5187" s="149" t="s">
        <v>377</v>
      </c>
      <c r="D5187" t="s">
        <v>7480</v>
      </c>
      <c r="E5187" t="s">
        <v>2463</v>
      </c>
      <c r="F5187" s="150"/>
      <c r="G5187" s="149" t="s">
        <v>400</v>
      </c>
      <c r="H5187" s="150" t="str">
        <f>IF(Proc[[#This Row],[type]]="LFF (MDG-F)",MID(Proc[[#This Row],[Obj]],13,10),"")</f>
        <v/>
      </c>
      <c r="J5187" s="150" t="b">
        <f>Proc[[#This Row],[Requested]]=Proc[[#This Row],[CurrentParent]]</f>
        <v>0</v>
      </c>
      <c r="K5187" s="150" t="str">
        <f>IF(Proc[[#This Row],[Author]]="Marcela Urrego",VLOOKUP(LEFT(Proc[[#This Row],[Requested]],1),Table3[#All],2,0),VLOOKUP(Proc[[#This Row],[Author]],Table4[],2,0))</f>
        <v>LS</v>
      </c>
      <c r="L5187" s="150" t="s">
        <v>6435</v>
      </c>
      <c r="M5187" s="178">
        <v>46024</v>
      </c>
      <c r="N5187" s="178"/>
      <c r="O5187" s="178"/>
      <c r="P5187" s="178" t="str">
        <f ca="1">IF(Proc[[#This Row],[DaysAgeing]]&gt;5,"yep","on track")</f>
        <v>on track</v>
      </c>
      <c r="Q5187" s="3">
        <f ca="1">IF(Proc[[#This Row],[DateClosed]]="",ABS(NETWORKDAYS(Proc[[#This Row],[DateOpened]],TODAY()))-1,ABS(NETWORKDAYS(Proc[[#This Row],[DateOpened]],Proc[[#This Row],[DateClosed]]))-1)</f>
        <v>3</v>
      </c>
      <c r="R5187" s="178" t="s">
        <v>489</v>
      </c>
      <c r="S5187" s="150"/>
    </row>
    <row r="5188" spans="1:19" hidden="1">
      <c r="A5188" s="149" t="s">
        <v>7467</v>
      </c>
      <c r="B5188" s="150" t="str">
        <f>IFERROR(VLOOKUP(Proc[[#This Row],[App]],Table2[],3,0),"open")</f>
        <v>open</v>
      </c>
      <c r="C5188" s="149" t="s">
        <v>369</v>
      </c>
      <c r="D5188" t="s">
        <v>7481</v>
      </c>
      <c r="E5188" t="s">
        <v>2463</v>
      </c>
      <c r="F5188" s="150" t="s">
        <v>2463</v>
      </c>
      <c r="G5188" s="149" t="s">
        <v>400</v>
      </c>
      <c r="H5188" s="150" t="str">
        <f>IF(Proc[[#This Row],[type]]="LFF (MDG-F)",MID(Proc[[#This Row],[Obj]],13,10),"")</f>
        <v/>
      </c>
      <c r="J5188" s="150" t="b">
        <f>Proc[[#This Row],[Requested]]=Proc[[#This Row],[CurrentParent]]</f>
        <v>1</v>
      </c>
      <c r="K5188" s="150" t="str">
        <f>IF(Proc[[#This Row],[Author]]="Marcela Urrego",VLOOKUP(LEFT(Proc[[#This Row],[Requested]],1),Table3[#All],2,0),VLOOKUP(Proc[[#This Row],[Author]],Table4[],2,0))</f>
        <v>LS</v>
      </c>
      <c r="L5188" s="150" t="s">
        <v>6435</v>
      </c>
      <c r="M5188" s="178">
        <v>46024</v>
      </c>
      <c r="N5188" s="178"/>
      <c r="O5188" s="178"/>
      <c r="P5188" s="178" t="str">
        <f ca="1">IF(Proc[[#This Row],[DaysAgeing]]&gt;5,"yep","on track")</f>
        <v>on track</v>
      </c>
      <c r="Q5188" s="3">
        <f ca="1">IF(Proc[[#This Row],[DateClosed]]="",ABS(NETWORKDAYS(Proc[[#This Row],[DateOpened]],TODAY()))-1,ABS(NETWORKDAYS(Proc[[#This Row],[DateOpened]],Proc[[#This Row],[DateClosed]]))-1)</f>
        <v>3</v>
      </c>
      <c r="R5188" s="178" t="s">
        <v>489</v>
      </c>
      <c r="S5188" s="150"/>
    </row>
    <row r="5189" spans="1:19" hidden="1">
      <c r="A5189" s="149" t="s">
        <v>7467</v>
      </c>
      <c r="B5189" s="150" t="str">
        <f>IFERROR(VLOOKUP(Proc[[#This Row],[App]],Table2[],3,0),"open")</f>
        <v>open</v>
      </c>
      <c r="C5189" s="149" t="s">
        <v>369</v>
      </c>
      <c r="D5189" t="s">
        <v>7482</v>
      </c>
      <c r="E5189" t="s">
        <v>2463</v>
      </c>
      <c r="F5189" s="150" t="s">
        <v>2463</v>
      </c>
      <c r="G5189" s="149" t="s">
        <v>400</v>
      </c>
      <c r="H5189" s="150" t="str">
        <f>IF(Proc[[#This Row],[type]]="LFF (MDG-F)",MID(Proc[[#This Row],[Obj]],13,10),"")</f>
        <v/>
      </c>
      <c r="J5189" s="150" t="b">
        <f>Proc[[#This Row],[Requested]]=Proc[[#This Row],[CurrentParent]]</f>
        <v>1</v>
      </c>
      <c r="K5189" s="150" t="str">
        <f>IF(Proc[[#This Row],[Author]]="Marcela Urrego",VLOOKUP(LEFT(Proc[[#This Row],[Requested]],1),Table3[#All],2,0),VLOOKUP(Proc[[#This Row],[Author]],Table4[],2,0))</f>
        <v>LS</v>
      </c>
      <c r="L5189" s="150" t="s">
        <v>6435</v>
      </c>
      <c r="M5189" s="178">
        <v>46024</v>
      </c>
      <c r="N5189" s="178"/>
      <c r="O5189" s="178"/>
      <c r="P5189" s="178" t="str">
        <f ca="1">IF(Proc[[#This Row],[DaysAgeing]]&gt;5,"yep","on track")</f>
        <v>on track</v>
      </c>
      <c r="Q5189" s="3">
        <f ca="1">IF(Proc[[#This Row],[DateClosed]]="",ABS(NETWORKDAYS(Proc[[#This Row],[DateOpened]],TODAY()))-1,ABS(NETWORKDAYS(Proc[[#This Row],[DateOpened]],Proc[[#This Row],[DateClosed]]))-1)</f>
        <v>3</v>
      </c>
      <c r="R5189" s="178" t="s">
        <v>489</v>
      </c>
      <c r="S5189" s="150"/>
    </row>
    <row r="5190" spans="1:19" hidden="1">
      <c r="A5190" s="149" t="s">
        <v>7467</v>
      </c>
      <c r="B5190" s="150" t="str">
        <f>IFERROR(VLOOKUP(Proc[[#This Row],[App]],Table2[],3,0),"open")</f>
        <v>open</v>
      </c>
      <c r="C5190" s="149" t="s">
        <v>369</v>
      </c>
      <c r="D5190" t="s">
        <v>7483</v>
      </c>
      <c r="E5190" t="s">
        <v>7484</v>
      </c>
      <c r="F5190" s="150" t="s">
        <v>7484</v>
      </c>
      <c r="G5190" s="149" t="s">
        <v>400</v>
      </c>
      <c r="H5190" s="150" t="str">
        <f>IF(Proc[[#This Row],[type]]="LFF (MDG-F)",MID(Proc[[#This Row],[Obj]],13,10),"")</f>
        <v/>
      </c>
      <c r="J5190" s="150" t="b">
        <f>Proc[[#This Row],[Requested]]=Proc[[#This Row],[CurrentParent]]</f>
        <v>1</v>
      </c>
      <c r="K5190" s="150" t="str">
        <f>IF(Proc[[#This Row],[Author]]="Marcela Urrego",VLOOKUP(LEFT(Proc[[#This Row],[Requested]],1),Table3[#All],2,0),VLOOKUP(Proc[[#This Row],[Author]],Table4[],2,0))</f>
        <v>LS</v>
      </c>
      <c r="L5190" s="150" t="s">
        <v>6435</v>
      </c>
      <c r="M5190" s="178">
        <v>46024</v>
      </c>
      <c r="N5190" s="178"/>
      <c r="O5190" s="178"/>
      <c r="P5190" s="178" t="str">
        <f ca="1">IF(Proc[[#This Row],[DaysAgeing]]&gt;5,"yep","on track")</f>
        <v>on track</v>
      </c>
      <c r="Q5190" s="3">
        <f ca="1">IF(Proc[[#This Row],[DateClosed]]="",ABS(NETWORKDAYS(Proc[[#This Row],[DateOpened]],TODAY()))-1,ABS(NETWORKDAYS(Proc[[#This Row],[DateOpened]],Proc[[#This Row],[DateClosed]]))-1)</f>
        <v>3</v>
      </c>
      <c r="R5190" s="178" t="s">
        <v>489</v>
      </c>
      <c r="S5190" s="150"/>
    </row>
    <row r="5191" spans="1:19" hidden="1">
      <c r="A5191" t="s">
        <v>7485</v>
      </c>
      <c r="B5191" s="150" t="str">
        <f>IFERROR(VLOOKUP(Proc[[#This Row],[App]],Table2[],3,0),"open")</f>
        <v>open</v>
      </c>
      <c r="C5191" s="149" t="s">
        <v>369</v>
      </c>
      <c r="D5191" t="s">
        <v>7486</v>
      </c>
      <c r="E5191" t="s">
        <v>7350</v>
      </c>
      <c r="F5191" s="150" t="s">
        <v>7350</v>
      </c>
      <c r="G5191" s="149" t="s">
        <v>400</v>
      </c>
      <c r="H5191" s="150" t="str">
        <f>IF(Proc[[#This Row],[type]]="LFF (MDG-F)",MID(Proc[[#This Row],[Obj]],13,10),"")</f>
        <v/>
      </c>
      <c r="J5191" s="150" t="b">
        <f>Proc[[#This Row],[Requested]]=Proc[[#This Row],[CurrentParent]]</f>
        <v>1</v>
      </c>
      <c r="K5191" s="150" t="str">
        <f>IF(Proc[[#This Row],[Author]]="Marcela Urrego",VLOOKUP(LEFT(Proc[[#This Row],[Requested]],1),Table3[#All],2,0),VLOOKUP(Proc[[#This Row],[Author]],Table4[],2,0))</f>
        <v>LS</v>
      </c>
      <c r="L5191" s="150" t="s">
        <v>6435</v>
      </c>
      <c r="M5191" s="178">
        <v>46024</v>
      </c>
      <c r="N5191" s="178"/>
      <c r="O5191" s="178"/>
      <c r="P5191" s="178" t="str">
        <f ca="1">IF(Proc[[#This Row],[DaysAgeing]]&gt;5,"yep","on track")</f>
        <v>on track</v>
      </c>
      <c r="Q5191" s="3">
        <f ca="1">IF(Proc[[#This Row],[DateClosed]]="",ABS(NETWORKDAYS(Proc[[#This Row],[DateOpened]],TODAY()))-1,ABS(NETWORKDAYS(Proc[[#This Row],[DateOpened]],Proc[[#This Row],[DateClosed]]))-1)</f>
        <v>3</v>
      </c>
      <c r="R5191" s="178" t="s">
        <v>489</v>
      </c>
      <c r="S5191" s="150"/>
    </row>
    <row r="5192" spans="1:19">
      <c r="A5192" s="149" t="s">
        <v>7485</v>
      </c>
      <c r="B5192" s="150" t="str">
        <f>IFERROR(VLOOKUP(Proc[[#This Row],[App]],Table2[],3,0),"open")</f>
        <v>open</v>
      </c>
      <c r="C5192" s="149" t="s">
        <v>375</v>
      </c>
      <c r="D5192" t="s">
        <v>7487</v>
      </c>
      <c r="E5192" t="s">
        <v>7350</v>
      </c>
      <c r="F5192" s="150" t="s">
        <v>7459</v>
      </c>
      <c r="G5192" s="149" t="s">
        <v>406</v>
      </c>
      <c r="H5192" s="150" t="str">
        <f>IF(Proc[[#This Row],[type]]="LFF (MDG-F)",MID(Proc[[#This Row],[Obj]],13,10),"")</f>
        <v>1756Y11755</v>
      </c>
      <c r="I5192" s="149" t="s">
        <v>7580</v>
      </c>
      <c r="J5192" s="150" t="b">
        <f>Proc[[#This Row],[Requested]]=Proc[[#This Row],[CurrentParent]]</f>
        <v>0</v>
      </c>
      <c r="K5192" s="150" t="str">
        <f>IF(Proc[[#This Row],[Author]]="Marcela Urrego",VLOOKUP(LEFT(Proc[[#This Row],[Requested]],1),Table3[#All],2,0),VLOOKUP(Proc[[#This Row],[Author]],Table4[],2,0))</f>
        <v>LS</v>
      </c>
      <c r="L5192" s="150" t="s">
        <v>6435</v>
      </c>
      <c r="M5192" s="178">
        <v>46024</v>
      </c>
      <c r="N5192" s="178"/>
      <c r="O5192" s="178"/>
      <c r="P5192" s="178" t="str">
        <f ca="1">IF(Proc[[#This Row],[DaysAgeing]]&gt;5,"yep","on track")</f>
        <v>on track</v>
      </c>
      <c r="Q5192" s="3">
        <f ca="1">IF(Proc[[#This Row],[DateClosed]]="",ABS(NETWORKDAYS(Proc[[#This Row],[DateOpened]],TODAY()))-1,ABS(NETWORKDAYS(Proc[[#This Row],[DateOpened]],Proc[[#This Row],[DateClosed]]))-1)</f>
        <v>3</v>
      </c>
      <c r="R5192" s="178" t="s">
        <v>489</v>
      </c>
      <c r="S5192" s="150"/>
    </row>
    <row r="5193" spans="1:19" hidden="1">
      <c r="A5193" s="149" t="s">
        <v>7485</v>
      </c>
      <c r="B5193" s="150" t="str">
        <f>IFERROR(VLOOKUP(Proc[[#This Row],[App]],Table2[],3,0),"open")</f>
        <v>open</v>
      </c>
      <c r="C5193" s="149" t="s">
        <v>369</v>
      </c>
      <c r="D5193" t="s">
        <v>7465</v>
      </c>
      <c r="E5193" t="s">
        <v>7466</v>
      </c>
      <c r="F5193" s="150" t="s">
        <v>7466</v>
      </c>
      <c r="G5193" s="149" t="s">
        <v>400</v>
      </c>
      <c r="H5193" s="150" t="str">
        <f>IF(Proc[[#This Row],[type]]="LFF (MDG-F)",MID(Proc[[#This Row],[Obj]],13,10),"")</f>
        <v/>
      </c>
      <c r="J5193" s="150" t="b">
        <f>Proc[[#This Row],[Requested]]=Proc[[#This Row],[CurrentParent]]</f>
        <v>1</v>
      </c>
      <c r="K5193" s="150" t="str">
        <f>IF(Proc[[#This Row],[Author]]="Marcela Urrego",VLOOKUP(LEFT(Proc[[#This Row],[Requested]],1),Table3[#All],2,0),VLOOKUP(Proc[[#This Row],[Author]],Table4[],2,0))</f>
        <v>LS</v>
      </c>
      <c r="L5193" s="150" t="s">
        <v>6435</v>
      </c>
      <c r="M5193" s="178">
        <v>46024</v>
      </c>
      <c r="N5193" s="178"/>
      <c r="O5193" s="178"/>
      <c r="P5193" s="178" t="str">
        <f ca="1">IF(Proc[[#This Row],[DaysAgeing]]&gt;5,"yep","on track")</f>
        <v>on track</v>
      </c>
      <c r="Q5193" s="3">
        <f ca="1">IF(Proc[[#This Row],[DateClosed]]="",ABS(NETWORKDAYS(Proc[[#This Row],[DateOpened]],TODAY()))-1,ABS(NETWORKDAYS(Proc[[#This Row],[DateOpened]],Proc[[#This Row],[DateClosed]]))-1)</f>
        <v>3</v>
      </c>
      <c r="R5193" s="178" t="s">
        <v>489</v>
      </c>
      <c r="S5193" s="150"/>
    </row>
    <row r="5194" spans="1:19" hidden="1">
      <c r="A5194" s="149" t="s">
        <v>7485</v>
      </c>
      <c r="B5194" s="150" t="str">
        <f>IFERROR(VLOOKUP(Proc[[#This Row],[App]],Table2[],3,0),"open")</f>
        <v>open</v>
      </c>
      <c r="C5194" s="149" t="s">
        <v>369</v>
      </c>
      <c r="D5194" t="s">
        <v>7488</v>
      </c>
      <c r="E5194" t="s">
        <v>7516</v>
      </c>
      <c r="F5194" s="150" t="s">
        <v>7516</v>
      </c>
      <c r="G5194" s="149" t="s">
        <v>400</v>
      </c>
      <c r="H5194" s="150" t="str">
        <f>IF(Proc[[#This Row],[type]]="LFF (MDG-F)",MID(Proc[[#This Row],[Obj]],13,10),"")</f>
        <v/>
      </c>
      <c r="J5194" s="150" t="b">
        <f>Proc[[#This Row],[Requested]]=Proc[[#This Row],[CurrentParent]]</f>
        <v>1</v>
      </c>
      <c r="K5194" s="150" t="str">
        <f>IF(Proc[[#This Row],[Author]]="Marcela Urrego",VLOOKUP(LEFT(Proc[[#This Row],[Requested]],1),Table3[#All],2,0),VLOOKUP(Proc[[#This Row],[Author]],Table4[],2,0))</f>
        <v>LS</v>
      </c>
      <c r="L5194" s="150" t="s">
        <v>6435</v>
      </c>
      <c r="M5194" s="178">
        <v>46024</v>
      </c>
      <c r="N5194" s="178"/>
      <c r="O5194" s="178"/>
      <c r="P5194" s="178" t="str">
        <f ca="1">IF(Proc[[#This Row],[DaysAgeing]]&gt;5,"yep","on track")</f>
        <v>on track</v>
      </c>
      <c r="Q5194" s="3">
        <f ca="1">IF(Proc[[#This Row],[DateClosed]]="",ABS(NETWORKDAYS(Proc[[#This Row],[DateOpened]],TODAY()))-1,ABS(NETWORKDAYS(Proc[[#This Row],[DateOpened]],Proc[[#This Row],[DateClosed]]))-1)</f>
        <v>3</v>
      </c>
      <c r="R5194" s="178" t="s">
        <v>489</v>
      </c>
      <c r="S5194" s="150"/>
    </row>
    <row r="5195" spans="1:19" hidden="1">
      <c r="A5195" s="149" t="s">
        <v>7485</v>
      </c>
      <c r="B5195" s="150" t="str">
        <f>IFERROR(VLOOKUP(Proc[[#This Row],[App]],Table2[],3,0),"open")</f>
        <v>open</v>
      </c>
      <c r="C5195" s="149" t="s">
        <v>369</v>
      </c>
      <c r="D5195" t="s">
        <v>7489</v>
      </c>
      <c r="E5195" t="s">
        <v>7392</v>
      </c>
      <c r="F5195" s="150" t="s">
        <v>7392</v>
      </c>
      <c r="G5195" s="149" t="s">
        <v>400</v>
      </c>
      <c r="H5195" s="150" t="str">
        <f>IF(Proc[[#This Row],[type]]="LFF (MDG-F)",MID(Proc[[#This Row],[Obj]],13,10),"")</f>
        <v/>
      </c>
      <c r="J5195" s="150" t="b">
        <f>Proc[[#This Row],[Requested]]=Proc[[#This Row],[CurrentParent]]</f>
        <v>1</v>
      </c>
      <c r="K5195" s="150" t="str">
        <f>IF(Proc[[#This Row],[Author]]="Marcela Urrego",VLOOKUP(LEFT(Proc[[#This Row],[Requested]],1),Table3[#All],2,0),VLOOKUP(Proc[[#This Row],[Author]],Table4[],2,0))</f>
        <v>LS</v>
      </c>
      <c r="L5195" s="150" t="s">
        <v>6435</v>
      </c>
      <c r="M5195" s="178">
        <v>46024</v>
      </c>
      <c r="N5195" s="178"/>
      <c r="O5195" s="178"/>
      <c r="P5195" s="178" t="str">
        <f ca="1">IF(Proc[[#This Row],[DaysAgeing]]&gt;5,"yep","on track")</f>
        <v>on track</v>
      </c>
      <c r="Q5195" s="3">
        <f ca="1">IF(Proc[[#This Row],[DateClosed]]="",ABS(NETWORKDAYS(Proc[[#This Row],[DateOpened]],TODAY()))-1,ABS(NETWORKDAYS(Proc[[#This Row],[DateOpened]],Proc[[#This Row],[DateClosed]]))-1)</f>
        <v>3</v>
      </c>
      <c r="R5195" s="178" t="s">
        <v>489</v>
      </c>
      <c r="S5195" s="150"/>
    </row>
    <row r="5196" spans="1:19" hidden="1">
      <c r="A5196" s="149" t="s">
        <v>7485</v>
      </c>
      <c r="B5196" s="150" t="str">
        <f>IFERROR(VLOOKUP(Proc[[#This Row],[App]],Table2[],3,0),"open")</f>
        <v>open</v>
      </c>
      <c r="C5196" s="149" t="s">
        <v>369</v>
      </c>
      <c r="D5196" t="s">
        <v>7490</v>
      </c>
      <c r="E5196" t="s">
        <v>7392</v>
      </c>
      <c r="F5196" s="150" t="s">
        <v>7392</v>
      </c>
      <c r="G5196" s="149" t="s">
        <v>400</v>
      </c>
      <c r="H5196" s="150" t="str">
        <f>IF(Proc[[#This Row],[type]]="LFF (MDG-F)",MID(Proc[[#This Row],[Obj]],13,10),"")</f>
        <v/>
      </c>
      <c r="J5196" s="150" t="b">
        <f>Proc[[#This Row],[Requested]]=Proc[[#This Row],[CurrentParent]]</f>
        <v>1</v>
      </c>
      <c r="K5196" s="150" t="str">
        <f>IF(Proc[[#This Row],[Author]]="Marcela Urrego",VLOOKUP(LEFT(Proc[[#This Row],[Requested]],1),Table3[#All],2,0),VLOOKUP(Proc[[#This Row],[Author]],Table4[],2,0))</f>
        <v>LS</v>
      </c>
      <c r="L5196" s="150" t="s">
        <v>6435</v>
      </c>
      <c r="M5196" s="178">
        <v>46024</v>
      </c>
      <c r="N5196" s="178"/>
      <c r="O5196" s="178"/>
      <c r="P5196" s="178" t="str">
        <f ca="1">IF(Proc[[#This Row],[DaysAgeing]]&gt;5,"yep","on track")</f>
        <v>on track</v>
      </c>
      <c r="Q5196" s="3">
        <f ca="1">IF(Proc[[#This Row],[DateClosed]]="",ABS(NETWORKDAYS(Proc[[#This Row],[DateOpened]],TODAY()))-1,ABS(NETWORKDAYS(Proc[[#This Row],[DateOpened]],Proc[[#This Row],[DateClosed]]))-1)</f>
        <v>3</v>
      </c>
      <c r="R5196" s="178" t="s">
        <v>489</v>
      </c>
      <c r="S5196" s="150"/>
    </row>
    <row r="5197" spans="1:19" hidden="1">
      <c r="A5197" s="149" t="s">
        <v>7485</v>
      </c>
      <c r="B5197" s="150" t="str">
        <f>IFERROR(VLOOKUP(Proc[[#This Row],[App]],Table2[],3,0),"open")</f>
        <v>open</v>
      </c>
      <c r="C5197" s="149" t="s">
        <v>369</v>
      </c>
      <c r="D5197" t="s">
        <v>7491</v>
      </c>
      <c r="E5197" t="s">
        <v>7392</v>
      </c>
      <c r="F5197" s="150" t="s">
        <v>7392</v>
      </c>
      <c r="G5197" s="149" t="s">
        <v>400</v>
      </c>
      <c r="H5197" s="150" t="str">
        <f>IF(Proc[[#This Row],[type]]="LFF (MDG-F)",MID(Proc[[#This Row],[Obj]],13,10),"")</f>
        <v/>
      </c>
      <c r="J5197" s="150" t="b">
        <f>Proc[[#This Row],[Requested]]=Proc[[#This Row],[CurrentParent]]</f>
        <v>1</v>
      </c>
      <c r="K5197" s="150" t="str">
        <f>IF(Proc[[#This Row],[Author]]="Marcela Urrego",VLOOKUP(LEFT(Proc[[#This Row],[Requested]],1),Table3[#All],2,0),VLOOKUP(Proc[[#This Row],[Author]],Table4[],2,0))</f>
        <v>LS</v>
      </c>
      <c r="L5197" s="150" t="s">
        <v>6435</v>
      </c>
      <c r="M5197" s="178">
        <v>46024</v>
      </c>
      <c r="N5197" s="178"/>
      <c r="O5197" s="178"/>
      <c r="P5197" s="178" t="str">
        <f ca="1">IF(Proc[[#This Row],[DaysAgeing]]&gt;5,"yep","on track")</f>
        <v>on track</v>
      </c>
      <c r="Q5197" s="3">
        <f ca="1">IF(Proc[[#This Row],[DateClosed]]="",ABS(NETWORKDAYS(Proc[[#This Row],[DateOpened]],TODAY()))-1,ABS(NETWORKDAYS(Proc[[#This Row],[DateOpened]],Proc[[#This Row],[DateClosed]]))-1)</f>
        <v>3</v>
      </c>
      <c r="R5197" s="178" t="s">
        <v>489</v>
      </c>
      <c r="S5197" s="150"/>
    </row>
    <row r="5198" spans="1:19">
      <c r="A5198" s="149" t="s">
        <v>7485</v>
      </c>
      <c r="B5198" s="150" t="str">
        <f>IFERROR(VLOOKUP(Proc[[#This Row],[App]],Table2[],3,0),"open")</f>
        <v>open</v>
      </c>
      <c r="C5198" s="149" t="s">
        <v>370</v>
      </c>
      <c r="D5198" t="s">
        <v>7492</v>
      </c>
      <c r="E5198" t="s">
        <v>7392</v>
      </c>
      <c r="F5198" s="150" t="s">
        <v>1575</v>
      </c>
      <c r="G5198" s="149" t="s">
        <v>400</v>
      </c>
      <c r="H5198" s="150" t="str">
        <f>IF(Proc[[#This Row],[type]]="LFF (MDG-F)",MID(Proc[[#This Row],[Obj]],13,10),"")</f>
        <v/>
      </c>
      <c r="J5198" s="150" t="b">
        <f>Proc[[#This Row],[Requested]]=Proc[[#This Row],[CurrentParent]]</f>
        <v>0</v>
      </c>
      <c r="K5198" s="150" t="str">
        <f>IF(Proc[[#This Row],[Author]]="Marcela Urrego",VLOOKUP(LEFT(Proc[[#This Row],[Requested]],1),Table3[#All],2,0),VLOOKUP(Proc[[#This Row],[Author]],Table4[],2,0))</f>
        <v>LS</v>
      </c>
      <c r="L5198" s="150" t="s">
        <v>6435</v>
      </c>
      <c r="M5198" s="178">
        <v>46024</v>
      </c>
      <c r="N5198" s="178"/>
      <c r="O5198" s="178"/>
      <c r="P5198" s="178" t="str">
        <f ca="1">IF(Proc[[#This Row],[DaysAgeing]]&gt;5,"yep","on track")</f>
        <v>on track</v>
      </c>
      <c r="Q5198" s="3">
        <f ca="1">IF(Proc[[#This Row],[DateClosed]]="",ABS(NETWORKDAYS(Proc[[#This Row],[DateOpened]],TODAY()))-1,ABS(NETWORKDAYS(Proc[[#This Row],[DateOpened]],Proc[[#This Row],[DateClosed]]))-1)</f>
        <v>3</v>
      </c>
      <c r="R5198" s="178" t="s">
        <v>489</v>
      </c>
      <c r="S5198" s="150"/>
    </row>
    <row r="5199" spans="1:19">
      <c r="A5199" s="149" t="s">
        <v>7485</v>
      </c>
      <c r="B5199" s="150" t="str">
        <f>IFERROR(VLOOKUP(Proc[[#This Row],[App]],Table2[],3,0),"open")</f>
        <v>open</v>
      </c>
      <c r="C5199" s="149" t="s">
        <v>370</v>
      </c>
      <c r="D5199" t="s">
        <v>7493</v>
      </c>
      <c r="E5199" t="s">
        <v>7392</v>
      </c>
      <c r="F5199" s="150" t="s">
        <v>7570</v>
      </c>
      <c r="G5199" s="149" t="s">
        <v>400</v>
      </c>
      <c r="H5199" s="150" t="str">
        <f>IF(Proc[[#This Row],[type]]="LFF (MDG-F)",MID(Proc[[#This Row],[Obj]],13,10),"")</f>
        <v/>
      </c>
      <c r="J5199" s="150" t="b">
        <f>Proc[[#This Row],[Requested]]=Proc[[#This Row],[CurrentParent]]</f>
        <v>0</v>
      </c>
      <c r="K5199" s="150" t="str">
        <f>IF(Proc[[#This Row],[Author]]="Marcela Urrego",VLOOKUP(LEFT(Proc[[#This Row],[Requested]],1),Table3[#All],2,0),VLOOKUP(Proc[[#This Row],[Author]],Table4[],2,0))</f>
        <v>LS</v>
      </c>
      <c r="L5199" s="150" t="s">
        <v>6435</v>
      </c>
      <c r="M5199" s="178">
        <v>46024</v>
      </c>
      <c r="N5199" s="178"/>
      <c r="O5199" s="178"/>
      <c r="P5199" s="178" t="str">
        <f ca="1">IF(Proc[[#This Row],[DaysAgeing]]&gt;5,"yep","on track")</f>
        <v>on track</v>
      </c>
      <c r="Q5199" s="3">
        <f ca="1">IF(Proc[[#This Row],[DateClosed]]="",ABS(NETWORKDAYS(Proc[[#This Row],[DateOpened]],TODAY()))-1,ABS(NETWORKDAYS(Proc[[#This Row],[DateOpened]],Proc[[#This Row],[DateClosed]]))-1)</f>
        <v>3</v>
      </c>
      <c r="R5199" s="178" t="s">
        <v>489</v>
      </c>
      <c r="S5199" s="150"/>
    </row>
    <row r="5200" spans="1:19" hidden="1">
      <c r="A5200" s="149" t="s">
        <v>7485</v>
      </c>
      <c r="B5200" s="150" t="str">
        <f>IFERROR(VLOOKUP(Proc[[#This Row],[App]],Table2[],3,0),"open")</f>
        <v>open</v>
      </c>
      <c r="C5200" s="149" t="s">
        <v>369</v>
      </c>
      <c r="D5200" t="s">
        <v>7494</v>
      </c>
      <c r="E5200" t="s">
        <v>7392</v>
      </c>
      <c r="F5200" s="150" t="s">
        <v>7392</v>
      </c>
      <c r="G5200" s="149" t="s">
        <v>400</v>
      </c>
      <c r="H5200" s="150" t="str">
        <f>IF(Proc[[#This Row],[type]]="LFF (MDG-F)",MID(Proc[[#This Row],[Obj]],13,10),"")</f>
        <v/>
      </c>
      <c r="J5200" s="150" t="b">
        <f>Proc[[#This Row],[Requested]]=Proc[[#This Row],[CurrentParent]]</f>
        <v>1</v>
      </c>
      <c r="K5200" s="150" t="str">
        <f>IF(Proc[[#This Row],[Author]]="Marcela Urrego",VLOOKUP(LEFT(Proc[[#This Row],[Requested]],1),Table3[#All],2,0),VLOOKUP(Proc[[#This Row],[Author]],Table4[],2,0))</f>
        <v>LS</v>
      </c>
      <c r="L5200" s="150" t="s">
        <v>6435</v>
      </c>
      <c r="M5200" s="178">
        <v>46024</v>
      </c>
      <c r="N5200" s="178"/>
      <c r="O5200" s="178"/>
      <c r="P5200" s="178" t="str">
        <f ca="1">IF(Proc[[#This Row],[DaysAgeing]]&gt;5,"yep","on track")</f>
        <v>on track</v>
      </c>
      <c r="Q5200" s="3">
        <f ca="1">IF(Proc[[#This Row],[DateClosed]]="",ABS(NETWORKDAYS(Proc[[#This Row],[DateOpened]],TODAY()))-1,ABS(NETWORKDAYS(Proc[[#This Row],[DateOpened]],Proc[[#This Row],[DateClosed]]))-1)</f>
        <v>3</v>
      </c>
      <c r="R5200" s="178" t="s">
        <v>489</v>
      </c>
      <c r="S5200" s="150"/>
    </row>
    <row r="5201" spans="1:19" hidden="1">
      <c r="A5201" s="149" t="s">
        <v>7485</v>
      </c>
      <c r="B5201" s="150" t="str">
        <f>IFERROR(VLOOKUP(Proc[[#This Row],[App]],Table2[],3,0),"open")</f>
        <v>open</v>
      </c>
      <c r="C5201" s="149" t="s">
        <v>369</v>
      </c>
      <c r="D5201" t="s">
        <v>7495</v>
      </c>
      <c r="E5201" t="s">
        <v>2592</v>
      </c>
      <c r="F5201" s="150" t="s">
        <v>2592</v>
      </c>
      <c r="G5201" s="149" t="s">
        <v>400</v>
      </c>
      <c r="H5201" s="150" t="str">
        <f>IF(Proc[[#This Row],[type]]="LFF (MDG-F)",MID(Proc[[#This Row],[Obj]],13,10),"")</f>
        <v/>
      </c>
      <c r="J5201" s="150" t="b">
        <f>Proc[[#This Row],[Requested]]=Proc[[#This Row],[CurrentParent]]</f>
        <v>1</v>
      </c>
      <c r="K5201" s="150" t="str">
        <f>IF(Proc[[#This Row],[Author]]="Marcela Urrego",VLOOKUP(LEFT(Proc[[#This Row],[Requested]],1),Table3[#All],2,0),VLOOKUP(Proc[[#This Row],[Author]],Table4[],2,0))</f>
        <v>LS</v>
      </c>
      <c r="L5201" s="150" t="s">
        <v>6435</v>
      </c>
      <c r="M5201" s="178">
        <v>46024</v>
      </c>
      <c r="N5201" s="178"/>
      <c r="O5201" s="178"/>
      <c r="P5201" s="178" t="str">
        <f ca="1">IF(Proc[[#This Row],[DaysAgeing]]&gt;5,"yep","on track")</f>
        <v>on track</v>
      </c>
      <c r="Q5201" s="3">
        <f ca="1">IF(Proc[[#This Row],[DateClosed]]="",ABS(NETWORKDAYS(Proc[[#This Row],[DateOpened]],TODAY()))-1,ABS(NETWORKDAYS(Proc[[#This Row],[DateOpened]],Proc[[#This Row],[DateClosed]]))-1)</f>
        <v>3</v>
      </c>
      <c r="R5201" s="178" t="s">
        <v>489</v>
      </c>
      <c r="S5201" s="150"/>
    </row>
    <row r="5202" spans="1:19" hidden="1">
      <c r="A5202" s="149" t="s">
        <v>7485</v>
      </c>
      <c r="B5202" s="150" t="str">
        <f>IFERROR(VLOOKUP(Proc[[#This Row],[App]],Table2[],3,0),"open")</f>
        <v>open</v>
      </c>
      <c r="C5202" s="149" t="s">
        <v>369</v>
      </c>
      <c r="D5202" t="s">
        <v>7496</v>
      </c>
      <c r="E5202" t="s">
        <v>2592</v>
      </c>
      <c r="F5202" s="150" t="s">
        <v>2592</v>
      </c>
      <c r="G5202" s="149" t="s">
        <v>400</v>
      </c>
      <c r="H5202" s="150" t="str">
        <f>IF(Proc[[#This Row],[type]]="LFF (MDG-F)",MID(Proc[[#This Row],[Obj]],13,10),"")</f>
        <v/>
      </c>
      <c r="J5202" s="150" t="b">
        <f>Proc[[#This Row],[Requested]]=Proc[[#This Row],[CurrentParent]]</f>
        <v>1</v>
      </c>
      <c r="K5202" s="150" t="str">
        <f>IF(Proc[[#This Row],[Author]]="Marcela Urrego",VLOOKUP(LEFT(Proc[[#This Row],[Requested]],1),Table3[#All],2,0),VLOOKUP(Proc[[#This Row],[Author]],Table4[],2,0))</f>
        <v>LS</v>
      </c>
      <c r="L5202" s="150" t="s">
        <v>6435</v>
      </c>
      <c r="M5202" s="178">
        <v>46024</v>
      </c>
      <c r="N5202" s="178"/>
      <c r="O5202" s="178"/>
      <c r="P5202" s="178" t="str">
        <f ca="1">IF(Proc[[#This Row],[DaysAgeing]]&gt;5,"yep","on track")</f>
        <v>on track</v>
      </c>
      <c r="Q5202" s="3">
        <f ca="1">IF(Proc[[#This Row],[DateClosed]]="",ABS(NETWORKDAYS(Proc[[#This Row],[DateOpened]],TODAY()))-1,ABS(NETWORKDAYS(Proc[[#This Row],[DateOpened]],Proc[[#This Row],[DateClosed]]))-1)</f>
        <v>3</v>
      </c>
      <c r="R5202" s="178" t="s">
        <v>489</v>
      </c>
      <c r="S5202" s="150"/>
    </row>
    <row r="5203" spans="1:19" hidden="1">
      <c r="A5203" s="149" t="s">
        <v>7485</v>
      </c>
      <c r="B5203" s="150" t="str">
        <f>IFERROR(VLOOKUP(Proc[[#This Row],[App]],Table2[],3,0),"open")</f>
        <v>open</v>
      </c>
      <c r="C5203" s="149" t="s">
        <v>369</v>
      </c>
      <c r="D5203" t="s">
        <v>7497</v>
      </c>
      <c r="E5203" t="s">
        <v>2592</v>
      </c>
      <c r="F5203" s="150" t="s">
        <v>2592</v>
      </c>
      <c r="G5203" s="149" t="s">
        <v>400</v>
      </c>
      <c r="H5203" s="150" t="str">
        <f>IF(Proc[[#This Row],[type]]="LFF (MDG-F)",MID(Proc[[#This Row],[Obj]],13,10),"")</f>
        <v/>
      </c>
      <c r="J5203" s="150" t="b">
        <f>Proc[[#This Row],[Requested]]=Proc[[#This Row],[CurrentParent]]</f>
        <v>1</v>
      </c>
      <c r="K5203" s="150" t="str">
        <f>IF(Proc[[#This Row],[Author]]="Marcela Urrego",VLOOKUP(LEFT(Proc[[#This Row],[Requested]],1),Table3[#All],2,0),VLOOKUP(Proc[[#This Row],[Author]],Table4[],2,0))</f>
        <v>LS</v>
      </c>
      <c r="L5203" s="150" t="s">
        <v>6435</v>
      </c>
      <c r="M5203" s="178">
        <v>46024</v>
      </c>
      <c r="N5203" s="178"/>
      <c r="O5203" s="178"/>
      <c r="P5203" s="178" t="str">
        <f ca="1">IF(Proc[[#This Row],[DaysAgeing]]&gt;5,"yep","on track")</f>
        <v>on track</v>
      </c>
      <c r="Q5203" s="3">
        <f ca="1">IF(Proc[[#This Row],[DateClosed]]="",ABS(NETWORKDAYS(Proc[[#This Row],[DateOpened]],TODAY()))-1,ABS(NETWORKDAYS(Proc[[#This Row],[DateOpened]],Proc[[#This Row],[DateClosed]]))-1)</f>
        <v>3</v>
      </c>
      <c r="R5203" s="178" t="s">
        <v>489</v>
      </c>
      <c r="S5203" s="150"/>
    </row>
    <row r="5204" spans="1:19" hidden="1">
      <c r="A5204" s="149" t="s">
        <v>7485</v>
      </c>
      <c r="B5204" s="150" t="str">
        <f>IFERROR(VLOOKUP(Proc[[#This Row],[App]],Table2[],3,0),"open")</f>
        <v>open</v>
      </c>
      <c r="C5204" s="149" t="s">
        <v>369</v>
      </c>
      <c r="D5204" t="s">
        <v>7498</v>
      </c>
      <c r="E5204" t="s">
        <v>2592</v>
      </c>
      <c r="F5204" s="150" t="s">
        <v>2592</v>
      </c>
      <c r="G5204" s="149" t="s">
        <v>400</v>
      </c>
      <c r="H5204" s="150" t="str">
        <f>IF(Proc[[#This Row],[type]]="LFF (MDG-F)",MID(Proc[[#This Row],[Obj]],13,10),"")</f>
        <v/>
      </c>
      <c r="J5204" s="150" t="b">
        <f>Proc[[#This Row],[Requested]]=Proc[[#This Row],[CurrentParent]]</f>
        <v>1</v>
      </c>
      <c r="K5204" s="150" t="str">
        <f>IF(Proc[[#This Row],[Author]]="Marcela Urrego",VLOOKUP(LEFT(Proc[[#This Row],[Requested]],1),Table3[#All],2,0),VLOOKUP(Proc[[#This Row],[Author]],Table4[],2,0))</f>
        <v>LS</v>
      </c>
      <c r="L5204" s="150" t="s">
        <v>6435</v>
      </c>
      <c r="M5204" s="178">
        <v>46024</v>
      </c>
      <c r="N5204" s="178"/>
      <c r="O5204" s="178"/>
      <c r="P5204" s="178" t="str">
        <f ca="1">IF(Proc[[#This Row],[DaysAgeing]]&gt;5,"yep","on track")</f>
        <v>on track</v>
      </c>
      <c r="Q5204" s="3">
        <f ca="1">IF(Proc[[#This Row],[DateClosed]]="",ABS(NETWORKDAYS(Proc[[#This Row],[DateOpened]],TODAY()))-1,ABS(NETWORKDAYS(Proc[[#This Row],[DateOpened]],Proc[[#This Row],[DateClosed]]))-1)</f>
        <v>3</v>
      </c>
      <c r="R5204" s="178" t="s">
        <v>489</v>
      </c>
      <c r="S5204" s="150"/>
    </row>
    <row r="5205" spans="1:19" hidden="1">
      <c r="A5205" s="149" t="s">
        <v>7485</v>
      </c>
      <c r="B5205" s="150" t="str">
        <f>IFERROR(VLOOKUP(Proc[[#This Row],[App]],Table2[],3,0),"open")</f>
        <v>open</v>
      </c>
      <c r="C5205" s="149" t="s">
        <v>369</v>
      </c>
      <c r="D5205" t="s">
        <v>7499</v>
      </c>
      <c r="E5205" t="s">
        <v>2592</v>
      </c>
      <c r="F5205" s="150" t="s">
        <v>2592</v>
      </c>
      <c r="G5205" s="149" t="s">
        <v>400</v>
      </c>
      <c r="H5205" s="150" t="str">
        <f>IF(Proc[[#This Row],[type]]="LFF (MDG-F)",MID(Proc[[#This Row],[Obj]],13,10),"")</f>
        <v/>
      </c>
      <c r="J5205" s="150" t="b">
        <f>Proc[[#This Row],[Requested]]=Proc[[#This Row],[CurrentParent]]</f>
        <v>1</v>
      </c>
      <c r="K5205" s="150" t="str">
        <f>IF(Proc[[#This Row],[Author]]="Marcela Urrego",VLOOKUP(LEFT(Proc[[#This Row],[Requested]],1),Table3[#All],2,0),VLOOKUP(Proc[[#This Row],[Author]],Table4[],2,0))</f>
        <v>LS</v>
      </c>
      <c r="L5205" s="150" t="s">
        <v>6435</v>
      </c>
      <c r="M5205" s="178">
        <v>46024</v>
      </c>
      <c r="N5205" s="178"/>
      <c r="O5205" s="178"/>
      <c r="P5205" s="178" t="str">
        <f ca="1">IF(Proc[[#This Row],[DaysAgeing]]&gt;5,"yep","on track")</f>
        <v>on track</v>
      </c>
      <c r="Q5205" s="3">
        <f ca="1">IF(Proc[[#This Row],[DateClosed]]="",ABS(NETWORKDAYS(Proc[[#This Row],[DateOpened]],TODAY()))-1,ABS(NETWORKDAYS(Proc[[#This Row],[DateOpened]],Proc[[#This Row],[DateClosed]]))-1)</f>
        <v>3</v>
      </c>
      <c r="R5205" s="178" t="s">
        <v>489</v>
      </c>
      <c r="S5205" s="150"/>
    </row>
    <row r="5206" spans="1:19" hidden="1">
      <c r="A5206" s="149" t="s">
        <v>7485</v>
      </c>
      <c r="B5206" s="150" t="str">
        <f>IFERROR(VLOOKUP(Proc[[#This Row],[App]],Table2[],3,0),"open")</f>
        <v>open</v>
      </c>
      <c r="C5206" s="149" t="s">
        <v>369</v>
      </c>
      <c r="D5206" t="s">
        <v>7500</v>
      </c>
      <c r="E5206" t="s">
        <v>2592</v>
      </c>
      <c r="F5206" s="150" t="s">
        <v>2592</v>
      </c>
      <c r="G5206" s="149" t="s">
        <v>400</v>
      </c>
      <c r="H5206" s="150" t="str">
        <f>IF(Proc[[#This Row],[type]]="LFF (MDG-F)",MID(Proc[[#This Row],[Obj]],13,10),"")</f>
        <v/>
      </c>
      <c r="J5206" s="150" t="b">
        <f>Proc[[#This Row],[Requested]]=Proc[[#This Row],[CurrentParent]]</f>
        <v>1</v>
      </c>
      <c r="K5206" s="150" t="str">
        <f>IF(Proc[[#This Row],[Author]]="Marcela Urrego",VLOOKUP(LEFT(Proc[[#This Row],[Requested]],1),Table3[#All],2,0),VLOOKUP(Proc[[#This Row],[Author]],Table4[],2,0))</f>
        <v>LS</v>
      </c>
      <c r="L5206" s="150" t="s">
        <v>6435</v>
      </c>
      <c r="M5206" s="178">
        <v>46024</v>
      </c>
      <c r="N5206" s="178"/>
      <c r="O5206" s="178"/>
      <c r="P5206" s="178" t="str">
        <f ca="1">IF(Proc[[#This Row],[DaysAgeing]]&gt;5,"yep","on track")</f>
        <v>on track</v>
      </c>
      <c r="Q5206" s="3">
        <f ca="1">IF(Proc[[#This Row],[DateClosed]]="",ABS(NETWORKDAYS(Proc[[#This Row],[DateOpened]],TODAY()))-1,ABS(NETWORKDAYS(Proc[[#This Row],[DateOpened]],Proc[[#This Row],[DateClosed]]))-1)</f>
        <v>3</v>
      </c>
      <c r="R5206" s="178" t="s">
        <v>489</v>
      </c>
      <c r="S5206" s="150"/>
    </row>
    <row r="5207" spans="1:19" hidden="1">
      <c r="A5207" s="149" t="s">
        <v>7485</v>
      </c>
      <c r="B5207" s="150" t="str">
        <f>IFERROR(VLOOKUP(Proc[[#This Row],[App]],Table2[],3,0),"open")</f>
        <v>open</v>
      </c>
      <c r="C5207" s="149" t="s">
        <v>369</v>
      </c>
      <c r="D5207" t="s">
        <v>7501</v>
      </c>
      <c r="E5207" t="s">
        <v>2592</v>
      </c>
      <c r="F5207" s="150" t="s">
        <v>2592</v>
      </c>
      <c r="G5207" s="149" t="s">
        <v>400</v>
      </c>
      <c r="H5207" s="150" t="str">
        <f>IF(Proc[[#This Row],[type]]="LFF (MDG-F)",MID(Proc[[#This Row],[Obj]],13,10),"")</f>
        <v/>
      </c>
      <c r="J5207" s="150" t="b">
        <f>Proc[[#This Row],[Requested]]=Proc[[#This Row],[CurrentParent]]</f>
        <v>1</v>
      </c>
      <c r="K5207" s="150" t="str">
        <f>IF(Proc[[#This Row],[Author]]="Marcela Urrego",VLOOKUP(LEFT(Proc[[#This Row],[Requested]],1),Table3[#All],2,0),VLOOKUP(Proc[[#This Row],[Author]],Table4[],2,0))</f>
        <v>LS</v>
      </c>
      <c r="L5207" s="150" t="s">
        <v>6435</v>
      </c>
      <c r="M5207" s="178">
        <v>46024</v>
      </c>
      <c r="N5207" s="178"/>
      <c r="O5207" s="178"/>
      <c r="P5207" s="178" t="str">
        <f ca="1">IF(Proc[[#This Row],[DaysAgeing]]&gt;5,"yep","on track")</f>
        <v>on track</v>
      </c>
      <c r="Q5207" s="3">
        <f ca="1">IF(Proc[[#This Row],[DateClosed]]="",ABS(NETWORKDAYS(Proc[[#This Row],[DateOpened]],TODAY()))-1,ABS(NETWORKDAYS(Proc[[#This Row],[DateOpened]],Proc[[#This Row],[DateClosed]]))-1)</f>
        <v>3</v>
      </c>
      <c r="R5207" s="178" t="s">
        <v>489</v>
      </c>
      <c r="S5207" s="150"/>
    </row>
    <row r="5208" spans="1:19" hidden="1">
      <c r="A5208" s="149" t="s">
        <v>7485</v>
      </c>
      <c r="B5208" s="150" t="str">
        <f>IFERROR(VLOOKUP(Proc[[#This Row],[App]],Table2[],3,0),"open")</f>
        <v>open</v>
      </c>
      <c r="C5208" s="149" t="s">
        <v>369</v>
      </c>
      <c r="D5208" t="s">
        <v>7502</v>
      </c>
      <c r="E5208" t="s">
        <v>2592</v>
      </c>
      <c r="F5208" s="150" t="s">
        <v>2592</v>
      </c>
      <c r="G5208" s="149" t="s">
        <v>400</v>
      </c>
      <c r="H5208" s="150" t="str">
        <f>IF(Proc[[#This Row],[type]]="LFF (MDG-F)",MID(Proc[[#This Row],[Obj]],13,10),"")</f>
        <v/>
      </c>
      <c r="J5208" s="150" t="b">
        <f>Proc[[#This Row],[Requested]]=Proc[[#This Row],[CurrentParent]]</f>
        <v>1</v>
      </c>
      <c r="K5208" s="150" t="str">
        <f>IF(Proc[[#This Row],[Author]]="Marcela Urrego",VLOOKUP(LEFT(Proc[[#This Row],[Requested]],1),Table3[#All],2,0),VLOOKUP(Proc[[#This Row],[Author]],Table4[],2,0))</f>
        <v>LS</v>
      </c>
      <c r="L5208" s="150" t="s">
        <v>6435</v>
      </c>
      <c r="M5208" s="178">
        <v>46024</v>
      </c>
      <c r="N5208" s="178"/>
      <c r="O5208" s="178"/>
      <c r="P5208" s="178" t="str">
        <f ca="1">IF(Proc[[#This Row],[DaysAgeing]]&gt;5,"yep","on track")</f>
        <v>on track</v>
      </c>
      <c r="Q5208" s="3">
        <f ca="1">IF(Proc[[#This Row],[DateClosed]]="",ABS(NETWORKDAYS(Proc[[#This Row],[DateOpened]],TODAY()))-1,ABS(NETWORKDAYS(Proc[[#This Row],[DateOpened]],Proc[[#This Row],[DateClosed]]))-1)</f>
        <v>3</v>
      </c>
      <c r="R5208" s="178" t="s">
        <v>489</v>
      </c>
      <c r="S5208" s="150"/>
    </row>
    <row r="5209" spans="1:19" hidden="1">
      <c r="A5209" s="149" t="s">
        <v>7485</v>
      </c>
      <c r="B5209" s="150" t="str">
        <f>IFERROR(VLOOKUP(Proc[[#This Row],[App]],Table2[],3,0),"open")</f>
        <v>open</v>
      </c>
      <c r="C5209" s="149" t="s">
        <v>369</v>
      </c>
      <c r="D5209" t="s">
        <v>7503</v>
      </c>
      <c r="E5209" t="s">
        <v>2592</v>
      </c>
      <c r="F5209" s="150" t="s">
        <v>2592</v>
      </c>
      <c r="G5209" s="149" t="s">
        <v>400</v>
      </c>
      <c r="H5209" s="150" t="str">
        <f>IF(Proc[[#This Row],[type]]="LFF (MDG-F)",MID(Proc[[#This Row],[Obj]],13,10),"")</f>
        <v/>
      </c>
      <c r="J5209" s="150" t="b">
        <f>Proc[[#This Row],[Requested]]=Proc[[#This Row],[CurrentParent]]</f>
        <v>1</v>
      </c>
      <c r="K5209" s="150" t="str">
        <f>IF(Proc[[#This Row],[Author]]="Marcela Urrego",VLOOKUP(LEFT(Proc[[#This Row],[Requested]],1),Table3[#All],2,0),VLOOKUP(Proc[[#This Row],[Author]],Table4[],2,0))</f>
        <v>LS</v>
      </c>
      <c r="L5209" s="150" t="s">
        <v>6435</v>
      </c>
      <c r="M5209" s="178">
        <v>46024</v>
      </c>
      <c r="N5209" s="178"/>
      <c r="O5209" s="178"/>
      <c r="P5209" s="178" t="str">
        <f ca="1">IF(Proc[[#This Row],[DaysAgeing]]&gt;5,"yep","on track")</f>
        <v>on track</v>
      </c>
      <c r="Q5209" s="3">
        <f ca="1">IF(Proc[[#This Row],[DateClosed]]="",ABS(NETWORKDAYS(Proc[[#This Row],[DateOpened]],TODAY()))-1,ABS(NETWORKDAYS(Proc[[#This Row],[DateOpened]],Proc[[#This Row],[DateClosed]]))-1)</f>
        <v>3</v>
      </c>
      <c r="R5209" s="178" t="s">
        <v>489</v>
      </c>
      <c r="S5209" s="150"/>
    </row>
    <row r="5210" spans="1:19" hidden="1">
      <c r="A5210" s="149" t="s">
        <v>7485</v>
      </c>
      <c r="B5210" s="150" t="str">
        <f>IFERROR(VLOOKUP(Proc[[#This Row],[App]],Table2[],3,0),"open")</f>
        <v>open</v>
      </c>
      <c r="C5210" s="149" t="s">
        <v>369</v>
      </c>
      <c r="D5210" t="s">
        <v>7504</v>
      </c>
      <c r="E5210" t="s">
        <v>2592</v>
      </c>
      <c r="F5210" s="150" t="s">
        <v>2592</v>
      </c>
      <c r="G5210" s="149" t="s">
        <v>400</v>
      </c>
      <c r="H5210" s="150" t="str">
        <f>IF(Proc[[#This Row],[type]]="LFF (MDG-F)",MID(Proc[[#This Row],[Obj]],13,10),"")</f>
        <v/>
      </c>
      <c r="J5210" s="150" t="b">
        <f>Proc[[#This Row],[Requested]]=Proc[[#This Row],[CurrentParent]]</f>
        <v>1</v>
      </c>
      <c r="K5210" s="150" t="str">
        <f>IF(Proc[[#This Row],[Author]]="Marcela Urrego",VLOOKUP(LEFT(Proc[[#This Row],[Requested]],1),Table3[#All],2,0),VLOOKUP(Proc[[#This Row],[Author]],Table4[],2,0))</f>
        <v>LS</v>
      </c>
      <c r="L5210" s="150" t="s">
        <v>6435</v>
      </c>
      <c r="M5210" s="178">
        <v>46024</v>
      </c>
      <c r="N5210" s="178"/>
      <c r="O5210" s="178"/>
      <c r="P5210" s="178" t="str">
        <f ca="1">IF(Proc[[#This Row],[DaysAgeing]]&gt;5,"yep","on track")</f>
        <v>on track</v>
      </c>
      <c r="Q5210" s="3">
        <f ca="1">IF(Proc[[#This Row],[DateClosed]]="",ABS(NETWORKDAYS(Proc[[#This Row],[DateOpened]],TODAY()))-1,ABS(NETWORKDAYS(Proc[[#This Row],[DateOpened]],Proc[[#This Row],[DateClosed]]))-1)</f>
        <v>3</v>
      </c>
      <c r="R5210" s="178" t="s">
        <v>489</v>
      </c>
      <c r="S5210" s="150"/>
    </row>
    <row r="5211" spans="1:19" hidden="1">
      <c r="A5211" s="149" t="s">
        <v>7485</v>
      </c>
      <c r="B5211" s="150" t="str">
        <f>IFERROR(VLOOKUP(Proc[[#This Row],[App]],Table2[],3,0),"open")</f>
        <v>open</v>
      </c>
      <c r="C5211" s="149" t="s">
        <v>369</v>
      </c>
      <c r="D5211" t="s">
        <v>7505</v>
      </c>
      <c r="E5211" t="s">
        <v>2592</v>
      </c>
      <c r="F5211" s="150" t="s">
        <v>2592</v>
      </c>
      <c r="G5211" s="149" t="s">
        <v>400</v>
      </c>
      <c r="H5211" s="150" t="str">
        <f>IF(Proc[[#This Row],[type]]="LFF (MDG-F)",MID(Proc[[#This Row],[Obj]],13,10),"")</f>
        <v/>
      </c>
      <c r="J5211" s="150" t="b">
        <f>Proc[[#This Row],[Requested]]=Proc[[#This Row],[CurrentParent]]</f>
        <v>1</v>
      </c>
      <c r="K5211" s="150" t="str">
        <f>IF(Proc[[#This Row],[Author]]="Marcela Urrego",VLOOKUP(LEFT(Proc[[#This Row],[Requested]],1),Table3[#All],2,0),VLOOKUP(Proc[[#This Row],[Author]],Table4[],2,0))</f>
        <v>LS</v>
      </c>
      <c r="L5211" s="150" t="s">
        <v>6435</v>
      </c>
      <c r="M5211" s="178">
        <v>46024</v>
      </c>
      <c r="N5211" s="178"/>
      <c r="O5211" s="178"/>
      <c r="P5211" s="178" t="str">
        <f ca="1">IF(Proc[[#This Row],[DaysAgeing]]&gt;5,"yep","on track")</f>
        <v>on track</v>
      </c>
      <c r="Q5211" s="3">
        <f ca="1">IF(Proc[[#This Row],[DateClosed]]="",ABS(NETWORKDAYS(Proc[[#This Row],[DateOpened]],TODAY()))-1,ABS(NETWORKDAYS(Proc[[#This Row],[DateOpened]],Proc[[#This Row],[DateClosed]]))-1)</f>
        <v>3</v>
      </c>
      <c r="R5211" s="178" t="s">
        <v>489</v>
      </c>
      <c r="S5211" s="150"/>
    </row>
    <row r="5212" spans="1:19" hidden="1">
      <c r="A5212" s="149" t="s">
        <v>7485</v>
      </c>
      <c r="B5212" s="150" t="str">
        <f>IFERROR(VLOOKUP(Proc[[#This Row],[App]],Table2[],3,0),"open")</f>
        <v>open</v>
      </c>
      <c r="C5212" s="149" t="s">
        <v>369</v>
      </c>
      <c r="D5212" t="s">
        <v>7506</v>
      </c>
      <c r="E5212" t="s">
        <v>2592</v>
      </c>
      <c r="F5212" s="150" t="s">
        <v>2592</v>
      </c>
      <c r="G5212" s="149" t="s">
        <v>400</v>
      </c>
      <c r="H5212" s="150" t="str">
        <f>IF(Proc[[#This Row],[type]]="LFF (MDG-F)",MID(Proc[[#This Row],[Obj]],13,10),"")</f>
        <v/>
      </c>
      <c r="J5212" s="150" t="b">
        <f>Proc[[#This Row],[Requested]]=Proc[[#This Row],[CurrentParent]]</f>
        <v>1</v>
      </c>
      <c r="K5212" s="150" t="str">
        <f>IF(Proc[[#This Row],[Author]]="Marcela Urrego",VLOOKUP(LEFT(Proc[[#This Row],[Requested]],1),Table3[#All],2,0),VLOOKUP(Proc[[#This Row],[Author]],Table4[],2,0))</f>
        <v>LS</v>
      </c>
      <c r="L5212" s="150" t="s">
        <v>6435</v>
      </c>
      <c r="M5212" s="178">
        <v>46024</v>
      </c>
      <c r="N5212" s="178"/>
      <c r="O5212" s="178"/>
      <c r="P5212" s="178" t="str">
        <f ca="1">IF(Proc[[#This Row],[DaysAgeing]]&gt;5,"yep","on track")</f>
        <v>on track</v>
      </c>
      <c r="Q5212" s="3">
        <f ca="1">IF(Proc[[#This Row],[DateClosed]]="",ABS(NETWORKDAYS(Proc[[#This Row],[DateOpened]],TODAY()))-1,ABS(NETWORKDAYS(Proc[[#This Row],[DateOpened]],Proc[[#This Row],[DateClosed]]))-1)</f>
        <v>3</v>
      </c>
      <c r="R5212" s="178" t="s">
        <v>489</v>
      </c>
      <c r="S5212" s="150"/>
    </row>
    <row r="5213" spans="1:19" hidden="1">
      <c r="A5213" s="149" t="s">
        <v>7485</v>
      </c>
      <c r="B5213" s="150" t="str">
        <f>IFERROR(VLOOKUP(Proc[[#This Row],[App]],Table2[],3,0),"open")</f>
        <v>open</v>
      </c>
      <c r="C5213" s="149" t="s">
        <v>369</v>
      </c>
      <c r="D5213" t="s">
        <v>3066</v>
      </c>
      <c r="E5213" t="s">
        <v>2592</v>
      </c>
      <c r="F5213" s="150" t="s">
        <v>2592</v>
      </c>
      <c r="G5213" s="149" t="s">
        <v>400</v>
      </c>
      <c r="H5213" s="150" t="str">
        <f>IF(Proc[[#This Row],[type]]="LFF (MDG-F)",MID(Proc[[#This Row],[Obj]],13,10),"")</f>
        <v/>
      </c>
      <c r="J5213" s="150" t="b">
        <f>Proc[[#This Row],[Requested]]=Proc[[#This Row],[CurrentParent]]</f>
        <v>1</v>
      </c>
      <c r="K5213" s="150" t="str">
        <f>IF(Proc[[#This Row],[Author]]="Marcela Urrego",VLOOKUP(LEFT(Proc[[#This Row],[Requested]],1),Table3[#All],2,0),VLOOKUP(Proc[[#This Row],[Author]],Table4[],2,0))</f>
        <v>LS</v>
      </c>
      <c r="L5213" s="150" t="s">
        <v>6435</v>
      </c>
      <c r="M5213" s="178">
        <v>46024</v>
      </c>
      <c r="N5213" s="178"/>
      <c r="O5213" s="178"/>
      <c r="P5213" s="178" t="str">
        <f ca="1">IF(Proc[[#This Row],[DaysAgeing]]&gt;5,"yep","on track")</f>
        <v>on track</v>
      </c>
      <c r="Q5213" s="3">
        <f ca="1">IF(Proc[[#This Row],[DateClosed]]="",ABS(NETWORKDAYS(Proc[[#This Row],[DateOpened]],TODAY()))-1,ABS(NETWORKDAYS(Proc[[#This Row],[DateOpened]],Proc[[#This Row],[DateClosed]]))-1)</f>
        <v>3</v>
      </c>
      <c r="R5213" s="178" t="s">
        <v>489</v>
      </c>
      <c r="S5213" s="150"/>
    </row>
    <row r="5214" spans="1:19" hidden="1">
      <c r="A5214" s="149" t="s">
        <v>7485</v>
      </c>
      <c r="B5214" s="150" t="str">
        <f>IFERROR(VLOOKUP(Proc[[#This Row],[App]],Table2[],3,0),"open")</f>
        <v>open</v>
      </c>
      <c r="C5214" s="149" t="s">
        <v>369</v>
      </c>
      <c r="D5214" t="s">
        <v>3067</v>
      </c>
      <c r="E5214" t="s">
        <v>2592</v>
      </c>
      <c r="F5214" s="150" t="s">
        <v>2592</v>
      </c>
      <c r="G5214" s="149" t="s">
        <v>400</v>
      </c>
      <c r="H5214" s="150" t="str">
        <f>IF(Proc[[#This Row],[type]]="LFF (MDG-F)",MID(Proc[[#This Row],[Obj]],13,10),"")</f>
        <v/>
      </c>
      <c r="J5214" s="150" t="b">
        <f>Proc[[#This Row],[Requested]]=Proc[[#This Row],[CurrentParent]]</f>
        <v>1</v>
      </c>
      <c r="K5214" s="150" t="str">
        <f>IF(Proc[[#This Row],[Author]]="Marcela Urrego",VLOOKUP(LEFT(Proc[[#This Row],[Requested]],1),Table3[#All],2,0),VLOOKUP(Proc[[#This Row],[Author]],Table4[],2,0))</f>
        <v>LS</v>
      </c>
      <c r="L5214" s="150" t="s">
        <v>6435</v>
      </c>
      <c r="M5214" s="178">
        <v>46024</v>
      </c>
      <c r="N5214" s="178"/>
      <c r="O5214" s="178"/>
      <c r="P5214" s="178" t="str">
        <f ca="1">IF(Proc[[#This Row],[DaysAgeing]]&gt;5,"yep","on track")</f>
        <v>on track</v>
      </c>
      <c r="Q5214" s="3">
        <f ca="1">IF(Proc[[#This Row],[DateClosed]]="",ABS(NETWORKDAYS(Proc[[#This Row],[DateOpened]],TODAY()))-1,ABS(NETWORKDAYS(Proc[[#This Row],[DateOpened]],Proc[[#This Row],[DateClosed]]))-1)</f>
        <v>3</v>
      </c>
      <c r="R5214" s="178" t="s">
        <v>489</v>
      </c>
      <c r="S5214" s="150"/>
    </row>
    <row r="5215" spans="1:19" hidden="1">
      <c r="A5215" s="149" t="s">
        <v>7485</v>
      </c>
      <c r="B5215" s="150" t="str">
        <f>IFERROR(VLOOKUP(Proc[[#This Row],[App]],Table2[],3,0),"open")</f>
        <v>open</v>
      </c>
      <c r="C5215" s="149" t="s">
        <v>369</v>
      </c>
      <c r="D5215" t="s">
        <v>3068</v>
      </c>
      <c r="E5215" t="s">
        <v>2592</v>
      </c>
      <c r="F5215" s="150" t="s">
        <v>2592</v>
      </c>
      <c r="G5215" s="149" t="s">
        <v>400</v>
      </c>
      <c r="H5215" s="150" t="str">
        <f>IF(Proc[[#This Row],[type]]="LFF (MDG-F)",MID(Proc[[#This Row],[Obj]],13,10),"")</f>
        <v/>
      </c>
      <c r="J5215" s="150" t="b">
        <f>Proc[[#This Row],[Requested]]=Proc[[#This Row],[CurrentParent]]</f>
        <v>1</v>
      </c>
      <c r="K5215" s="150" t="str">
        <f>IF(Proc[[#This Row],[Author]]="Marcela Urrego",VLOOKUP(LEFT(Proc[[#This Row],[Requested]],1),Table3[#All],2,0),VLOOKUP(Proc[[#This Row],[Author]],Table4[],2,0))</f>
        <v>LS</v>
      </c>
      <c r="L5215" s="150" t="s">
        <v>6435</v>
      </c>
      <c r="M5215" s="178">
        <v>46024</v>
      </c>
      <c r="N5215" s="178"/>
      <c r="O5215" s="178"/>
      <c r="P5215" s="178" t="str">
        <f ca="1">IF(Proc[[#This Row],[DaysAgeing]]&gt;5,"yep","on track")</f>
        <v>on track</v>
      </c>
      <c r="Q5215" s="3">
        <f ca="1">IF(Proc[[#This Row],[DateClosed]]="",ABS(NETWORKDAYS(Proc[[#This Row],[DateOpened]],TODAY()))-1,ABS(NETWORKDAYS(Proc[[#This Row],[DateOpened]],Proc[[#This Row],[DateClosed]]))-1)</f>
        <v>3</v>
      </c>
      <c r="R5215" s="178" t="s">
        <v>489</v>
      </c>
      <c r="S5215" s="150"/>
    </row>
    <row r="5216" spans="1:19" hidden="1">
      <c r="A5216" s="149" t="s">
        <v>7485</v>
      </c>
      <c r="B5216" s="150" t="str">
        <f>IFERROR(VLOOKUP(Proc[[#This Row],[App]],Table2[],3,0),"open")</f>
        <v>open</v>
      </c>
      <c r="C5216" s="149" t="s">
        <v>369</v>
      </c>
      <c r="D5216" t="s">
        <v>7507</v>
      </c>
      <c r="E5216" t="s">
        <v>2592</v>
      </c>
      <c r="F5216" s="150" t="s">
        <v>2592</v>
      </c>
      <c r="G5216" s="149" t="s">
        <v>400</v>
      </c>
      <c r="H5216" s="150" t="str">
        <f>IF(Proc[[#This Row],[type]]="LFF (MDG-F)",MID(Proc[[#This Row],[Obj]],13,10),"")</f>
        <v/>
      </c>
      <c r="J5216" s="150" t="b">
        <f>Proc[[#This Row],[Requested]]=Proc[[#This Row],[CurrentParent]]</f>
        <v>1</v>
      </c>
      <c r="K5216" s="150" t="str">
        <f>IF(Proc[[#This Row],[Author]]="Marcela Urrego",VLOOKUP(LEFT(Proc[[#This Row],[Requested]],1),Table3[#All],2,0),VLOOKUP(Proc[[#This Row],[Author]],Table4[],2,0))</f>
        <v>LS</v>
      </c>
      <c r="L5216" s="150" t="s">
        <v>6435</v>
      </c>
      <c r="M5216" s="178">
        <v>46024</v>
      </c>
      <c r="N5216" s="178"/>
      <c r="O5216" s="178"/>
      <c r="P5216" s="178" t="str">
        <f ca="1">IF(Proc[[#This Row],[DaysAgeing]]&gt;5,"yep","on track")</f>
        <v>on track</v>
      </c>
      <c r="Q5216" s="3">
        <f ca="1">IF(Proc[[#This Row],[DateClosed]]="",ABS(NETWORKDAYS(Proc[[#This Row],[DateOpened]],TODAY()))-1,ABS(NETWORKDAYS(Proc[[#This Row],[DateOpened]],Proc[[#This Row],[DateClosed]]))-1)</f>
        <v>3</v>
      </c>
      <c r="R5216" s="178" t="s">
        <v>489</v>
      </c>
      <c r="S5216" s="150"/>
    </row>
    <row r="5217" spans="1:19" hidden="1">
      <c r="A5217" s="149" t="s">
        <v>7485</v>
      </c>
      <c r="B5217" s="150" t="str">
        <f>IFERROR(VLOOKUP(Proc[[#This Row],[App]],Table2[],3,0),"open")</f>
        <v>open</v>
      </c>
      <c r="C5217" s="149" t="s">
        <v>369</v>
      </c>
      <c r="D5217" t="s">
        <v>7508</v>
      </c>
      <c r="E5217" t="s">
        <v>2463</v>
      </c>
      <c r="F5217" s="150" t="s">
        <v>2463</v>
      </c>
      <c r="G5217" s="149" t="s">
        <v>400</v>
      </c>
      <c r="H5217" s="150" t="str">
        <f>IF(Proc[[#This Row],[type]]="LFF (MDG-F)",MID(Proc[[#This Row],[Obj]],13,10),"")</f>
        <v/>
      </c>
      <c r="J5217" s="150" t="b">
        <f>Proc[[#This Row],[Requested]]=Proc[[#This Row],[CurrentParent]]</f>
        <v>1</v>
      </c>
      <c r="K5217" s="150" t="str">
        <f>IF(Proc[[#This Row],[Author]]="Marcela Urrego",VLOOKUP(LEFT(Proc[[#This Row],[Requested]],1),Table3[#All],2,0),VLOOKUP(Proc[[#This Row],[Author]],Table4[],2,0))</f>
        <v>LS</v>
      </c>
      <c r="L5217" s="150" t="s">
        <v>6435</v>
      </c>
      <c r="M5217" s="178">
        <v>46024</v>
      </c>
      <c r="N5217" s="178"/>
      <c r="O5217" s="178"/>
      <c r="P5217" s="178" t="str">
        <f ca="1">IF(Proc[[#This Row],[DaysAgeing]]&gt;5,"yep","on track")</f>
        <v>on track</v>
      </c>
      <c r="Q5217" s="3">
        <f ca="1">IF(Proc[[#This Row],[DateClosed]]="",ABS(NETWORKDAYS(Proc[[#This Row],[DateOpened]],TODAY()))-1,ABS(NETWORKDAYS(Proc[[#This Row],[DateOpened]],Proc[[#This Row],[DateClosed]]))-1)</f>
        <v>3</v>
      </c>
      <c r="R5217" s="178" t="s">
        <v>489</v>
      </c>
      <c r="S5217" s="150"/>
    </row>
    <row r="5218" spans="1:19" hidden="1">
      <c r="A5218" s="149" t="s">
        <v>7485</v>
      </c>
      <c r="B5218" s="150" t="str">
        <f>IFERROR(VLOOKUP(Proc[[#This Row],[App]],Table2[],3,0),"open")</f>
        <v>open</v>
      </c>
      <c r="C5218" s="149" t="s">
        <v>369</v>
      </c>
      <c r="D5218" t="s">
        <v>7509</v>
      </c>
      <c r="E5218" t="s">
        <v>2463</v>
      </c>
      <c r="F5218" s="150" t="s">
        <v>2463</v>
      </c>
      <c r="G5218" s="149" t="s">
        <v>400</v>
      </c>
      <c r="H5218" s="150" t="str">
        <f>IF(Proc[[#This Row],[type]]="LFF (MDG-F)",MID(Proc[[#This Row],[Obj]],13,10),"")</f>
        <v/>
      </c>
      <c r="J5218" s="150" t="b">
        <f>Proc[[#This Row],[Requested]]=Proc[[#This Row],[CurrentParent]]</f>
        <v>1</v>
      </c>
      <c r="K5218" s="150" t="str">
        <f>IF(Proc[[#This Row],[Author]]="Marcela Urrego",VLOOKUP(LEFT(Proc[[#This Row],[Requested]],1),Table3[#All],2,0),VLOOKUP(Proc[[#This Row],[Author]],Table4[],2,0))</f>
        <v>LS</v>
      </c>
      <c r="L5218" s="150" t="s">
        <v>6435</v>
      </c>
      <c r="M5218" s="178">
        <v>46024</v>
      </c>
      <c r="N5218" s="178"/>
      <c r="O5218" s="178"/>
      <c r="P5218" s="178" t="str">
        <f ca="1">IF(Proc[[#This Row],[DaysAgeing]]&gt;5,"yep","on track")</f>
        <v>on track</v>
      </c>
      <c r="Q5218" s="3">
        <f ca="1">IF(Proc[[#This Row],[DateClosed]]="",ABS(NETWORKDAYS(Proc[[#This Row],[DateOpened]],TODAY()))-1,ABS(NETWORKDAYS(Proc[[#This Row],[DateOpened]],Proc[[#This Row],[DateClosed]]))-1)</f>
        <v>3</v>
      </c>
      <c r="R5218" s="178" t="s">
        <v>489</v>
      </c>
      <c r="S5218" s="150"/>
    </row>
    <row r="5219" spans="1:19" hidden="1">
      <c r="A5219" s="149" t="s">
        <v>7485</v>
      </c>
      <c r="B5219" s="150" t="str">
        <f>IFERROR(VLOOKUP(Proc[[#This Row],[App]],Table2[],3,0),"open")</f>
        <v>open</v>
      </c>
      <c r="C5219" s="149" t="s">
        <v>369</v>
      </c>
      <c r="D5219" t="s">
        <v>7510</v>
      </c>
      <c r="E5219" t="s">
        <v>2463</v>
      </c>
      <c r="F5219" s="150" t="s">
        <v>2463</v>
      </c>
      <c r="G5219" s="149" t="s">
        <v>400</v>
      </c>
      <c r="H5219" s="150" t="str">
        <f>IF(Proc[[#This Row],[type]]="LFF (MDG-F)",MID(Proc[[#This Row],[Obj]],13,10),"")</f>
        <v/>
      </c>
      <c r="J5219" s="150" t="b">
        <f>Proc[[#This Row],[Requested]]=Proc[[#This Row],[CurrentParent]]</f>
        <v>1</v>
      </c>
      <c r="K5219" s="150" t="str">
        <f>IF(Proc[[#This Row],[Author]]="Marcela Urrego",VLOOKUP(LEFT(Proc[[#This Row],[Requested]],1),Table3[#All],2,0),VLOOKUP(Proc[[#This Row],[Author]],Table4[],2,0))</f>
        <v>LS</v>
      </c>
      <c r="L5219" s="150" t="s">
        <v>6435</v>
      </c>
      <c r="M5219" s="178">
        <v>46024</v>
      </c>
      <c r="N5219" s="178"/>
      <c r="O5219" s="178"/>
      <c r="P5219" s="178" t="str">
        <f ca="1">IF(Proc[[#This Row],[DaysAgeing]]&gt;5,"yep","on track")</f>
        <v>on track</v>
      </c>
      <c r="Q5219" s="3">
        <f ca="1">IF(Proc[[#This Row],[DateClosed]]="",ABS(NETWORKDAYS(Proc[[#This Row],[DateOpened]],TODAY()))-1,ABS(NETWORKDAYS(Proc[[#This Row],[DateOpened]],Proc[[#This Row],[DateClosed]]))-1)</f>
        <v>3</v>
      </c>
      <c r="R5219" s="178" t="s">
        <v>489</v>
      </c>
      <c r="S5219" s="150"/>
    </row>
    <row r="5220" spans="1:19" hidden="1">
      <c r="A5220" s="149" t="s">
        <v>7485</v>
      </c>
      <c r="B5220" s="150" t="str">
        <f>IFERROR(VLOOKUP(Proc[[#This Row],[App]],Table2[],3,0),"open")</f>
        <v>open</v>
      </c>
      <c r="C5220" s="149" t="s">
        <v>369</v>
      </c>
      <c r="D5220" t="s">
        <v>7511</v>
      </c>
      <c r="E5220" t="s">
        <v>2463</v>
      </c>
      <c r="F5220" s="150" t="s">
        <v>2463</v>
      </c>
      <c r="G5220" s="149" t="s">
        <v>400</v>
      </c>
      <c r="H5220" s="150" t="str">
        <f>IF(Proc[[#This Row],[type]]="LFF (MDG-F)",MID(Proc[[#This Row],[Obj]],13,10),"")</f>
        <v/>
      </c>
      <c r="J5220" s="150" t="b">
        <f>Proc[[#This Row],[Requested]]=Proc[[#This Row],[CurrentParent]]</f>
        <v>1</v>
      </c>
      <c r="K5220" s="150" t="str">
        <f>IF(Proc[[#This Row],[Author]]="Marcela Urrego",VLOOKUP(LEFT(Proc[[#This Row],[Requested]],1),Table3[#All],2,0),VLOOKUP(Proc[[#This Row],[Author]],Table4[],2,0))</f>
        <v>LS</v>
      </c>
      <c r="L5220" s="150" t="s">
        <v>6435</v>
      </c>
      <c r="M5220" s="178">
        <v>46024</v>
      </c>
      <c r="N5220" s="178"/>
      <c r="O5220" s="178"/>
      <c r="P5220" s="178" t="str">
        <f ca="1">IF(Proc[[#This Row],[DaysAgeing]]&gt;5,"yep","on track")</f>
        <v>on track</v>
      </c>
      <c r="Q5220" s="3">
        <f ca="1">IF(Proc[[#This Row],[DateClosed]]="",ABS(NETWORKDAYS(Proc[[#This Row],[DateOpened]],TODAY()))-1,ABS(NETWORKDAYS(Proc[[#This Row],[DateOpened]],Proc[[#This Row],[DateClosed]]))-1)</f>
        <v>3</v>
      </c>
      <c r="R5220" s="178" t="s">
        <v>489</v>
      </c>
      <c r="S5220" s="150"/>
    </row>
    <row r="5221" spans="1:19" hidden="1">
      <c r="A5221" s="149" t="s">
        <v>7485</v>
      </c>
      <c r="B5221" s="150" t="str">
        <f>IFERROR(VLOOKUP(Proc[[#This Row],[App]],Table2[],3,0),"open")</f>
        <v>open</v>
      </c>
      <c r="C5221" s="149" t="s">
        <v>369</v>
      </c>
      <c r="D5221" t="s">
        <v>7512</v>
      </c>
      <c r="E5221" t="s">
        <v>2463</v>
      </c>
      <c r="F5221" s="150" t="s">
        <v>2463</v>
      </c>
      <c r="G5221" s="149" t="s">
        <v>400</v>
      </c>
      <c r="H5221" s="150" t="str">
        <f>IF(Proc[[#This Row],[type]]="LFF (MDG-F)",MID(Proc[[#This Row],[Obj]],13,10),"")</f>
        <v/>
      </c>
      <c r="J5221" s="150" t="b">
        <f>Proc[[#This Row],[Requested]]=Proc[[#This Row],[CurrentParent]]</f>
        <v>1</v>
      </c>
      <c r="K5221" s="150" t="str">
        <f>IF(Proc[[#This Row],[Author]]="Marcela Urrego",VLOOKUP(LEFT(Proc[[#This Row],[Requested]],1),Table3[#All],2,0),VLOOKUP(Proc[[#This Row],[Author]],Table4[],2,0))</f>
        <v>LS</v>
      </c>
      <c r="L5221" s="150" t="s">
        <v>6435</v>
      </c>
      <c r="M5221" s="178">
        <v>46024</v>
      </c>
      <c r="N5221" s="178"/>
      <c r="O5221" s="178"/>
      <c r="P5221" s="178" t="str">
        <f ca="1">IF(Proc[[#This Row],[DaysAgeing]]&gt;5,"yep","on track")</f>
        <v>on track</v>
      </c>
      <c r="Q5221" s="3">
        <f ca="1">IF(Proc[[#This Row],[DateClosed]]="",ABS(NETWORKDAYS(Proc[[#This Row],[DateOpened]],TODAY()))-1,ABS(NETWORKDAYS(Proc[[#This Row],[DateOpened]],Proc[[#This Row],[DateClosed]]))-1)</f>
        <v>3</v>
      </c>
      <c r="R5221" s="178" t="s">
        <v>489</v>
      </c>
      <c r="S5221" s="150"/>
    </row>
    <row r="5222" spans="1:19" hidden="1">
      <c r="A5222" s="149" t="s">
        <v>7485</v>
      </c>
      <c r="B5222" s="150" t="str">
        <f>IFERROR(VLOOKUP(Proc[[#This Row],[App]],Table2[],3,0),"open")</f>
        <v>open</v>
      </c>
      <c r="C5222" s="149" t="s">
        <v>369</v>
      </c>
      <c r="D5222" t="s">
        <v>7513</v>
      </c>
      <c r="E5222" t="s">
        <v>2463</v>
      </c>
      <c r="F5222" s="150" t="s">
        <v>2463</v>
      </c>
      <c r="G5222" s="149" t="s">
        <v>400</v>
      </c>
      <c r="H5222" s="150" t="str">
        <f>IF(Proc[[#This Row],[type]]="LFF (MDG-F)",MID(Proc[[#This Row],[Obj]],13,10),"")</f>
        <v/>
      </c>
      <c r="J5222" s="150" t="b">
        <f>Proc[[#This Row],[Requested]]=Proc[[#This Row],[CurrentParent]]</f>
        <v>1</v>
      </c>
      <c r="K5222" s="150" t="str">
        <f>IF(Proc[[#This Row],[Author]]="Marcela Urrego",VLOOKUP(LEFT(Proc[[#This Row],[Requested]],1),Table3[#All],2,0),VLOOKUP(Proc[[#This Row],[Author]],Table4[],2,0))</f>
        <v>LS</v>
      </c>
      <c r="L5222" s="150" t="s">
        <v>6435</v>
      </c>
      <c r="M5222" s="178">
        <v>46024</v>
      </c>
      <c r="N5222" s="178"/>
      <c r="O5222" s="178"/>
      <c r="P5222" s="178" t="str">
        <f ca="1">IF(Proc[[#This Row],[DaysAgeing]]&gt;5,"yep","on track")</f>
        <v>on track</v>
      </c>
      <c r="Q5222" s="3">
        <f ca="1">IF(Proc[[#This Row],[DateClosed]]="",ABS(NETWORKDAYS(Proc[[#This Row],[DateOpened]],TODAY()))-1,ABS(NETWORKDAYS(Proc[[#This Row],[DateOpened]],Proc[[#This Row],[DateClosed]]))-1)</f>
        <v>3</v>
      </c>
      <c r="R5222" s="178" t="s">
        <v>489</v>
      </c>
      <c r="S5222" s="150"/>
    </row>
    <row r="5223" spans="1:19" hidden="1">
      <c r="A5223" s="149" t="s">
        <v>7485</v>
      </c>
      <c r="B5223" s="150" t="str">
        <f>IFERROR(VLOOKUP(Proc[[#This Row],[App]],Table2[],3,0),"open")</f>
        <v>open</v>
      </c>
      <c r="C5223" s="149" t="s">
        <v>369</v>
      </c>
      <c r="D5223" t="s">
        <v>7514</v>
      </c>
      <c r="E5223" t="s">
        <v>2463</v>
      </c>
      <c r="F5223" s="150" t="s">
        <v>2463</v>
      </c>
      <c r="G5223" s="149" t="s">
        <v>400</v>
      </c>
      <c r="H5223" s="150" t="str">
        <f>IF(Proc[[#This Row],[type]]="LFF (MDG-F)",MID(Proc[[#This Row],[Obj]],13,10),"")</f>
        <v/>
      </c>
      <c r="J5223" s="150" t="b">
        <f>Proc[[#This Row],[Requested]]=Proc[[#This Row],[CurrentParent]]</f>
        <v>1</v>
      </c>
      <c r="K5223" s="150" t="str">
        <f>IF(Proc[[#This Row],[Author]]="Marcela Urrego",VLOOKUP(LEFT(Proc[[#This Row],[Requested]],1),Table3[#All],2,0),VLOOKUP(Proc[[#This Row],[Author]],Table4[],2,0))</f>
        <v>LS</v>
      </c>
      <c r="L5223" s="150" t="s">
        <v>6435</v>
      </c>
      <c r="M5223" s="178">
        <v>46024</v>
      </c>
      <c r="N5223" s="178"/>
      <c r="O5223" s="178"/>
      <c r="P5223" s="178" t="str">
        <f ca="1">IF(Proc[[#This Row],[DaysAgeing]]&gt;5,"yep","on track")</f>
        <v>on track</v>
      </c>
      <c r="Q5223" s="3">
        <f ca="1">IF(Proc[[#This Row],[DateClosed]]="",ABS(NETWORKDAYS(Proc[[#This Row],[DateOpened]],TODAY()))-1,ABS(NETWORKDAYS(Proc[[#This Row],[DateOpened]],Proc[[#This Row],[DateClosed]]))-1)</f>
        <v>3</v>
      </c>
      <c r="R5223" s="178" t="s">
        <v>489</v>
      </c>
      <c r="S5223" s="150"/>
    </row>
    <row r="5224" spans="1:19">
      <c r="A5224" s="149" t="s">
        <v>7485</v>
      </c>
      <c r="B5224" s="150" t="str">
        <f>IFERROR(VLOOKUP(Proc[[#This Row],[App]],Table2[],3,0),"open")</f>
        <v>open</v>
      </c>
      <c r="C5224" s="149" t="s">
        <v>370</v>
      </c>
      <c r="D5224" t="s">
        <v>7515</v>
      </c>
      <c r="E5224" t="s">
        <v>7484</v>
      </c>
      <c r="F5224" s="150" t="s">
        <v>2463</v>
      </c>
      <c r="G5224" s="149" t="s">
        <v>400</v>
      </c>
      <c r="H5224" s="150" t="str">
        <f>IF(Proc[[#This Row],[type]]="LFF (MDG-F)",MID(Proc[[#This Row],[Obj]],13,10),"")</f>
        <v/>
      </c>
      <c r="J5224" s="150" t="b">
        <f>Proc[[#This Row],[Requested]]=Proc[[#This Row],[CurrentParent]]</f>
        <v>0</v>
      </c>
      <c r="K5224" s="150" t="str">
        <f>IF(Proc[[#This Row],[Author]]="Marcela Urrego",VLOOKUP(LEFT(Proc[[#This Row],[Requested]],1),Table3[#All],2,0),VLOOKUP(Proc[[#This Row],[Author]],Table4[],2,0))</f>
        <v>LS</v>
      </c>
      <c r="L5224" s="150" t="s">
        <v>6435</v>
      </c>
      <c r="M5224" s="178">
        <v>46024</v>
      </c>
      <c r="N5224" s="178"/>
      <c r="O5224" s="178"/>
      <c r="P5224" s="178" t="str">
        <f ca="1">IF(Proc[[#This Row],[DaysAgeing]]&gt;5,"yep","on track")</f>
        <v>on track</v>
      </c>
      <c r="Q5224" s="3">
        <f ca="1">IF(Proc[[#This Row],[DateClosed]]="",ABS(NETWORKDAYS(Proc[[#This Row],[DateOpened]],TODAY()))-1,ABS(NETWORKDAYS(Proc[[#This Row],[DateOpened]],Proc[[#This Row],[DateClosed]]))-1)</f>
        <v>3</v>
      </c>
      <c r="R5224" s="178" t="s">
        <v>489</v>
      </c>
      <c r="S5224" s="150"/>
    </row>
    <row r="5225" spans="1:19">
      <c r="A5225" t="s">
        <v>7552</v>
      </c>
      <c r="B5225" s="150" t="str">
        <f>IFERROR(VLOOKUP(Proc[[#This Row],[App]],Table2[],3,0),"open")</f>
        <v>open</v>
      </c>
      <c r="C5225" s="149" t="s">
        <v>375</v>
      </c>
      <c r="D5225" t="s">
        <v>7541</v>
      </c>
      <c r="E5225" t="s">
        <v>631</v>
      </c>
      <c r="F5225" s="150" t="s">
        <v>7572</v>
      </c>
      <c r="G5225" s="149" t="s">
        <v>406</v>
      </c>
      <c r="H5225" s="150" t="str">
        <f>IF(Proc[[#This Row],[type]]="LFF (MDG-F)",MID(Proc[[#This Row],[Obj]],13,10),"")</f>
        <v>DE10537813</v>
      </c>
      <c r="I5225" s="149" t="s">
        <v>7580</v>
      </c>
      <c r="J5225" s="150" t="b">
        <f>Proc[[#This Row],[Requested]]=Proc[[#This Row],[CurrentParent]]</f>
        <v>0</v>
      </c>
      <c r="K5225" s="150" t="str">
        <f>IF(Proc[[#This Row],[Author]]="Marcela Urrego",VLOOKUP(LEFT(Proc[[#This Row],[Requested]],1),Table3[#All],2,0),VLOOKUP(Proc[[#This Row],[Author]],Table4[],2,0))</f>
        <v>???</v>
      </c>
      <c r="L5225" s="150" t="s">
        <v>6435</v>
      </c>
      <c r="M5225" s="178">
        <v>46024</v>
      </c>
      <c r="N5225" s="178"/>
      <c r="O5225" s="178"/>
      <c r="P5225" s="178" t="str">
        <f ca="1">IF(Proc[[#This Row],[DaysAgeing]]&gt;5,"yep","on track")</f>
        <v>on track</v>
      </c>
      <c r="Q5225" s="3">
        <f ca="1">IF(Proc[[#This Row],[DateClosed]]="",ABS(NETWORKDAYS(Proc[[#This Row],[DateOpened]],TODAY()))-1,ABS(NETWORKDAYS(Proc[[#This Row],[DateOpened]],Proc[[#This Row],[DateClosed]]))-1)</f>
        <v>3</v>
      </c>
      <c r="R5225" s="178" t="s">
        <v>7193</v>
      </c>
      <c r="S5225" s="150"/>
    </row>
    <row r="5226" spans="1:19">
      <c r="A5226" s="149" t="s">
        <v>7552</v>
      </c>
      <c r="B5226" s="150" t="str">
        <f>IFERROR(VLOOKUP(Proc[[#This Row],[App]],Table2[],3,0),"open")</f>
        <v>open</v>
      </c>
      <c r="C5226" s="149" t="s">
        <v>375</v>
      </c>
      <c r="D5226" t="s">
        <v>7542</v>
      </c>
      <c r="E5226" t="s">
        <v>631</v>
      </c>
      <c r="F5226" s="150" t="s">
        <v>7572</v>
      </c>
      <c r="G5226" s="149" t="s">
        <v>406</v>
      </c>
      <c r="H5226" s="150" t="str">
        <f>IF(Proc[[#This Row],[type]]="LFF (MDG-F)",MID(Proc[[#This Row],[Obj]],13,10),"")</f>
        <v>DE20537813</v>
      </c>
      <c r="I5226" s="149" t="s">
        <v>7580</v>
      </c>
      <c r="J5226" s="150" t="b">
        <f>Proc[[#This Row],[Requested]]=Proc[[#This Row],[CurrentParent]]</f>
        <v>0</v>
      </c>
      <c r="K5226" s="150" t="str">
        <f>IF(Proc[[#This Row],[Author]]="Marcela Urrego",VLOOKUP(LEFT(Proc[[#This Row],[Requested]],1),Table3[#All],2,0),VLOOKUP(Proc[[#This Row],[Author]],Table4[],2,0))</f>
        <v>???</v>
      </c>
      <c r="L5226" s="150" t="s">
        <v>6435</v>
      </c>
      <c r="M5226" s="178">
        <v>46024</v>
      </c>
      <c r="N5226" s="178"/>
      <c r="O5226" s="178"/>
      <c r="P5226" s="178" t="str">
        <f ca="1">IF(Proc[[#This Row],[DaysAgeing]]&gt;5,"yep","on track")</f>
        <v>on track</v>
      </c>
      <c r="Q5226" s="3">
        <f ca="1">IF(Proc[[#This Row],[DateClosed]]="",ABS(NETWORKDAYS(Proc[[#This Row],[DateOpened]],TODAY()))-1,ABS(NETWORKDAYS(Proc[[#This Row],[DateOpened]],Proc[[#This Row],[DateClosed]]))-1)</f>
        <v>3</v>
      </c>
      <c r="R5226" s="178" t="s">
        <v>7193</v>
      </c>
      <c r="S5226" s="150"/>
    </row>
    <row r="5227" spans="1:19">
      <c r="A5227" s="149" t="s">
        <v>7552</v>
      </c>
      <c r="B5227" s="150" t="str">
        <f>IFERROR(VLOOKUP(Proc[[#This Row],[App]],Table2[],3,0),"open")</f>
        <v>open</v>
      </c>
      <c r="C5227" s="149" t="s">
        <v>375</v>
      </c>
      <c r="D5227" t="s">
        <v>7543</v>
      </c>
      <c r="E5227" t="s">
        <v>631</v>
      </c>
      <c r="F5227" s="150" t="s">
        <v>7571</v>
      </c>
      <c r="G5227" s="149" t="s">
        <v>406</v>
      </c>
      <c r="H5227" s="150" t="str">
        <f>IF(Proc[[#This Row],[type]]="LFF (MDG-F)",MID(Proc[[#This Row],[Obj]],13,10),"")</f>
        <v>DE10538999</v>
      </c>
      <c r="I5227" s="149" t="s">
        <v>7580</v>
      </c>
      <c r="J5227" s="150" t="b">
        <f>Proc[[#This Row],[Requested]]=Proc[[#This Row],[CurrentParent]]</f>
        <v>0</v>
      </c>
      <c r="K5227" s="150" t="str">
        <f>IF(Proc[[#This Row],[Author]]="Marcela Urrego",VLOOKUP(LEFT(Proc[[#This Row],[Requested]],1),Table3[#All],2,0),VLOOKUP(Proc[[#This Row],[Author]],Table4[],2,0))</f>
        <v>???</v>
      </c>
      <c r="L5227" s="150" t="s">
        <v>6435</v>
      </c>
      <c r="M5227" s="178">
        <v>46024</v>
      </c>
      <c r="N5227" s="178"/>
      <c r="O5227" s="178"/>
      <c r="P5227" s="178" t="str">
        <f ca="1">IF(Proc[[#This Row],[DaysAgeing]]&gt;5,"yep","on track")</f>
        <v>on track</v>
      </c>
      <c r="Q5227" s="3">
        <f ca="1">IF(Proc[[#This Row],[DateClosed]]="",ABS(NETWORKDAYS(Proc[[#This Row],[DateOpened]],TODAY()))-1,ABS(NETWORKDAYS(Proc[[#This Row],[DateOpened]],Proc[[#This Row],[DateClosed]]))-1)</f>
        <v>3</v>
      </c>
      <c r="R5227" s="178" t="s">
        <v>7193</v>
      </c>
      <c r="S5227" s="150"/>
    </row>
    <row r="5228" spans="1:19">
      <c r="A5228" s="149" t="s">
        <v>7552</v>
      </c>
      <c r="B5228" s="150" t="str">
        <f>IFERROR(VLOOKUP(Proc[[#This Row],[App]],Table2[],3,0),"open")</f>
        <v>open</v>
      </c>
      <c r="C5228" s="149" t="s">
        <v>375</v>
      </c>
      <c r="D5228" t="s">
        <v>7544</v>
      </c>
      <c r="E5228" t="s">
        <v>631</v>
      </c>
      <c r="F5228" s="150" t="s">
        <v>7574</v>
      </c>
      <c r="G5228" s="149" t="s">
        <v>406</v>
      </c>
      <c r="H5228" s="150" t="str">
        <f>IF(Proc[[#This Row],[type]]="LFF (MDG-F)",MID(Proc[[#This Row],[Obj]],13,10),"")</f>
        <v>DE10538529</v>
      </c>
      <c r="I5228" s="149" t="s">
        <v>7580</v>
      </c>
      <c r="J5228" s="150" t="b">
        <f>Proc[[#This Row],[Requested]]=Proc[[#This Row],[CurrentParent]]</f>
        <v>0</v>
      </c>
      <c r="K5228" s="150" t="str">
        <f>IF(Proc[[#This Row],[Author]]="Marcela Urrego",VLOOKUP(LEFT(Proc[[#This Row],[Requested]],1),Table3[#All],2,0),VLOOKUP(Proc[[#This Row],[Author]],Table4[],2,0))</f>
        <v>???</v>
      </c>
      <c r="L5228" s="150" t="s">
        <v>6435</v>
      </c>
      <c r="M5228" s="178">
        <v>46024</v>
      </c>
      <c r="N5228" s="178"/>
      <c r="O5228" s="178"/>
      <c r="P5228" s="178" t="str">
        <f ca="1">IF(Proc[[#This Row],[DaysAgeing]]&gt;5,"yep","on track")</f>
        <v>on track</v>
      </c>
      <c r="Q5228" s="3">
        <f ca="1">IF(Proc[[#This Row],[DateClosed]]="",ABS(NETWORKDAYS(Proc[[#This Row],[DateOpened]],TODAY()))-1,ABS(NETWORKDAYS(Proc[[#This Row],[DateOpened]],Proc[[#This Row],[DateClosed]]))-1)</f>
        <v>3</v>
      </c>
      <c r="R5228" s="178" t="s">
        <v>7193</v>
      </c>
      <c r="S5228" s="150"/>
    </row>
    <row r="5229" spans="1:19">
      <c r="A5229" s="149" t="s">
        <v>7552</v>
      </c>
      <c r="B5229" s="150" t="str">
        <f>IFERROR(VLOOKUP(Proc[[#This Row],[App]],Table2[],3,0),"open")</f>
        <v>open</v>
      </c>
      <c r="C5229" s="149" t="s">
        <v>375</v>
      </c>
      <c r="D5229" t="s">
        <v>7545</v>
      </c>
      <c r="E5229" t="s">
        <v>631</v>
      </c>
      <c r="F5229" s="150" t="s">
        <v>7574</v>
      </c>
      <c r="G5229" s="149" t="s">
        <v>406</v>
      </c>
      <c r="H5229" s="150" t="str">
        <f>IF(Proc[[#This Row],[type]]="LFF (MDG-F)",MID(Proc[[#This Row],[Obj]],13,10),"")</f>
        <v>DE10538536</v>
      </c>
      <c r="I5229" s="149" t="s">
        <v>7580</v>
      </c>
      <c r="J5229" s="150" t="b">
        <f>Proc[[#This Row],[Requested]]=Proc[[#This Row],[CurrentParent]]</f>
        <v>0</v>
      </c>
      <c r="K5229" s="150" t="str">
        <f>IF(Proc[[#This Row],[Author]]="Marcela Urrego",VLOOKUP(LEFT(Proc[[#This Row],[Requested]],1),Table3[#All],2,0),VLOOKUP(Proc[[#This Row],[Author]],Table4[],2,0))</f>
        <v>???</v>
      </c>
      <c r="L5229" s="150" t="s">
        <v>6435</v>
      </c>
      <c r="M5229" s="178">
        <v>46024</v>
      </c>
      <c r="N5229" s="178"/>
      <c r="O5229" s="178"/>
      <c r="P5229" s="178" t="str">
        <f ca="1">IF(Proc[[#This Row],[DaysAgeing]]&gt;5,"yep","on track")</f>
        <v>on track</v>
      </c>
      <c r="Q5229" s="3">
        <f ca="1">IF(Proc[[#This Row],[DateClosed]]="",ABS(NETWORKDAYS(Proc[[#This Row],[DateOpened]],TODAY()))-1,ABS(NETWORKDAYS(Proc[[#This Row],[DateOpened]],Proc[[#This Row],[DateClosed]]))-1)</f>
        <v>3</v>
      </c>
      <c r="R5229" s="178" t="s">
        <v>7193</v>
      </c>
      <c r="S5229" s="150"/>
    </row>
    <row r="5230" spans="1:19">
      <c r="A5230" s="149" t="s">
        <v>7552</v>
      </c>
      <c r="B5230" s="150" t="str">
        <f>IFERROR(VLOOKUP(Proc[[#This Row],[App]],Table2[],3,0),"open")</f>
        <v>open</v>
      </c>
      <c r="C5230" s="149" t="s">
        <v>375</v>
      </c>
      <c r="D5230" t="s">
        <v>7546</v>
      </c>
      <c r="E5230" t="s">
        <v>631</v>
      </c>
      <c r="F5230" s="150" t="s">
        <v>7574</v>
      </c>
      <c r="G5230" s="149" t="s">
        <v>406</v>
      </c>
      <c r="H5230" s="150" t="str">
        <f>IF(Proc[[#This Row],[type]]="LFF (MDG-F)",MID(Proc[[#This Row],[Obj]],13,10),"")</f>
        <v>DE10538539</v>
      </c>
      <c r="I5230" s="149" t="s">
        <v>7580</v>
      </c>
      <c r="J5230" s="150" t="b">
        <f>Proc[[#This Row],[Requested]]=Proc[[#This Row],[CurrentParent]]</f>
        <v>0</v>
      </c>
      <c r="K5230" s="150" t="str">
        <f>IF(Proc[[#This Row],[Author]]="Marcela Urrego",VLOOKUP(LEFT(Proc[[#This Row],[Requested]],1),Table3[#All],2,0),VLOOKUP(Proc[[#This Row],[Author]],Table4[],2,0))</f>
        <v>???</v>
      </c>
      <c r="L5230" s="150" t="s">
        <v>6435</v>
      </c>
      <c r="M5230" s="178">
        <v>46024</v>
      </c>
      <c r="N5230" s="178"/>
      <c r="O5230" s="178"/>
      <c r="P5230" s="178" t="str">
        <f ca="1">IF(Proc[[#This Row],[DaysAgeing]]&gt;5,"yep","on track")</f>
        <v>on track</v>
      </c>
      <c r="Q5230" s="3">
        <f ca="1">IF(Proc[[#This Row],[DateClosed]]="",ABS(NETWORKDAYS(Proc[[#This Row],[DateOpened]],TODAY()))-1,ABS(NETWORKDAYS(Proc[[#This Row],[DateOpened]],Proc[[#This Row],[DateClosed]]))-1)</f>
        <v>3</v>
      </c>
      <c r="R5230" s="178" t="s">
        <v>7193</v>
      </c>
      <c r="S5230" s="150"/>
    </row>
    <row r="5231" spans="1:19">
      <c r="A5231" s="149" t="s">
        <v>7552</v>
      </c>
      <c r="B5231" s="150" t="str">
        <f>IFERROR(VLOOKUP(Proc[[#This Row],[App]],Table2[],3,0),"open")</f>
        <v>open</v>
      </c>
      <c r="C5231" s="149" t="s">
        <v>375</v>
      </c>
      <c r="D5231" t="s">
        <v>7547</v>
      </c>
      <c r="E5231" t="s">
        <v>631</v>
      </c>
      <c r="F5231" s="150" t="s">
        <v>7574</v>
      </c>
      <c r="G5231" s="149" t="s">
        <v>406</v>
      </c>
      <c r="H5231" s="150" t="str">
        <f>IF(Proc[[#This Row],[type]]="LFF (MDG-F)",MID(Proc[[#This Row],[Obj]],13,10),"")</f>
        <v>DE10538540</v>
      </c>
      <c r="I5231" s="149" t="s">
        <v>7580</v>
      </c>
      <c r="J5231" s="150" t="b">
        <f>Proc[[#This Row],[Requested]]=Proc[[#This Row],[CurrentParent]]</f>
        <v>0</v>
      </c>
      <c r="K5231" s="150" t="str">
        <f>IF(Proc[[#This Row],[Author]]="Marcela Urrego",VLOOKUP(LEFT(Proc[[#This Row],[Requested]],1),Table3[#All],2,0),VLOOKUP(Proc[[#This Row],[Author]],Table4[],2,0))</f>
        <v>???</v>
      </c>
      <c r="L5231" s="150" t="s">
        <v>6435</v>
      </c>
      <c r="M5231" s="178">
        <v>46024</v>
      </c>
      <c r="N5231" s="178"/>
      <c r="O5231" s="178"/>
      <c r="P5231" s="178" t="str">
        <f ca="1">IF(Proc[[#This Row],[DaysAgeing]]&gt;5,"yep","on track")</f>
        <v>on track</v>
      </c>
      <c r="Q5231" s="3">
        <f ca="1">IF(Proc[[#This Row],[DateClosed]]="",ABS(NETWORKDAYS(Proc[[#This Row],[DateOpened]],TODAY()))-1,ABS(NETWORKDAYS(Proc[[#This Row],[DateOpened]],Proc[[#This Row],[DateClosed]]))-1)</f>
        <v>3</v>
      </c>
      <c r="R5231" s="178" t="s">
        <v>7193</v>
      </c>
      <c r="S5231" s="150"/>
    </row>
    <row r="5232" spans="1:19">
      <c r="A5232" s="149" t="s">
        <v>7552</v>
      </c>
      <c r="B5232" s="150" t="str">
        <f>IFERROR(VLOOKUP(Proc[[#This Row],[App]],Table2[],3,0),"open")</f>
        <v>open</v>
      </c>
      <c r="C5232" s="149" t="s">
        <v>375</v>
      </c>
      <c r="D5232" t="s">
        <v>7548</v>
      </c>
      <c r="E5232" t="s">
        <v>631</v>
      </c>
      <c r="F5232" s="150" t="s">
        <v>7573</v>
      </c>
      <c r="G5232" s="149" t="s">
        <v>406</v>
      </c>
      <c r="H5232" s="150" t="str">
        <f>IF(Proc[[#This Row],[type]]="LFF (MDG-F)",MID(Proc[[#This Row],[Obj]],13,10),"")</f>
        <v>DE20538529</v>
      </c>
      <c r="I5232" s="149" t="s">
        <v>7580</v>
      </c>
      <c r="J5232" s="150" t="b">
        <f>Proc[[#This Row],[Requested]]=Proc[[#This Row],[CurrentParent]]</f>
        <v>0</v>
      </c>
      <c r="K5232" s="150" t="str">
        <f>IF(Proc[[#This Row],[Author]]="Marcela Urrego",VLOOKUP(LEFT(Proc[[#This Row],[Requested]],1),Table3[#All],2,0),VLOOKUP(Proc[[#This Row],[Author]],Table4[],2,0))</f>
        <v>???</v>
      </c>
      <c r="L5232" s="150" t="s">
        <v>6435</v>
      </c>
      <c r="M5232" s="178">
        <v>46024</v>
      </c>
      <c r="N5232" s="178"/>
      <c r="O5232" s="178"/>
      <c r="P5232" s="178" t="str">
        <f ca="1">IF(Proc[[#This Row],[DaysAgeing]]&gt;5,"yep","on track")</f>
        <v>on track</v>
      </c>
      <c r="Q5232" s="3">
        <f ca="1">IF(Proc[[#This Row],[DateClosed]]="",ABS(NETWORKDAYS(Proc[[#This Row],[DateOpened]],TODAY()))-1,ABS(NETWORKDAYS(Proc[[#This Row],[DateOpened]],Proc[[#This Row],[DateClosed]]))-1)</f>
        <v>3</v>
      </c>
      <c r="R5232" s="178" t="s">
        <v>7193</v>
      </c>
      <c r="S5232" s="150"/>
    </row>
    <row r="5233" spans="1:19">
      <c r="A5233" s="149" t="s">
        <v>7552</v>
      </c>
      <c r="B5233" s="150" t="str">
        <f>IFERROR(VLOOKUP(Proc[[#This Row],[App]],Table2[],3,0),"open")</f>
        <v>open</v>
      </c>
      <c r="C5233" s="149" t="s">
        <v>375</v>
      </c>
      <c r="D5233" t="s">
        <v>7549</v>
      </c>
      <c r="E5233" t="s">
        <v>631</v>
      </c>
      <c r="F5233" s="150" t="s">
        <v>7573</v>
      </c>
      <c r="G5233" s="149" t="s">
        <v>406</v>
      </c>
      <c r="H5233" s="150" t="str">
        <f>IF(Proc[[#This Row],[type]]="LFF (MDG-F)",MID(Proc[[#This Row],[Obj]],13,10),"")</f>
        <v>DE20538536</v>
      </c>
      <c r="I5233" s="149" t="s">
        <v>7580</v>
      </c>
      <c r="J5233" s="150" t="b">
        <f>Proc[[#This Row],[Requested]]=Proc[[#This Row],[CurrentParent]]</f>
        <v>0</v>
      </c>
      <c r="K5233" s="150" t="str">
        <f>IF(Proc[[#This Row],[Author]]="Marcela Urrego",VLOOKUP(LEFT(Proc[[#This Row],[Requested]],1),Table3[#All],2,0),VLOOKUP(Proc[[#This Row],[Author]],Table4[],2,0))</f>
        <v>???</v>
      </c>
      <c r="L5233" s="150" t="s">
        <v>6435</v>
      </c>
      <c r="M5233" s="178">
        <v>46024</v>
      </c>
      <c r="N5233" s="178"/>
      <c r="O5233" s="178"/>
      <c r="P5233" s="178" t="str">
        <f ca="1">IF(Proc[[#This Row],[DaysAgeing]]&gt;5,"yep","on track")</f>
        <v>on track</v>
      </c>
      <c r="Q5233" s="3">
        <f ca="1">IF(Proc[[#This Row],[DateClosed]]="",ABS(NETWORKDAYS(Proc[[#This Row],[DateOpened]],TODAY()))-1,ABS(NETWORKDAYS(Proc[[#This Row],[DateOpened]],Proc[[#This Row],[DateClosed]]))-1)</f>
        <v>3</v>
      </c>
      <c r="R5233" s="178" t="s">
        <v>7193</v>
      </c>
      <c r="S5233" s="150"/>
    </row>
    <row r="5234" spans="1:19">
      <c r="A5234" s="149" t="s">
        <v>7552</v>
      </c>
      <c r="B5234" s="150" t="str">
        <f>IFERROR(VLOOKUP(Proc[[#This Row],[App]],Table2[],3,0),"open")</f>
        <v>open</v>
      </c>
      <c r="C5234" s="149" t="s">
        <v>375</v>
      </c>
      <c r="D5234" t="s">
        <v>7550</v>
      </c>
      <c r="E5234" t="s">
        <v>631</v>
      </c>
      <c r="F5234" s="150" t="s">
        <v>7573</v>
      </c>
      <c r="G5234" s="149" t="s">
        <v>406</v>
      </c>
      <c r="H5234" s="150" t="str">
        <f>IF(Proc[[#This Row],[type]]="LFF (MDG-F)",MID(Proc[[#This Row],[Obj]],13,10),"")</f>
        <v>DE20538539</v>
      </c>
      <c r="I5234" s="149" t="s">
        <v>7580</v>
      </c>
      <c r="J5234" s="150" t="b">
        <f>Proc[[#This Row],[Requested]]=Proc[[#This Row],[CurrentParent]]</f>
        <v>0</v>
      </c>
      <c r="K5234" s="150" t="str">
        <f>IF(Proc[[#This Row],[Author]]="Marcela Urrego",VLOOKUP(LEFT(Proc[[#This Row],[Requested]],1),Table3[#All],2,0),VLOOKUP(Proc[[#This Row],[Author]],Table4[],2,0))</f>
        <v>???</v>
      </c>
      <c r="L5234" s="150" t="s">
        <v>6435</v>
      </c>
      <c r="M5234" s="178">
        <v>46024</v>
      </c>
      <c r="N5234" s="178"/>
      <c r="O5234" s="178"/>
      <c r="P5234" s="178" t="str">
        <f ca="1">IF(Proc[[#This Row],[DaysAgeing]]&gt;5,"yep","on track")</f>
        <v>on track</v>
      </c>
      <c r="Q5234" s="3">
        <f ca="1">IF(Proc[[#This Row],[DateClosed]]="",ABS(NETWORKDAYS(Proc[[#This Row],[DateOpened]],TODAY()))-1,ABS(NETWORKDAYS(Proc[[#This Row],[DateOpened]],Proc[[#This Row],[DateClosed]]))-1)</f>
        <v>3</v>
      </c>
      <c r="R5234" s="178" t="s">
        <v>7193</v>
      </c>
      <c r="S5234" s="150"/>
    </row>
    <row r="5235" spans="1:19">
      <c r="A5235" s="149" t="s">
        <v>7552</v>
      </c>
      <c r="B5235" s="150" t="str">
        <f>IFERROR(VLOOKUP(Proc[[#This Row],[App]],Table2[],3,0),"open")</f>
        <v>open</v>
      </c>
      <c r="C5235" s="149" t="s">
        <v>375</v>
      </c>
      <c r="D5235" t="s">
        <v>7551</v>
      </c>
      <c r="E5235" t="s">
        <v>631</v>
      </c>
      <c r="F5235" s="150" t="s">
        <v>7573</v>
      </c>
      <c r="G5235" s="149" t="s">
        <v>406</v>
      </c>
      <c r="H5235" s="150" t="str">
        <f>IF(Proc[[#This Row],[type]]="LFF (MDG-F)",MID(Proc[[#This Row],[Obj]],13,10),"")</f>
        <v>DE20538540</v>
      </c>
      <c r="I5235" s="149" t="s">
        <v>7580</v>
      </c>
      <c r="J5235" s="150" t="b">
        <f>Proc[[#This Row],[Requested]]=Proc[[#This Row],[CurrentParent]]</f>
        <v>0</v>
      </c>
      <c r="K5235" s="150" t="str">
        <f>IF(Proc[[#This Row],[Author]]="Marcela Urrego",VLOOKUP(LEFT(Proc[[#This Row],[Requested]],1),Table3[#All],2,0),VLOOKUP(Proc[[#This Row],[Author]],Table4[],2,0))</f>
        <v>???</v>
      </c>
      <c r="L5235" s="150" t="s">
        <v>6435</v>
      </c>
      <c r="M5235" s="178">
        <v>46024</v>
      </c>
      <c r="N5235" s="178"/>
      <c r="O5235" s="178"/>
      <c r="P5235" s="178" t="str">
        <f ca="1">IF(Proc[[#This Row],[DaysAgeing]]&gt;5,"yep","on track")</f>
        <v>on track</v>
      </c>
      <c r="Q5235" s="3">
        <f ca="1">IF(Proc[[#This Row],[DateClosed]]="",ABS(NETWORKDAYS(Proc[[#This Row],[DateOpened]],TODAY()))-1,ABS(NETWORKDAYS(Proc[[#This Row],[DateOpened]],Proc[[#This Row],[DateClosed]]))-1)</f>
        <v>3</v>
      </c>
      <c r="R5235" s="178" t="s">
        <v>7193</v>
      </c>
      <c r="S5235" s="150"/>
    </row>
    <row r="5236" spans="1:19">
      <c r="A5236" t="s">
        <v>7564</v>
      </c>
      <c r="B5236" s="150" t="str">
        <f>IFERROR(VLOOKUP(Proc[[#This Row],[App]],Table2[],3,0),"open")</f>
        <v>open</v>
      </c>
      <c r="C5236" s="149" t="s">
        <v>370</v>
      </c>
      <c r="D5236" s="149" t="s">
        <v>7566</v>
      </c>
      <c r="E5236" t="s">
        <v>7565</v>
      </c>
      <c r="F5236" s="150" t="s">
        <v>2505</v>
      </c>
      <c r="G5236" t="s">
        <v>400</v>
      </c>
      <c r="H5236" s="150" t="str">
        <f>IF(Proc[[#This Row],[type]]="LFF (MDG-F)",MID(Proc[[#This Row],[Obj]],13,10),"")</f>
        <v/>
      </c>
      <c r="J5236" s="150" t="b">
        <f>Proc[[#This Row],[Requested]]=Proc[[#This Row],[CurrentParent]]</f>
        <v>0</v>
      </c>
      <c r="K5236" s="150" t="str">
        <f>IF(Proc[[#This Row],[Author]]="Marcela Urrego",VLOOKUP(LEFT(Proc[[#This Row],[Requested]],1),Table3[#All],2,0),VLOOKUP(Proc[[#This Row],[Author]],Table4[],2,0))</f>
        <v>MGF</v>
      </c>
      <c r="L5236" s="150" t="s">
        <v>6435</v>
      </c>
      <c r="M5236" s="178">
        <v>46028</v>
      </c>
      <c r="N5236" s="178"/>
      <c r="O5236" s="178"/>
      <c r="P5236" s="178" t="str">
        <f ca="1">IF(Proc[[#This Row],[DaysAgeing]]&gt;5,"yep","on track")</f>
        <v>on track</v>
      </c>
      <c r="Q5236" s="3">
        <f ca="1">IF(Proc[[#This Row],[DateClosed]]="",ABS(NETWORKDAYS(Proc[[#This Row],[DateOpened]],TODAY()))-1,ABS(NETWORKDAYS(Proc[[#This Row],[DateOpened]],Proc[[#This Row],[DateClosed]]))-1)</f>
        <v>1</v>
      </c>
      <c r="R5236" s="178" t="s">
        <v>7411</v>
      </c>
      <c r="S5236" s="150"/>
    </row>
    <row r="5237" spans="1:19">
      <c r="A5237" s="149" t="s">
        <v>7564</v>
      </c>
      <c r="B5237" s="150" t="str">
        <f>IFERROR(VLOOKUP(Proc[[#This Row],[App]],Table2[],3,0),"open")</f>
        <v>open</v>
      </c>
      <c r="C5237" s="149" t="s">
        <v>370</v>
      </c>
      <c r="D5237" s="149" t="s">
        <v>7575</v>
      </c>
      <c r="E5237" s="149" t="s">
        <v>7565</v>
      </c>
      <c r="F5237" s="150"/>
      <c r="G5237" s="149" t="s">
        <v>400</v>
      </c>
      <c r="H5237" s="150" t="str">
        <f>IF(Proc[[#This Row],[type]]="LFF (MDG-F)",MID(Proc[[#This Row],[Obj]],13,10),"")</f>
        <v/>
      </c>
      <c r="J5237" s="150" t="b">
        <f>Proc[[#This Row],[Requested]]=Proc[[#This Row],[CurrentParent]]</f>
        <v>0</v>
      </c>
      <c r="K5237" s="150" t="str">
        <f>IF(Proc[[#This Row],[Author]]="Marcela Urrego",VLOOKUP(LEFT(Proc[[#This Row],[Requested]],1),Table3[#All],2,0),VLOOKUP(Proc[[#This Row],[Author]],Table4[],2,0))</f>
        <v>MGF</v>
      </c>
      <c r="L5237" s="150" t="s">
        <v>6435</v>
      </c>
      <c r="M5237" s="178">
        <v>46028</v>
      </c>
      <c r="N5237" s="178"/>
      <c r="O5237" s="178"/>
      <c r="P5237" s="178" t="str">
        <f ca="1">IF(Proc[[#This Row],[DaysAgeing]]&gt;5,"yep","on track")</f>
        <v>on track</v>
      </c>
      <c r="Q5237" s="3">
        <f ca="1">IF(Proc[[#This Row],[DateClosed]]="",ABS(NETWORKDAYS(Proc[[#This Row],[DateOpened]],TODAY()))-1,ABS(NETWORKDAYS(Proc[[#This Row],[DateOpened]],Proc[[#This Row],[DateClosed]]))-1)</f>
        <v>1</v>
      </c>
      <c r="R5237" s="178" t="s">
        <v>7411</v>
      </c>
      <c r="S5237" s="150"/>
    </row>
    <row r="5238" spans="1:19">
      <c r="A5238" s="149" t="s">
        <v>7564</v>
      </c>
      <c r="B5238" s="150" t="str">
        <f>IFERROR(VLOOKUP(Proc[[#This Row],[App]],Table2[],3,0),"open")</f>
        <v>open</v>
      </c>
      <c r="C5238" s="149" t="s">
        <v>370</v>
      </c>
      <c r="D5238" s="149" t="s">
        <v>7576</v>
      </c>
      <c r="E5238" s="149" t="s">
        <v>7565</v>
      </c>
      <c r="F5238" s="150"/>
      <c r="G5238" s="149" t="s">
        <v>400</v>
      </c>
      <c r="H5238" s="150" t="str">
        <f>IF(Proc[[#This Row],[type]]="LFF (MDG-F)",MID(Proc[[#This Row],[Obj]],13,10),"")</f>
        <v/>
      </c>
      <c r="J5238" s="150" t="b">
        <f>Proc[[#This Row],[Requested]]=Proc[[#This Row],[CurrentParent]]</f>
        <v>0</v>
      </c>
      <c r="K5238" s="150" t="str">
        <f>IF(Proc[[#This Row],[Author]]="Marcela Urrego",VLOOKUP(LEFT(Proc[[#This Row],[Requested]],1),Table3[#All],2,0),VLOOKUP(Proc[[#This Row],[Author]],Table4[],2,0))</f>
        <v>MGF</v>
      </c>
      <c r="L5238" s="150" t="s">
        <v>6435</v>
      </c>
      <c r="M5238" s="178">
        <v>46028</v>
      </c>
      <c r="N5238" s="178"/>
      <c r="O5238" s="178"/>
      <c r="P5238" s="178" t="str">
        <f ca="1">IF(Proc[[#This Row],[DaysAgeing]]&gt;5,"yep","on track")</f>
        <v>on track</v>
      </c>
      <c r="Q5238" s="3">
        <f ca="1">IF(Proc[[#This Row],[DateClosed]]="",ABS(NETWORKDAYS(Proc[[#This Row],[DateOpened]],TODAY()))-1,ABS(NETWORKDAYS(Proc[[#This Row],[DateOpened]],Proc[[#This Row],[DateClosed]]))-1)</f>
        <v>1</v>
      </c>
      <c r="R5238" s="178" t="s">
        <v>7411</v>
      </c>
      <c r="S5238" s="150"/>
    </row>
    <row r="5239" spans="1:19">
      <c r="A5239" s="149" t="s">
        <v>7564</v>
      </c>
      <c r="B5239" s="150" t="str">
        <f>IFERROR(VLOOKUP(Proc[[#This Row],[App]],Table2[],3,0),"open")</f>
        <v>open</v>
      </c>
      <c r="C5239" s="149" t="s">
        <v>370</v>
      </c>
      <c r="D5239" s="149" t="s">
        <v>7577</v>
      </c>
      <c r="E5239" s="149" t="s">
        <v>7565</v>
      </c>
      <c r="F5239" s="150"/>
      <c r="G5239" s="149" t="s">
        <v>400</v>
      </c>
      <c r="H5239" s="150" t="str">
        <f>IF(Proc[[#This Row],[type]]="LFF (MDG-F)",MID(Proc[[#This Row],[Obj]],13,10),"")</f>
        <v/>
      </c>
      <c r="J5239" s="150" t="b">
        <f>Proc[[#This Row],[Requested]]=Proc[[#This Row],[CurrentParent]]</f>
        <v>0</v>
      </c>
      <c r="K5239" s="150" t="str">
        <f>IF(Proc[[#This Row],[Author]]="Marcela Urrego",VLOOKUP(LEFT(Proc[[#This Row],[Requested]],1),Table3[#All],2,0),VLOOKUP(Proc[[#This Row],[Author]],Table4[],2,0))</f>
        <v>MGF</v>
      </c>
      <c r="L5239" s="150" t="s">
        <v>6435</v>
      </c>
      <c r="M5239" s="178">
        <v>46028</v>
      </c>
      <c r="N5239" s="178"/>
      <c r="O5239" s="178"/>
      <c r="P5239" s="178" t="str">
        <f ca="1">IF(Proc[[#This Row],[DaysAgeing]]&gt;5,"yep","on track")</f>
        <v>on track</v>
      </c>
      <c r="Q5239" s="3">
        <f ca="1">IF(Proc[[#This Row],[DateClosed]]="",ABS(NETWORKDAYS(Proc[[#This Row],[DateOpened]],TODAY()))-1,ABS(NETWORKDAYS(Proc[[#This Row],[DateOpened]],Proc[[#This Row],[DateClosed]]))-1)</f>
        <v>1</v>
      </c>
      <c r="R5239" s="178" t="s">
        <v>7411</v>
      </c>
      <c r="S5239" s="150"/>
    </row>
    <row r="5240" spans="1:19">
      <c r="A5240" t="s">
        <v>7582</v>
      </c>
      <c r="B5240" s="150" t="str">
        <f>IFERROR(VLOOKUP(Proc[[#This Row],[App]],Table2[],3,0),"open")</f>
        <v>open</v>
      </c>
      <c r="C5240" t="s">
        <v>404</v>
      </c>
      <c r="D5240" t="s">
        <v>6783</v>
      </c>
      <c r="E5240" t="s">
        <v>759</v>
      </c>
      <c r="F5240" s="150"/>
      <c r="G5240" s="149" t="s">
        <v>400</v>
      </c>
      <c r="H5240" s="150" t="str">
        <f>IF(Proc[[#This Row],[type]]="LFF (MDG-F)",MID(Proc[[#This Row],[Obj]],13,10),"")</f>
        <v/>
      </c>
      <c r="I5240" t="s">
        <v>7587</v>
      </c>
      <c r="J5240" s="150" t="b">
        <f>Proc[[#This Row],[Requested]]=Proc[[#This Row],[CurrentParent]]</f>
        <v>0</v>
      </c>
      <c r="K5240" s="150" t="str">
        <f>IF(Proc[[#This Row],[Author]]="Marcela Urrego",VLOOKUP(LEFT(Proc[[#This Row],[Requested]],1),Table3[#All],2,0),VLOOKUP(Proc[[#This Row],[Author]],Table4[],2,0))</f>
        <v>MGF</v>
      </c>
      <c r="L5240" s="150" t="s">
        <v>6435</v>
      </c>
      <c r="M5240" s="178">
        <v>46028</v>
      </c>
      <c r="N5240" s="178"/>
      <c r="O5240" s="178"/>
      <c r="P5240" s="178" t="str">
        <f ca="1">IF(Proc[[#This Row],[DaysAgeing]]&gt;5,"yep","on track")</f>
        <v>on track</v>
      </c>
      <c r="Q5240" s="3">
        <f ca="1">IF(Proc[[#This Row],[DateClosed]]="",ABS(NETWORKDAYS(Proc[[#This Row],[DateOpened]],TODAY()))-1,ABS(NETWORKDAYS(Proc[[#This Row],[DateOpened]],Proc[[#This Row],[DateClosed]]))-1)</f>
        <v>1</v>
      </c>
      <c r="R5240" s="178" t="s">
        <v>1459</v>
      </c>
      <c r="S5240" s="150"/>
    </row>
    <row r="5241" spans="1:19">
      <c r="A5241" s="149" t="s">
        <v>7582</v>
      </c>
      <c r="B5241" s="150" t="str">
        <f>IFERROR(VLOOKUP(Proc[[#This Row],[App]],Table2[],3,0),"open")</f>
        <v>open</v>
      </c>
      <c r="C5241" s="149" t="s">
        <v>404</v>
      </c>
      <c r="D5241" t="s">
        <v>7583</v>
      </c>
      <c r="E5241" t="s">
        <v>7586</v>
      </c>
      <c r="F5241" s="150"/>
      <c r="G5241" s="149" t="s">
        <v>400</v>
      </c>
      <c r="H5241" s="150" t="str">
        <f>IF(Proc[[#This Row],[type]]="LFF (MDG-F)",MID(Proc[[#This Row],[Obj]],13,10),"")</f>
        <v/>
      </c>
      <c r="I5241" s="149" t="s">
        <v>7587</v>
      </c>
      <c r="J5241" s="150" t="b">
        <f>Proc[[#This Row],[Requested]]=Proc[[#This Row],[CurrentParent]]</f>
        <v>0</v>
      </c>
      <c r="K5241" s="150" t="str">
        <f>IF(Proc[[#This Row],[Author]]="Marcela Urrego",VLOOKUP(LEFT(Proc[[#This Row],[Requested]],1),Table3[#All],2,0),VLOOKUP(Proc[[#This Row],[Author]],Table4[],2,0))</f>
        <v>MGF</v>
      </c>
      <c r="L5241" s="150" t="s">
        <v>6435</v>
      </c>
      <c r="M5241" s="178">
        <v>46028</v>
      </c>
      <c r="N5241" s="178"/>
      <c r="O5241" s="178"/>
      <c r="P5241" s="178" t="str">
        <f ca="1">IF(Proc[[#This Row],[DaysAgeing]]&gt;5,"yep","on track")</f>
        <v>on track</v>
      </c>
      <c r="Q5241" s="3">
        <f ca="1">IF(Proc[[#This Row],[DateClosed]]="",ABS(NETWORKDAYS(Proc[[#This Row],[DateOpened]],TODAY()))-1,ABS(NETWORKDAYS(Proc[[#This Row],[DateOpened]],Proc[[#This Row],[DateClosed]]))-1)</f>
        <v>1</v>
      </c>
      <c r="R5241" s="178" t="s">
        <v>1459</v>
      </c>
      <c r="S5241" s="150"/>
    </row>
    <row r="5242" spans="1:19">
      <c r="A5242" s="149" t="s">
        <v>7582</v>
      </c>
      <c r="B5242" s="150" t="str">
        <f>IFERROR(VLOOKUP(Proc[[#This Row],[App]],Table2[],3,0),"open")</f>
        <v>open</v>
      </c>
      <c r="C5242" s="149" t="s">
        <v>404</v>
      </c>
      <c r="D5242" t="s">
        <v>2319</v>
      </c>
      <c r="E5242" t="s">
        <v>430</v>
      </c>
      <c r="F5242" s="150"/>
      <c r="G5242" t="s">
        <v>406</v>
      </c>
      <c r="H5242" s="150" t="str">
        <f>IF(Proc[[#This Row],[type]]="LFF (MDG-F)",MID(Proc[[#This Row],[Obj]],13,10),"")</f>
        <v>DE65GIT032</v>
      </c>
      <c r="I5242" s="149" t="s">
        <v>7587</v>
      </c>
      <c r="J5242" s="150" t="b">
        <f>Proc[[#This Row],[Requested]]=Proc[[#This Row],[CurrentParent]]</f>
        <v>0</v>
      </c>
      <c r="K5242" s="150" t="str">
        <f>IF(Proc[[#This Row],[Author]]="Marcela Urrego",VLOOKUP(LEFT(Proc[[#This Row],[Requested]],1),Table3[#All],2,0),VLOOKUP(Proc[[#This Row],[Author]],Table4[],2,0))</f>
        <v>MGF</v>
      </c>
      <c r="L5242" s="150" t="s">
        <v>6435</v>
      </c>
      <c r="M5242" s="178">
        <v>46028</v>
      </c>
      <c r="N5242" s="178"/>
      <c r="O5242" s="178"/>
      <c r="P5242" s="178" t="str">
        <f ca="1">IF(Proc[[#This Row],[DaysAgeing]]&gt;5,"yep","on track")</f>
        <v>on track</v>
      </c>
      <c r="Q5242" s="3">
        <f ca="1">IF(Proc[[#This Row],[DateClosed]]="",ABS(NETWORKDAYS(Proc[[#This Row],[DateOpened]],TODAY()))-1,ABS(NETWORKDAYS(Proc[[#This Row],[DateOpened]],Proc[[#This Row],[DateClosed]]))-1)</f>
        <v>1</v>
      </c>
      <c r="R5242" s="178" t="s">
        <v>1459</v>
      </c>
      <c r="S5242" s="150"/>
    </row>
    <row r="5243" spans="1:19">
      <c r="A5243" s="149" t="s">
        <v>7582</v>
      </c>
      <c r="B5243" s="150" t="str">
        <f>IFERROR(VLOOKUP(Proc[[#This Row],[App]],Table2[],3,0),"open")</f>
        <v>open</v>
      </c>
      <c r="C5243" s="149" t="s">
        <v>404</v>
      </c>
      <c r="D5243" t="s">
        <v>7584</v>
      </c>
      <c r="E5243" t="s">
        <v>5466</v>
      </c>
      <c r="F5243" s="150"/>
      <c r="G5243" s="149" t="s">
        <v>406</v>
      </c>
      <c r="H5243" s="150" t="str">
        <f>IF(Proc[[#This Row],[type]]="LFF (MDG-F)",MID(Proc[[#This Row],[Obj]],13,10),"")</f>
        <v>DE10YIT020</v>
      </c>
      <c r="I5243" s="149" t="s">
        <v>7587</v>
      </c>
      <c r="J5243" s="150" t="b">
        <f>Proc[[#This Row],[Requested]]=Proc[[#This Row],[CurrentParent]]</f>
        <v>0</v>
      </c>
      <c r="K5243" s="150" t="str">
        <f>IF(Proc[[#This Row],[Author]]="Marcela Urrego",VLOOKUP(LEFT(Proc[[#This Row],[Requested]],1),Table3[#All],2,0),VLOOKUP(Proc[[#This Row],[Author]],Table4[],2,0))</f>
        <v>MGF</v>
      </c>
      <c r="L5243" s="150" t="s">
        <v>6435</v>
      </c>
      <c r="M5243" s="178">
        <v>46028</v>
      </c>
      <c r="N5243" s="178"/>
      <c r="O5243" s="178"/>
      <c r="P5243" s="178" t="str">
        <f ca="1">IF(Proc[[#This Row],[DaysAgeing]]&gt;5,"yep","on track")</f>
        <v>on track</v>
      </c>
      <c r="Q5243" s="3">
        <f ca="1">IF(Proc[[#This Row],[DateClosed]]="",ABS(NETWORKDAYS(Proc[[#This Row],[DateOpened]],TODAY()))-1,ABS(NETWORKDAYS(Proc[[#This Row],[DateOpened]],Proc[[#This Row],[DateClosed]]))-1)</f>
        <v>1</v>
      </c>
      <c r="R5243" s="178" t="s">
        <v>1459</v>
      </c>
      <c r="S5243" s="150"/>
    </row>
    <row r="5244" spans="1:19">
      <c r="A5244" s="149" t="s">
        <v>7582</v>
      </c>
      <c r="B5244" s="150" t="str">
        <f>IFERROR(VLOOKUP(Proc[[#This Row],[App]],Table2[],3,0),"open")</f>
        <v>open</v>
      </c>
      <c r="C5244" s="149" t="s">
        <v>404</v>
      </c>
      <c r="D5244" t="s">
        <v>7585</v>
      </c>
      <c r="E5244" t="s">
        <v>2616</v>
      </c>
      <c r="F5244" s="150"/>
      <c r="G5244" s="149" t="s">
        <v>406</v>
      </c>
      <c r="H5244" s="150" t="str">
        <f>IF(Proc[[#This Row],[type]]="LFF (MDG-F)",MID(Proc[[#This Row],[Obj]],13,10),"")</f>
        <v>DE10YIT021</v>
      </c>
      <c r="I5244" s="149" t="s">
        <v>7587</v>
      </c>
      <c r="J5244" s="150" t="b">
        <f>Proc[[#This Row],[Requested]]=Proc[[#This Row],[CurrentParent]]</f>
        <v>0</v>
      </c>
      <c r="K5244" s="150" t="str">
        <f>IF(Proc[[#This Row],[Author]]="Marcela Urrego",VLOOKUP(LEFT(Proc[[#This Row],[Requested]],1),Table3[#All],2,0),VLOOKUP(Proc[[#This Row],[Author]],Table4[],2,0))</f>
        <v>MGF</v>
      </c>
      <c r="L5244" s="150" t="s">
        <v>6435</v>
      </c>
      <c r="M5244" s="178">
        <v>46028</v>
      </c>
      <c r="N5244" s="178"/>
      <c r="O5244" s="178"/>
      <c r="P5244" s="178" t="str">
        <f ca="1">IF(Proc[[#This Row],[DaysAgeing]]&gt;5,"yep","on track")</f>
        <v>on track</v>
      </c>
      <c r="Q5244" s="3">
        <f ca="1">IF(Proc[[#This Row],[DateClosed]]="",ABS(NETWORKDAYS(Proc[[#This Row],[DateOpened]],TODAY()))-1,ABS(NETWORKDAYS(Proc[[#This Row],[DateOpened]],Proc[[#This Row],[DateClosed]]))-1)</f>
        <v>1</v>
      </c>
      <c r="R5244" s="178" t="s">
        <v>1459</v>
      </c>
      <c r="S5244" s="150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G2:G5244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D4624-8596-4B31-8E8F-5179FF8E5D29}">
  <dimension ref="A1"/>
  <sheetViews>
    <sheetView workbookViewId="0"/>
  </sheetViews>
  <sheetFormatPr defaultRowHeight="15"/>
  <sheetData>
    <row r="1" spans="1:1">
      <c r="A1" s="180" t="s">
        <v>7581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F6FFF-1958-4CA2-924E-0C933A48D73E}">
  <dimension ref="A1:B67"/>
  <sheetViews>
    <sheetView workbookViewId="0"/>
  </sheetViews>
  <sheetFormatPr defaultRowHeight="15"/>
  <cols>
    <col min="1" max="1" width="87.7109375" bestFit="1" customWidth="1"/>
    <col min="2" max="2" width="28.28515625" bestFit="1" customWidth="1"/>
  </cols>
  <sheetData>
    <row r="1" spans="1:2">
      <c r="A1" t="s">
        <v>6742</v>
      </c>
    </row>
    <row r="2" spans="1:2">
      <c r="A2" t="s">
        <v>6743</v>
      </c>
    </row>
    <row r="3" spans="1:2">
      <c r="A3" t="s">
        <v>7567</v>
      </c>
    </row>
    <row r="4" spans="1:2">
      <c r="A4" t="s">
        <v>7568</v>
      </c>
    </row>
    <row r="5" spans="1:2">
      <c r="A5" t="s">
        <v>7569</v>
      </c>
    </row>
    <row r="6" spans="1:2">
      <c r="A6" t="s">
        <v>7493</v>
      </c>
      <c r="B6" t="s">
        <v>7570</v>
      </c>
    </row>
    <row r="7" spans="1:2">
      <c r="A7" t="s">
        <v>7367</v>
      </c>
      <c r="B7" t="s">
        <v>7408</v>
      </c>
    </row>
    <row r="8" spans="1:2">
      <c r="A8" t="s">
        <v>7342</v>
      </c>
      <c r="B8" t="s">
        <v>7407</v>
      </c>
    </row>
    <row r="9" spans="1:2">
      <c r="A9" t="s">
        <v>7543</v>
      </c>
      <c r="B9" t="s">
        <v>7571</v>
      </c>
    </row>
    <row r="10" spans="1:2">
      <c r="A10" t="s">
        <v>7541</v>
      </c>
      <c r="B10" t="s">
        <v>7572</v>
      </c>
    </row>
    <row r="11" spans="1:2">
      <c r="A11" t="s">
        <v>7542</v>
      </c>
      <c r="B11" t="s">
        <v>7572</v>
      </c>
    </row>
    <row r="12" spans="1:2">
      <c r="A12" t="s">
        <v>7378</v>
      </c>
      <c r="B12" t="s">
        <v>7406</v>
      </c>
    </row>
    <row r="13" spans="1:2">
      <c r="A13" t="s">
        <v>7548</v>
      </c>
      <c r="B13" t="s">
        <v>7573</v>
      </c>
    </row>
    <row r="14" spans="1:2">
      <c r="A14" t="s">
        <v>7549</v>
      </c>
      <c r="B14" t="s">
        <v>7573</v>
      </c>
    </row>
    <row r="15" spans="1:2">
      <c r="A15" t="s">
        <v>7550</v>
      </c>
      <c r="B15" t="s">
        <v>7573</v>
      </c>
    </row>
    <row r="16" spans="1:2">
      <c r="A16" t="s">
        <v>7551</v>
      </c>
      <c r="B16" t="s">
        <v>7573</v>
      </c>
    </row>
    <row r="17" spans="1:2">
      <c r="A17" t="s">
        <v>7544</v>
      </c>
      <c r="B17" t="s">
        <v>7574</v>
      </c>
    </row>
    <row r="18" spans="1:2">
      <c r="A18" t="s">
        <v>7545</v>
      </c>
      <c r="B18" t="s">
        <v>7574</v>
      </c>
    </row>
    <row r="19" spans="1:2">
      <c r="A19" t="s">
        <v>7546</v>
      </c>
      <c r="B19" t="s">
        <v>7574</v>
      </c>
    </row>
    <row r="20" spans="1:2">
      <c r="A20" t="s">
        <v>7547</v>
      </c>
      <c r="B20" t="s">
        <v>7574</v>
      </c>
    </row>
    <row r="21" spans="1:2">
      <c r="A21" t="s">
        <v>7474</v>
      </c>
      <c r="B21" t="s">
        <v>2592</v>
      </c>
    </row>
    <row r="22" spans="1:2">
      <c r="A22" t="s">
        <v>7475</v>
      </c>
      <c r="B22" t="s">
        <v>2592</v>
      </c>
    </row>
    <row r="23" spans="1:2">
      <c r="A23" t="s">
        <v>7476</v>
      </c>
      <c r="B23" t="s">
        <v>2592</v>
      </c>
    </row>
    <row r="24" spans="1:2">
      <c r="A24" t="s">
        <v>7478</v>
      </c>
      <c r="B24" t="s">
        <v>2463</v>
      </c>
    </row>
    <row r="25" spans="1:2">
      <c r="A25" t="s">
        <v>7479</v>
      </c>
      <c r="B25" t="s">
        <v>2463</v>
      </c>
    </row>
    <row r="26" spans="1:2">
      <c r="A26" t="s">
        <v>7481</v>
      </c>
      <c r="B26" t="s">
        <v>2463</v>
      </c>
    </row>
    <row r="27" spans="1:2">
      <c r="A27" t="s">
        <v>7515</v>
      </c>
      <c r="B27" t="s">
        <v>2463</v>
      </c>
    </row>
    <row r="28" spans="1:2">
      <c r="A28" t="s">
        <v>7468</v>
      </c>
      <c r="B28" t="s">
        <v>2593</v>
      </c>
    </row>
    <row r="29" spans="1:2">
      <c r="A29" t="s">
        <v>7469</v>
      </c>
      <c r="B29" t="s">
        <v>2593</v>
      </c>
    </row>
    <row r="30" spans="1:2">
      <c r="A30" t="s">
        <v>7489</v>
      </c>
      <c r="B30" t="s">
        <v>7392</v>
      </c>
    </row>
    <row r="31" spans="1:2">
      <c r="A31" t="s">
        <v>7490</v>
      </c>
      <c r="B31" t="s">
        <v>7392</v>
      </c>
    </row>
    <row r="32" spans="1:2">
      <c r="A32" t="s">
        <v>7491</v>
      </c>
      <c r="B32" t="s">
        <v>7392</v>
      </c>
    </row>
    <row r="33" spans="1:2">
      <c r="A33" t="s">
        <v>7494</v>
      </c>
      <c r="B33" t="s">
        <v>7392</v>
      </c>
    </row>
    <row r="34" spans="1:2">
      <c r="A34" t="s">
        <v>7440</v>
      </c>
      <c r="B34" t="s">
        <v>7460</v>
      </c>
    </row>
    <row r="35" spans="1:2">
      <c r="A35" t="s">
        <v>7448</v>
      </c>
      <c r="B35" t="s">
        <v>7338</v>
      </c>
    </row>
    <row r="36" spans="1:2">
      <c r="A36" t="s">
        <v>7449</v>
      </c>
      <c r="B36" t="s">
        <v>7338</v>
      </c>
    </row>
    <row r="37" spans="1:2">
      <c r="A37" t="s">
        <v>7450</v>
      </c>
      <c r="B37" t="s">
        <v>7338</v>
      </c>
    </row>
    <row r="38" spans="1:2">
      <c r="A38" t="s">
        <v>7436</v>
      </c>
      <c r="B38" t="s">
        <v>524</v>
      </c>
    </row>
    <row r="39" spans="1:2">
      <c r="A39" t="s">
        <v>7437</v>
      </c>
      <c r="B39" t="s">
        <v>524</v>
      </c>
    </row>
    <row r="40" spans="1:2">
      <c r="A40" t="s">
        <v>7444</v>
      </c>
      <c r="B40" t="s">
        <v>524</v>
      </c>
    </row>
    <row r="41" spans="1:2">
      <c r="A41" t="s">
        <v>7445</v>
      </c>
      <c r="B41" t="s">
        <v>524</v>
      </c>
    </row>
    <row r="42" spans="1:2">
      <c r="A42" t="s">
        <v>7451</v>
      </c>
      <c r="B42" t="s">
        <v>524</v>
      </c>
    </row>
    <row r="43" spans="1:2">
      <c r="A43" t="s">
        <v>7453</v>
      </c>
      <c r="B43" t="s">
        <v>524</v>
      </c>
    </row>
    <row r="44" spans="1:2">
      <c r="A44" t="s">
        <v>7454</v>
      </c>
      <c r="B44" t="s">
        <v>524</v>
      </c>
    </row>
    <row r="45" spans="1:2">
      <c r="A45" t="s">
        <v>7455</v>
      </c>
      <c r="B45" t="s">
        <v>524</v>
      </c>
    </row>
    <row r="46" spans="1:2">
      <c r="A46" t="s">
        <v>7458</v>
      </c>
      <c r="B46" t="s">
        <v>524</v>
      </c>
    </row>
    <row r="47" spans="1:2">
      <c r="A47" t="s">
        <v>7441</v>
      </c>
      <c r="B47" t="s">
        <v>7461</v>
      </c>
    </row>
    <row r="48" spans="1:2">
      <c r="A48" t="s">
        <v>7442</v>
      </c>
      <c r="B48" t="s">
        <v>7461</v>
      </c>
    </row>
    <row r="49" spans="1:2">
      <c r="A49" t="s">
        <v>7443</v>
      </c>
      <c r="B49" t="s">
        <v>7461</v>
      </c>
    </row>
    <row r="50" spans="1:2">
      <c r="A50" t="s">
        <v>7435</v>
      </c>
      <c r="B50" t="s">
        <v>7459</v>
      </c>
    </row>
    <row r="51" spans="1:2">
      <c r="A51" t="s">
        <v>7487</v>
      </c>
      <c r="B51" t="s">
        <v>7459</v>
      </c>
    </row>
    <row r="52" spans="1:2">
      <c r="A52" t="s">
        <v>7472</v>
      </c>
      <c r="B52" t="s">
        <v>4100</v>
      </c>
    </row>
    <row r="53" spans="1:2">
      <c r="A53" t="s">
        <v>7456</v>
      </c>
      <c r="B53" t="s">
        <v>7463</v>
      </c>
    </row>
    <row r="54" spans="1:2">
      <c r="A54" t="s">
        <v>7447</v>
      </c>
      <c r="B54" t="s">
        <v>7462</v>
      </c>
    </row>
    <row r="55" spans="1:2">
      <c r="A55" t="s">
        <v>7438</v>
      </c>
      <c r="B55" t="s">
        <v>497</v>
      </c>
    </row>
    <row r="56" spans="1:2">
      <c r="A56" t="s">
        <v>7439</v>
      </c>
      <c r="B56" t="s">
        <v>497</v>
      </c>
    </row>
    <row r="57" spans="1:2">
      <c r="A57" t="s">
        <v>7492</v>
      </c>
      <c r="B57" t="s">
        <v>1575</v>
      </c>
    </row>
    <row r="58" spans="1:2">
      <c r="A58" t="s">
        <v>7452</v>
      </c>
      <c r="B58" t="s">
        <v>2862</v>
      </c>
    </row>
    <row r="59" spans="1:2">
      <c r="A59" t="s">
        <v>7465</v>
      </c>
      <c r="B59" t="s">
        <v>7466</v>
      </c>
    </row>
    <row r="60" spans="1:2">
      <c r="A60" t="s">
        <v>7465</v>
      </c>
      <c r="B60" t="s">
        <v>7466</v>
      </c>
    </row>
    <row r="61" spans="1:2">
      <c r="A61" t="s">
        <v>7483</v>
      </c>
      <c r="B61" t="s">
        <v>7484</v>
      </c>
    </row>
    <row r="62" spans="1:2">
      <c r="A62" t="s">
        <v>7446</v>
      </c>
      <c r="B62" t="s">
        <v>7350</v>
      </c>
    </row>
    <row r="63" spans="1:2">
      <c r="A63" t="s">
        <v>7457</v>
      </c>
      <c r="B63" t="s">
        <v>7350</v>
      </c>
    </row>
    <row r="64" spans="1:2">
      <c r="A64" t="s">
        <v>7486</v>
      </c>
      <c r="B64" t="s">
        <v>7350</v>
      </c>
    </row>
    <row r="65" spans="1:2">
      <c r="A65" t="s">
        <v>7477</v>
      </c>
      <c r="B65" s="149" t="s">
        <v>2463</v>
      </c>
    </row>
    <row r="66" spans="1:2">
      <c r="A66" t="s">
        <v>7470</v>
      </c>
      <c r="B66" s="149" t="s">
        <v>4100</v>
      </c>
    </row>
    <row r="67" spans="1:2">
      <c r="A67" t="s">
        <v>7566</v>
      </c>
      <c r="B67" s="149" t="s">
        <v>2505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C0B0D-22B2-430A-A884-9D9870665AD8}">
  <dimension ref="A1:B74"/>
  <sheetViews>
    <sheetView workbookViewId="0">
      <selection activeCell="B1" sqref="B1"/>
    </sheetView>
  </sheetViews>
  <sheetFormatPr defaultRowHeight="15"/>
  <sheetData>
    <row r="1" spans="1:2">
      <c r="A1" t="s">
        <v>7428</v>
      </c>
      <c r="B1" t="s">
        <v>4929</v>
      </c>
    </row>
    <row r="2" spans="1:2">
      <c r="A2" t="s">
        <v>7429</v>
      </c>
      <c r="B2" t="s">
        <v>4929</v>
      </c>
    </row>
    <row r="3" spans="1:2">
      <c r="A3" t="s">
        <v>7430</v>
      </c>
      <c r="B3" t="s">
        <v>3535</v>
      </c>
    </row>
    <row r="4" spans="1:2">
      <c r="A4" t="s">
        <v>7435</v>
      </c>
      <c r="B4" t="s">
        <v>7517</v>
      </c>
    </row>
    <row r="5" spans="1:2">
      <c r="A5" t="s">
        <v>7436</v>
      </c>
      <c r="B5" t="s">
        <v>7518</v>
      </c>
    </row>
    <row r="6" spans="1:2">
      <c r="A6" t="s">
        <v>7437</v>
      </c>
      <c r="B6" t="s">
        <v>7519</v>
      </c>
    </row>
    <row r="7" spans="1:2">
      <c r="A7" t="s">
        <v>7438</v>
      </c>
      <c r="B7" t="s">
        <v>7520</v>
      </c>
    </row>
    <row r="8" spans="1:2">
      <c r="A8" t="s">
        <v>7439</v>
      </c>
      <c r="B8" t="s">
        <v>7521</v>
      </c>
    </row>
    <row r="9" spans="1:2">
      <c r="A9" t="s">
        <v>7440</v>
      </c>
      <c r="B9" t="s">
        <v>7522</v>
      </c>
    </row>
    <row r="10" spans="1:2">
      <c r="A10" t="s">
        <v>7441</v>
      </c>
      <c r="B10" t="s">
        <v>7523</v>
      </c>
    </row>
    <row r="11" spans="1:2">
      <c r="A11" t="s">
        <v>7442</v>
      </c>
      <c r="B11" t="s">
        <v>7523</v>
      </c>
    </row>
    <row r="12" spans="1:2">
      <c r="A12" t="s">
        <v>7443</v>
      </c>
      <c r="B12" t="s">
        <v>7523</v>
      </c>
    </row>
    <row r="13" spans="1:2">
      <c r="A13" t="s">
        <v>7444</v>
      </c>
      <c r="B13" t="s">
        <v>7524</v>
      </c>
    </row>
    <row r="14" spans="1:2">
      <c r="A14" t="s">
        <v>7445</v>
      </c>
      <c r="B14" t="s">
        <v>7518</v>
      </c>
    </row>
    <row r="15" spans="1:2">
      <c r="A15" t="s">
        <v>7446</v>
      </c>
      <c r="B15" t="s">
        <v>7518</v>
      </c>
    </row>
    <row r="16" spans="1:2">
      <c r="A16" t="s">
        <v>7447</v>
      </c>
      <c r="B16" t="s">
        <v>7525</v>
      </c>
    </row>
    <row r="17" spans="1:2">
      <c r="A17" t="s">
        <v>7448</v>
      </c>
      <c r="B17" t="s">
        <v>7525</v>
      </c>
    </row>
    <row r="18" spans="1:2">
      <c r="A18" t="s">
        <v>7449</v>
      </c>
      <c r="B18" t="s">
        <v>7526</v>
      </c>
    </row>
    <row r="19" spans="1:2">
      <c r="A19" t="s">
        <v>7450</v>
      </c>
      <c r="B19" t="s">
        <v>7527</v>
      </c>
    </row>
    <row r="20" spans="1:2">
      <c r="A20" t="s">
        <v>7451</v>
      </c>
      <c r="B20" t="s">
        <v>7528</v>
      </c>
    </row>
    <row r="21" spans="1:2">
      <c r="A21" t="s">
        <v>7452</v>
      </c>
      <c r="B21" t="s">
        <v>7518</v>
      </c>
    </row>
    <row r="22" spans="1:2">
      <c r="A22" t="s">
        <v>7453</v>
      </c>
      <c r="B22" t="s">
        <v>7524</v>
      </c>
    </row>
    <row r="23" spans="1:2">
      <c r="A23" t="s">
        <v>7454</v>
      </c>
      <c r="B23" t="s">
        <v>7525</v>
      </c>
    </row>
    <row r="24" spans="1:2">
      <c r="A24" t="s">
        <v>7455</v>
      </c>
      <c r="B24" t="s">
        <v>7525</v>
      </c>
    </row>
    <row r="25" spans="1:2">
      <c r="A25" t="s">
        <v>7456</v>
      </c>
      <c r="B25" t="s">
        <v>7527</v>
      </c>
    </row>
    <row r="26" spans="1:2">
      <c r="A26" t="s">
        <v>7457</v>
      </c>
      <c r="B26" t="s">
        <v>7529</v>
      </c>
    </row>
    <row r="27" spans="1:2">
      <c r="A27" t="s">
        <v>7458</v>
      </c>
      <c r="B27" t="s">
        <v>7530</v>
      </c>
    </row>
    <row r="28" spans="1:2">
      <c r="A28" t="s">
        <v>7465</v>
      </c>
      <c r="B28" t="s">
        <v>7531</v>
      </c>
    </row>
    <row r="29" spans="1:2">
      <c r="A29" t="s">
        <v>7469</v>
      </c>
      <c r="B29" t="s">
        <v>7540</v>
      </c>
    </row>
    <row r="30" spans="1:2">
      <c r="A30" t="s">
        <v>7470</v>
      </c>
      <c r="B30" t="s">
        <v>7532</v>
      </c>
    </row>
    <row r="31" spans="1:2">
      <c r="A31" t="s">
        <v>7472</v>
      </c>
      <c r="B31" t="s">
        <v>7532</v>
      </c>
    </row>
    <row r="32" spans="1:2">
      <c r="A32" t="s">
        <v>7473</v>
      </c>
      <c r="B32" t="s">
        <v>4100</v>
      </c>
    </row>
    <row r="33" spans="1:2">
      <c r="A33" t="s">
        <v>7474</v>
      </c>
      <c r="B33" t="s">
        <v>7533</v>
      </c>
    </row>
    <row r="34" spans="1:2">
      <c r="A34" t="s">
        <v>7475</v>
      </c>
      <c r="B34" t="s">
        <v>7533</v>
      </c>
    </row>
    <row r="35" spans="1:2">
      <c r="A35" t="s">
        <v>7476</v>
      </c>
      <c r="B35" t="s">
        <v>7533</v>
      </c>
    </row>
    <row r="36" spans="1:2">
      <c r="A36" t="s">
        <v>7477</v>
      </c>
      <c r="B36" t="s">
        <v>7534</v>
      </c>
    </row>
    <row r="37" spans="1:2">
      <c r="A37" t="s">
        <v>7478</v>
      </c>
      <c r="B37" t="s">
        <v>7534</v>
      </c>
    </row>
    <row r="38" spans="1:2">
      <c r="A38" t="s">
        <v>7479</v>
      </c>
      <c r="B38" t="s">
        <v>7534</v>
      </c>
    </row>
    <row r="39" spans="1:2">
      <c r="A39" t="s">
        <v>7481</v>
      </c>
      <c r="B39" t="s">
        <v>7534</v>
      </c>
    </row>
    <row r="40" spans="1:2">
      <c r="A40" t="s">
        <v>7482</v>
      </c>
      <c r="B40" t="s">
        <v>2463</v>
      </c>
    </row>
    <row r="41" spans="1:2">
      <c r="A41" t="s">
        <v>7483</v>
      </c>
      <c r="B41" t="s">
        <v>7534</v>
      </c>
    </row>
    <row r="42" spans="1:2">
      <c r="A42" t="s">
        <v>7486</v>
      </c>
      <c r="B42" t="s">
        <v>7459</v>
      </c>
    </row>
    <row r="43" spans="1:2">
      <c r="A43" t="s">
        <v>7465</v>
      </c>
      <c r="B43" t="s">
        <v>7531</v>
      </c>
    </row>
    <row r="44" spans="1:2">
      <c r="A44" t="s">
        <v>7488</v>
      </c>
      <c r="B44" t="s">
        <v>7516</v>
      </c>
    </row>
    <row r="45" spans="1:2">
      <c r="A45" t="s">
        <v>7489</v>
      </c>
      <c r="B45" t="s">
        <v>7535</v>
      </c>
    </row>
    <row r="46" spans="1:2">
      <c r="A46" t="s">
        <v>7490</v>
      </c>
      <c r="B46" t="s">
        <v>7536</v>
      </c>
    </row>
    <row r="47" spans="1:2">
      <c r="A47" t="s">
        <v>7491</v>
      </c>
      <c r="B47" t="s">
        <v>7537</v>
      </c>
    </row>
    <row r="48" spans="1:2">
      <c r="A48" t="s">
        <v>7492</v>
      </c>
      <c r="B48" t="s">
        <v>1575</v>
      </c>
    </row>
    <row r="49" spans="1:2">
      <c r="A49" t="s">
        <v>7493</v>
      </c>
      <c r="B49" t="s">
        <v>7538</v>
      </c>
    </row>
    <row r="50" spans="1:2">
      <c r="A50" t="s">
        <v>7494</v>
      </c>
      <c r="B50" t="s">
        <v>7539</v>
      </c>
    </row>
    <row r="51" spans="1:2">
      <c r="A51" t="s">
        <v>7495</v>
      </c>
      <c r="B51" t="s">
        <v>2592</v>
      </c>
    </row>
    <row r="52" spans="1:2">
      <c r="A52" t="s">
        <v>7496</v>
      </c>
      <c r="B52" t="s">
        <v>2592</v>
      </c>
    </row>
    <row r="53" spans="1:2">
      <c r="A53" t="s">
        <v>7497</v>
      </c>
      <c r="B53" t="s">
        <v>2592</v>
      </c>
    </row>
    <row r="54" spans="1:2">
      <c r="A54" t="s">
        <v>7498</v>
      </c>
      <c r="B54" t="s">
        <v>2592</v>
      </c>
    </row>
    <row r="55" spans="1:2">
      <c r="A55" t="s">
        <v>7499</v>
      </c>
      <c r="B55" t="s">
        <v>2592</v>
      </c>
    </row>
    <row r="56" spans="1:2">
      <c r="A56" t="s">
        <v>7500</v>
      </c>
      <c r="B56" t="s">
        <v>2592</v>
      </c>
    </row>
    <row r="57" spans="1:2">
      <c r="A57" t="s">
        <v>7501</v>
      </c>
      <c r="B57" t="s">
        <v>2592</v>
      </c>
    </row>
    <row r="58" spans="1:2">
      <c r="A58" t="s">
        <v>7502</v>
      </c>
      <c r="B58" t="s">
        <v>2592</v>
      </c>
    </row>
    <row r="59" spans="1:2">
      <c r="A59" t="s">
        <v>7503</v>
      </c>
      <c r="B59" t="s">
        <v>2592</v>
      </c>
    </row>
    <row r="60" spans="1:2">
      <c r="A60" t="s">
        <v>7504</v>
      </c>
      <c r="B60" t="s">
        <v>2592</v>
      </c>
    </row>
    <row r="61" spans="1:2">
      <c r="A61" t="s">
        <v>7505</v>
      </c>
      <c r="B61" t="s">
        <v>2592</v>
      </c>
    </row>
    <row r="62" spans="1:2">
      <c r="A62" t="s">
        <v>7506</v>
      </c>
      <c r="B62" t="s">
        <v>2592</v>
      </c>
    </row>
    <row r="63" spans="1:2">
      <c r="A63" t="s">
        <v>3066</v>
      </c>
      <c r="B63" t="s">
        <v>2592</v>
      </c>
    </row>
    <row r="64" spans="1:2">
      <c r="A64" t="s">
        <v>3067</v>
      </c>
      <c r="B64" t="s">
        <v>2592</v>
      </c>
    </row>
    <row r="65" spans="1:2">
      <c r="A65" t="s">
        <v>3068</v>
      </c>
      <c r="B65" t="s">
        <v>2592</v>
      </c>
    </row>
    <row r="66" spans="1:2">
      <c r="A66" t="s">
        <v>7507</v>
      </c>
      <c r="B66" t="s">
        <v>2592</v>
      </c>
    </row>
    <row r="67" spans="1:2">
      <c r="A67" t="s">
        <v>7508</v>
      </c>
      <c r="B67" t="s">
        <v>2463</v>
      </c>
    </row>
    <row r="68" spans="1:2">
      <c r="A68" t="s">
        <v>7509</v>
      </c>
      <c r="B68" t="s">
        <v>2463</v>
      </c>
    </row>
    <row r="69" spans="1:2">
      <c r="A69" t="s">
        <v>7510</v>
      </c>
      <c r="B69" t="s">
        <v>2463</v>
      </c>
    </row>
    <row r="70" spans="1:2">
      <c r="A70" t="s">
        <v>7511</v>
      </c>
      <c r="B70" t="s">
        <v>2463</v>
      </c>
    </row>
    <row r="71" spans="1:2">
      <c r="A71" t="s">
        <v>7512</v>
      </c>
      <c r="B71" t="s">
        <v>2463</v>
      </c>
    </row>
    <row r="72" spans="1:2">
      <c r="A72" t="s">
        <v>7513</v>
      </c>
      <c r="B72" t="s">
        <v>2463</v>
      </c>
    </row>
    <row r="73" spans="1:2">
      <c r="A73" t="s">
        <v>7514</v>
      </c>
      <c r="B73" t="s">
        <v>2463</v>
      </c>
    </row>
    <row r="74" spans="1:2">
      <c r="A74" t="s">
        <v>7515</v>
      </c>
      <c r="B74" t="s">
        <v>2463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96109-2AC8-478D-80E3-2D788CAA96EB}">
  <dimension ref="A1:B28"/>
  <sheetViews>
    <sheetView workbookViewId="0">
      <selection activeCell="A10" sqref="A10"/>
    </sheetView>
  </sheetViews>
  <sheetFormatPr defaultRowHeight="15"/>
  <cols>
    <col min="1" max="1" width="52.28515625" bestFit="1" customWidth="1"/>
    <col min="2" max="2" width="27.7109375" bestFit="1" customWidth="1"/>
  </cols>
  <sheetData>
    <row r="1" spans="1:2">
      <c r="A1" t="s">
        <v>6742</v>
      </c>
    </row>
    <row r="2" spans="1:2">
      <c r="A2" t="s">
        <v>6743</v>
      </c>
    </row>
    <row r="3" spans="1:2">
      <c r="A3" t="s">
        <v>7342</v>
      </c>
      <c r="B3" t="s">
        <v>7407</v>
      </c>
    </row>
    <row r="4" spans="1:2">
      <c r="A4" t="s">
        <v>7366</v>
      </c>
      <c r="B4" t="s">
        <v>7365</v>
      </c>
    </row>
    <row r="5" spans="1:2">
      <c r="A5" t="s">
        <v>7367</v>
      </c>
      <c r="B5" t="s">
        <v>7408</v>
      </c>
    </row>
    <row r="6" spans="1:2">
      <c r="A6" t="s">
        <v>7361</v>
      </c>
      <c r="B6" t="s">
        <v>6828</v>
      </c>
    </row>
    <row r="7" spans="1:2">
      <c r="A7" t="s">
        <v>7362</v>
      </c>
      <c r="B7" t="s">
        <v>426</v>
      </c>
    </row>
    <row r="8" spans="1:2">
      <c r="A8" t="s">
        <v>7363</v>
      </c>
      <c r="B8" t="s">
        <v>426</v>
      </c>
    </row>
    <row r="9" spans="1:2">
      <c r="A9" t="s">
        <v>7378</v>
      </c>
      <c r="B9" t="s">
        <v>7406</v>
      </c>
    </row>
    <row r="10" spans="1:2">
      <c r="A10" t="s">
        <v>7412</v>
      </c>
      <c r="B10" t="s">
        <v>7409</v>
      </c>
    </row>
    <row r="11" spans="1:2">
      <c r="A11" t="s">
        <v>7413</v>
      </c>
      <c r="B11" t="s">
        <v>7409</v>
      </c>
    </row>
    <row r="12" spans="1:2">
      <c r="A12" t="s">
        <v>7414</v>
      </c>
      <c r="B12" t="s">
        <v>7409</v>
      </c>
    </row>
    <row r="13" spans="1:2">
      <c r="A13" t="s">
        <v>7415</v>
      </c>
      <c r="B13" t="s">
        <v>7409</v>
      </c>
    </row>
    <row r="14" spans="1:2">
      <c r="A14" t="s">
        <v>7416</v>
      </c>
      <c r="B14" t="s">
        <v>7409</v>
      </c>
    </row>
    <row r="15" spans="1:2">
      <c r="A15" t="s">
        <v>7414</v>
      </c>
      <c r="B15" t="s">
        <v>7409</v>
      </c>
    </row>
    <row r="16" spans="1:2">
      <c r="A16" t="s">
        <v>7417</v>
      </c>
      <c r="B16" t="s">
        <v>7409</v>
      </c>
    </row>
    <row r="17" spans="1:2">
      <c r="A17" t="s">
        <v>7418</v>
      </c>
      <c r="B17" t="s">
        <v>7409</v>
      </c>
    </row>
    <row r="18" spans="1:2">
      <c r="A18" t="s">
        <v>7419</v>
      </c>
      <c r="B18" t="s">
        <v>7409</v>
      </c>
    </row>
    <row r="19" spans="1:2">
      <c r="A19" t="s">
        <v>7420</v>
      </c>
      <c r="B19" t="s">
        <v>7409</v>
      </c>
    </row>
    <row r="20" spans="1:2">
      <c r="A20" t="s">
        <v>7421</v>
      </c>
      <c r="B20" t="s">
        <v>7409</v>
      </c>
    </row>
    <row r="21" spans="1:2">
      <c r="A21" t="s">
        <v>7422</v>
      </c>
      <c r="B21" t="s">
        <v>7409</v>
      </c>
    </row>
    <row r="22" spans="1:2">
      <c r="A22" t="s">
        <v>7423</v>
      </c>
      <c r="B22" t="s">
        <v>7409</v>
      </c>
    </row>
    <row r="23" spans="1:2">
      <c r="A23" t="s">
        <v>7424</v>
      </c>
      <c r="B23" t="s">
        <v>7409</v>
      </c>
    </row>
    <row r="24" spans="1:2">
      <c r="A24" t="s">
        <v>7425</v>
      </c>
      <c r="B24" t="s">
        <v>7409</v>
      </c>
    </row>
    <row r="25" spans="1:2">
      <c r="A25" t="s">
        <v>7426</v>
      </c>
      <c r="B25" t="s">
        <v>7409</v>
      </c>
    </row>
    <row r="26" spans="1:2">
      <c r="A26" t="s">
        <v>7428</v>
      </c>
      <c r="B26" t="s">
        <v>7431</v>
      </c>
    </row>
    <row r="27" spans="1:2">
      <c r="A27" t="s">
        <v>7429</v>
      </c>
      <c r="B27" t="s">
        <v>7431</v>
      </c>
    </row>
    <row r="28" spans="1:2">
      <c r="A28" t="s">
        <v>7430</v>
      </c>
      <c r="B28" t="s">
        <v>7432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AE188-DEAB-495D-A481-0C678FA34055}">
  <dimension ref="A1:B17"/>
  <sheetViews>
    <sheetView workbookViewId="0">
      <selection activeCell="A6" sqref="A6"/>
    </sheetView>
  </sheetViews>
  <sheetFormatPr defaultRowHeight="15"/>
  <cols>
    <col min="1" max="1" width="52.28515625" bestFit="1" customWidth="1"/>
    <col min="2" max="2" width="28.85546875" bestFit="1" customWidth="1"/>
  </cols>
  <sheetData>
    <row r="1" spans="1:2">
      <c r="A1" t="s">
        <v>3430</v>
      </c>
      <c r="B1" t="s">
        <v>2371</v>
      </c>
    </row>
    <row r="2" spans="1:2">
      <c r="A2" t="s">
        <v>7378</v>
      </c>
      <c r="B2" t="s">
        <v>7406</v>
      </c>
    </row>
    <row r="3" spans="1:2">
      <c r="A3" t="s">
        <v>2089</v>
      </c>
      <c r="B3" t="s">
        <v>2092</v>
      </c>
    </row>
    <row r="4" spans="1:2">
      <c r="A4" t="s">
        <v>2090</v>
      </c>
      <c r="B4" t="s">
        <v>2093</v>
      </c>
    </row>
    <row r="5" spans="1:2">
      <c r="A5" t="s">
        <v>7382</v>
      </c>
      <c r="B5" t="s">
        <v>7191</v>
      </c>
    </row>
    <row r="6" spans="1:2">
      <c r="A6" t="s">
        <v>7383</v>
      </c>
      <c r="B6" t="s">
        <v>7191</v>
      </c>
    </row>
    <row r="7" spans="1:2">
      <c r="A7" t="s">
        <v>7385</v>
      </c>
    </row>
    <row r="8" spans="1:2">
      <c r="A8" t="s">
        <v>7386</v>
      </c>
      <c r="B8" s="149" t="s">
        <v>4100</v>
      </c>
    </row>
    <row r="9" spans="1:2">
      <c r="A9" t="s">
        <v>7387</v>
      </c>
      <c r="B9" t="s">
        <v>7401</v>
      </c>
    </row>
    <row r="10" spans="1:2">
      <c r="A10" t="s">
        <v>7388</v>
      </c>
      <c r="B10" t="s">
        <v>7402</v>
      </c>
    </row>
    <row r="11" spans="1:2">
      <c r="A11" t="s">
        <v>7389</v>
      </c>
      <c r="B11" t="s">
        <v>7302</v>
      </c>
    </row>
    <row r="12" spans="1:2">
      <c r="A12" t="s">
        <v>7390</v>
      </c>
      <c r="B12" t="s">
        <v>7403</v>
      </c>
    </row>
    <row r="13" spans="1:2">
      <c r="A13" t="s">
        <v>7391</v>
      </c>
      <c r="B13" t="s">
        <v>7404</v>
      </c>
    </row>
    <row r="14" spans="1:2">
      <c r="A14" t="s">
        <v>2089</v>
      </c>
      <c r="B14" t="s">
        <v>2092</v>
      </c>
    </row>
    <row r="15" spans="1:2">
      <c r="A15" t="s">
        <v>2090</v>
      </c>
      <c r="B15" t="s">
        <v>2093</v>
      </c>
    </row>
    <row r="16" spans="1:2">
      <c r="A16" t="s">
        <v>7397</v>
      </c>
      <c r="B16" t="s">
        <v>3382</v>
      </c>
    </row>
    <row r="17" spans="1:2">
      <c r="A17" t="s">
        <v>7398</v>
      </c>
      <c r="B17" t="s">
        <v>3381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328FA-BC6C-41CA-A547-B93B607F92D0}">
  <dimension ref="A1:C14"/>
  <sheetViews>
    <sheetView workbookViewId="0">
      <selection sqref="A1:C14"/>
    </sheetView>
  </sheetViews>
  <sheetFormatPr defaultRowHeight="15"/>
  <cols>
    <col min="1" max="1" width="11.28515625" bestFit="1" customWidth="1"/>
    <col min="3" max="3" width="11.28515625" bestFit="1" customWidth="1"/>
  </cols>
  <sheetData>
    <row r="1" spans="1:3">
      <c r="A1">
        <v>1000</v>
      </c>
      <c r="B1" t="s">
        <v>7405</v>
      </c>
    </row>
    <row r="2" spans="1:3">
      <c r="A2" t="s">
        <v>2593</v>
      </c>
      <c r="C2" s="180" t="s">
        <v>7578</v>
      </c>
    </row>
    <row r="3" spans="1:3">
      <c r="A3" t="s">
        <v>7350</v>
      </c>
      <c r="C3" s="179" t="s">
        <v>7579</v>
      </c>
    </row>
    <row r="4" spans="1:3">
      <c r="A4" t="s">
        <v>631</v>
      </c>
      <c r="C4" s="180" t="s">
        <v>7553</v>
      </c>
    </row>
    <row r="5" spans="1:3">
      <c r="A5" t="s">
        <v>631</v>
      </c>
      <c r="C5" s="179" t="s">
        <v>7554</v>
      </c>
    </row>
    <row r="6" spans="1:3">
      <c r="A6" t="s">
        <v>631</v>
      </c>
      <c r="C6" s="180" t="s">
        <v>7555</v>
      </c>
    </row>
    <row r="7" spans="1:3">
      <c r="A7" t="s">
        <v>631</v>
      </c>
      <c r="C7" s="179" t="s">
        <v>7556</v>
      </c>
    </row>
    <row r="8" spans="1:3">
      <c r="A8" t="s">
        <v>631</v>
      </c>
      <c r="C8" s="180" t="s">
        <v>7557</v>
      </c>
    </row>
    <row r="9" spans="1:3">
      <c r="A9" t="s">
        <v>631</v>
      </c>
      <c r="C9" s="179" t="s">
        <v>7558</v>
      </c>
    </row>
    <row r="10" spans="1:3">
      <c r="A10" t="s">
        <v>631</v>
      </c>
      <c r="C10" s="180" t="s">
        <v>7559</v>
      </c>
    </row>
    <row r="11" spans="1:3">
      <c r="A11" t="s">
        <v>631</v>
      </c>
      <c r="C11" s="179" t="s">
        <v>7560</v>
      </c>
    </row>
    <row r="12" spans="1:3">
      <c r="A12" t="s">
        <v>631</v>
      </c>
      <c r="C12" s="180" t="s">
        <v>7561</v>
      </c>
    </row>
    <row r="13" spans="1:3">
      <c r="A13" t="s">
        <v>631</v>
      </c>
      <c r="C13" t="s">
        <v>7562</v>
      </c>
    </row>
    <row r="14" spans="1:3">
      <c r="A14" t="s">
        <v>631</v>
      </c>
      <c r="C14" t="s">
        <v>7563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A5DB4-FC2A-458D-BDAB-15D0EA7B16C8}">
  <sheetPr codeName="Sheet11"/>
  <dimension ref="A1:B39"/>
  <sheetViews>
    <sheetView workbookViewId="0">
      <selection activeCell="A29" sqref="A29"/>
    </sheetView>
  </sheetViews>
  <sheetFormatPr defaultRowHeight="15"/>
  <cols>
    <col min="1" max="1" width="30.42578125" bestFit="1" customWidth="1"/>
    <col min="2" max="2" width="28.85546875" bestFit="1" customWidth="1"/>
    <col min="3" max="3" width="16.42578125" bestFit="1" customWidth="1"/>
  </cols>
  <sheetData>
    <row r="1" spans="1:2">
      <c r="A1" t="s">
        <v>2089</v>
      </c>
      <c r="B1" t="s">
        <v>2092</v>
      </c>
    </row>
    <row r="2" spans="1:2">
      <c r="A2" t="s">
        <v>2090</v>
      </c>
      <c r="B2" t="s">
        <v>2093</v>
      </c>
    </row>
    <row r="3" spans="1:2">
      <c r="A3" t="s">
        <v>7382</v>
      </c>
      <c r="B3" t="s">
        <v>7191</v>
      </c>
    </row>
    <row r="4" spans="1:2">
      <c r="A4" t="s">
        <v>7383</v>
      </c>
      <c r="B4" t="s">
        <v>7191</v>
      </c>
    </row>
    <row r="5" spans="1:2">
      <c r="A5" t="s">
        <v>7385</v>
      </c>
    </row>
    <row r="6" spans="1:2">
      <c r="A6" t="s">
        <v>7386</v>
      </c>
      <c r="B6" s="149" t="s">
        <v>4100</v>
      </c>
    </row>
    <row r="7" spans="1:2">
      <c r="A7" t="s">
        <v>7387</v>
      </c>
      <c r="B7" t="s">
        <v>7401</v>
      </c>
    </row>
    <row r="8" spans="1:2">
      <c r="A8" t="s">
        <v>7388</v>
      </c>
      <c r="B8" t="s">
        <v>7402</v>
      </c>
    </row>
    <row r="9" spans="1:2">
      <c r="A9" t="s">
        <v>7389</v>
      </c>
      <c r="B9" t="s">
        <v>7302</v>
      </c>
    </row>
    <row r="10" spans="1:2">
      <c r="A10" t="s">
        <v>7390</v>
      </c>
      <c r="B10" t="s">
        <v>7403</v>
      </c>
    </row>
    <row r="11" spans="1:2">
      <c r="A11" t="s">
        <v>7391</v>
      </c>
      <c r="B11" t="s">
        <v>7404</v>
      </c>
    </row>
    <row r="12" spans="1:2">
      <c r="A12" t="s">
        <v>2089</v>
      </c>
      <c r="B12" t="s">
        <v>2092</v>
      </c>
    </row>
    <row r="13" spans="1:2">
      <c r="A13" t="s">
        <v>2090</v>
      </c>
      <c r="B13" t="s">
        <v>2093</v>
      </c>
    </row>
    <row r="14" spans="1:2">
      <c r="A14" t="s">
        <v>7397</v>
      </c>
      <c r="B14" t="s">
        <v>3382</v>
      </c>
    </row>
    <row r="15" spans="1:2">
      <c r="A15" t="s">
        <v>7398</v>
      </c>
      <c r="B15" t="s">
        <v>3381</v>
      </c>
    </row>
    <row r="20" spans="1:2">
      <c r="A20" t="s">
        <v>7400</v>
      </c>
    </row>
    <row r="29" spans="1:2">
      <c r="B29" t="s">
        <v>7553</v>
      </c>
    </row>
    <row r="30" spans="1:2">
      <c r="B30" t="s">
        <v>7554</v>
      </c>
    </row>
    <row r="31" spans="1:2">
      <c r="B31" t="s">
        <v>7555</v>
      </c>
    </row>
    <row r="32" spans="1:2">
      <c r="B32" t="s">
        <v>7556</v>
      </c>
    </row>
    <row r="33" spans="2:2">
      <c r="B33" t="s">
        <v>7557</v>
      </c>
    </row>
    <row r="34" spans="2:2">
      <c r="B34" t="s">
        <v>7558</v>
      </c>
    </row>
    <row r="35" spans="2:2">
      <c r="B35" t="s">
        <v>7559</v>
      </c>
    </row>
    <row r="36" spans="2:2">
      <c r="B36" t="s">
        <v>7560</v>
      </c>
    </row>
    <row r="37" spans="2:2">
      <c r="B37" t="s">
        <v>7561</v>
      </c>
    </row>
    <row r="38" spans="2:2">
      <c r="B38" t="s">
        <v>7562</v>
      </c>
    </row>
    <row r="39" spans="2:2">
      <c r="B39" t="s">
        <v>7563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6"/>
  <sheetViews>
    <sheetView topLeftCell="A144" workbookViewId="0">
      <selection activeCell="A145" sqref="A145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6982</v>
      </c>
      <c r="B143" s="149" t="s">
        <v>569</v>
      </c>
    </row>
    <row r="144" spans="1:2">
      <c r="A144" s="173" t="s">
        <v>6990</v>
      </c>
      <c r="B144" t="s">
        <v>6998</v>
      </c>
    </row>
    <row r="145" spans="1:2">
      <c r="A145" s="174" t="s">
        <v>7193</v>
      </c>
      <c r="B145" t="s">
        <v>7194</v>
      </c>
    </row>
    <row r="146" spans="1:2">
      <c r="A146" s="177" t="s">
        <v>7411</v>
      </c>
      <c r="B146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KPI</vt:lpstr>
      <vt:lpstr>Report</vt:lpstr>
      <vt:lpstr>OK</vt:lpstr>
      <vt:lpstr>PROC</vt:lpstr>
      <vt:lpstr>Sheet7</vt:lpstr>
      <vt:lpstr>Sheet6</vt:lpstr>
      <vt:lpstr>Sheet5</vt:lpstr>
      <vt:lpstr>Sheet4</vt:lpstr>
      <vt:lpstr>Sheet3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2026-01-06T16:04:34Z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