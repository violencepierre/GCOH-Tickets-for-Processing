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6203B6E9-452D-4963-9295-F747B11A5DE7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40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115" i="1" l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<sst xmlns="http://schemas.openxmlformats.org/spreadsheetml/2006/main" count="45243" uniqueCount="7380">
  <si>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</si>
  <si>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</si>
  <si>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</si>
  <si>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</si>
  <si>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</si>
  <si>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</si>
  <si>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</si>
  <si>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</si>
  <si>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</si>
  <si>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</si>
  <si>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</si>
  <si>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</si>
  <si>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</si>
  <si>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</si>
  <si>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</si>
  <si>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</si>
  <si>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</si>
  <si>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</si>
  <si>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</si>
  <si>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</si>
  <si>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</si>
  <si>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</si>
  <si>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</si>
  <si>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</si>
  <si>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</si>
  <si>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</si>
  <si>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</si>
  <si>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</si>
  <si>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</si>
  <si>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</si>
  <si>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</si>
  <si>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</si>
  <si>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</si>
  <si>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</si>
  <si>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</si>
  <si>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</si>
  <si>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</si>
  <si>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</si>
  <si>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</si>
  <si>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</si>
  <si>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</si>
  <si>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</si>
  <si>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</si>
  <si>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</si>
  <si>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</si>
  <si>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</si>
  <si>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</si>
  <si>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</si>
  <si>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</si>
  <si>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</si>
  <si>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</si>
  <si>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</si>
  <si>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</si>
  <si>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</si>
  <si>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</si>
  <si>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</si>
  <si>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</si>
  <si>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</si>
  <si>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</si>
  <si>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</si>
  <si>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</si>
  <si>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</si>
  <si>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</si>
  <si>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</si>
  <si>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</si>
  <si>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</si>
  <si>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</si>
  <si>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</si>
  <si>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</si>
  <si>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</si>
  <si>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</si>
  <si>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</si>
  <si>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</si>
  <si>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</si>
  <si>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</si>
  <si>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</si>
  <si>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</si>
  <si>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</si>
  <si>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</si>
  <si>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</si>
  <si>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</si>
  <si>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</si>
  <si>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</si>
  <si>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</si>
  <si>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</si>
  <si>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</si>
  <si>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</si>
  <si>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</si>
  <si>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</si>
  <si>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</si>
  <si>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</si>
  <si>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</si>
  <si>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</si>
  <si>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</si>
  <si>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</si>
  <si>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</si>
  <si>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</si>
  <si>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</si>
  <si>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</si>
  <si>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</si>
  <si>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</si>
  <si>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</si>
  <si>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</si>
  <si>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</si>
  <si>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</si>
  <si>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</si>
  <si>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</si>
  <si>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</si>
  <si>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</si>
  <si>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</si>
  <si>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</si>
  <si>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</si>
  <si>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</si>
  <si>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</si>
  <si>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</si>
  <si>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</si>
  <si>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</si>
  <si>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</si>
  <si>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</si>
  <si>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</si>
  <si>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</si>
  <si>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</si>
  <si>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</si>
  <si>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</si>
  <si>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</si>
  <si>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</si>
  <si>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</si>
  <si>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</si>
  <si>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</si>
  <si>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</si>
  <si>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</si>
  <si>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</si>
  <si>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</si>
  <si>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</si>
  <si>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</si>
  <si>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</si>
  <si>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</si>
  <si>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</si>
  <si>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</si>
  <si>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</si>
  <si>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</si>
  <si>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</si>
  <si>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</si>
  <si>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</si>
  <si>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</si>
  <si>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</si>
  <si>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</si>
  <si>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</si>
  <si>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</si>
  <si>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</si>
  <si>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</si>
  <si>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</si>
  <si>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</si>
  <si>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</si>
  <si>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</si>
  <si>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</si>
  <si>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</si>
  <si>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</si>
  <si>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</si>
  <si>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</si>
  <si>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</si>
  <si>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</si>
  <si>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</si>
  <si>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</si>
  <si>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</si>
  <si>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</si>
  <si>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</si>
  <si>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</si>
  <si>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</si>
  <si>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</si>
  <si>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</si>
  <si>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</si>
  <si>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</si>
  <si>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</si>
  <si>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</si>
  <si>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</si>
  <si>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</si>
  <si>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</si>
  <si>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</si>
  <si>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</si>
  <si>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</si>
  <si>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</si>
  <si>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</si>
  <si>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</si>
  <si>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</si>
  <si>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</si>
  <si>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</si>
  <si>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</si>
  <si>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</si>
  <si>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</si>
  <si>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</si>
  <si>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</si>
  <si>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</si>
  <si>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</si>
  <si>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</si>
  <si>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</si>
  <si>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</si>
  <si>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</si>
  <si>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</si>
  <si>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</si>
  <si>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</si>
  <si>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</si>
  <si>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</si>
  <si>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</si>
  <si>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</si>
  <si>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</si>
  <si>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</si>
  <si>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</si>
  <si>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</si>
  <si>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</si>
  <si>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</si>
  <si>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</si>
  <si>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</si>
  <si>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</si>
  <si>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</si>
  <si>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</si>
  <si>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</si>
  <si>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</si>
  <si>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</si>
  <si>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</si>
  <si>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</si>
  <si>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</si>
  <si>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</si>
  <si>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</si>
  <si>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</si>
  <si>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</si>
  <si>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</si>
  <si>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</si>
  <si>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</si>
  <si>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</si>
  <si>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</si>
  <si>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</si>
  <si>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</si>
  <si>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</si>
  <si>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</si>
  <si>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</si>
  <si>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</si>
  <si>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</si>
  <si>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</si>
  <si>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</si>
  <si>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</si>
  <si>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</si>
  <si>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</si>
  <si>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</si>
  <si>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</si>
  <si>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</si>
  <si>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</si>
  <si>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</si>
  <si>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</si>
  <si>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</si>
  <si>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</si>
  <si>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</si>
  <si>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</si>
  <si>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</si>
  <si>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</si>
  <si>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</si>
  <si>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</si>
  <si>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</si>
  <si>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</si>
  <si>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</si>
  <si>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</si>
  <si>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</si>
  <si>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</si>
  <si>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</si>
  <si>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</si>
  <si>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</si>
  <si>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</si>
  <si>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</si>
  <si>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</si>
  <si>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</si>
  <si>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</si>
  <si>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</si>
  <si>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</si>
  <si>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</si>
  <si>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</si>
  <si>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</si>
  <si>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</si>
  <si>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</si>
  <si>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</si>
  <si>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</si>
  <si>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</si>
  <si>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</si>
  <si>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</si>
  <si>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</si>
  <si>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</si>
  <si>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</si>
  <si>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</si>
  <si>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</si>
  <si>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</si>
  <si>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</si>
  <si>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</si>
  <si>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</si>
  <si>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</si>
  <si>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</si>
  <si>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</si>
  <si>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</si>
  <si>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</si>
  <si>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</si>
  <si>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</si>
  <si>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</si>
  <si>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</si>
  <si>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</si>
  <si>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</si>
  <si>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</si>
  <si>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</si>
  <si>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</si>
  <si>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</si>
  <si>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</si>
  <si>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</si>
  <si>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</si>
  <si>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</si>
  <si>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</si>
  <si>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</si>
  <si>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</si>
  <si>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</si>
  <si>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</si>
  <si>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</si>
  <si>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</si>
  <si>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</si>
  <si>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</si>
  <si>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</si>
  <si>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</si>
  <si>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</si>
  <si>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</si>
  <si>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</si>
  <si>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</si>
  <si>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</si>
  <si>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</si>
  <si>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</si>
  <si>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</si>
  <si>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</si>
  <si>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</si>
  <si>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</si>
  <si>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</si>
  <si>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</si>
  <si>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</si>
  <si>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</si>
  <si>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</si>
  <si>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</si>
  <si>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</si>
  <si>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</si>
  <si>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</si>
  <si>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</si>
  <si>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</si>
  <si>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</si>
  <si>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</si>
  <si>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</si>
  <si>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</si>
  <si>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</si>
  <si>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</si>
  <si>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</si>
  <si>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</si>
  <si>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</si>
  <si>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</si>
  <si>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</si>
  <si>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</si>
  <si>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</si>
  <si>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</si>
  <si>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</si>
  <si>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</si>
  <si>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</si>
  <si>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</si>
  <si>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</si>
  <si>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</si>
  <si>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</si>
  <si>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</si>
  <si>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</si>
  <si>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</si>
  <si>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</si>
  <si>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</si>
  <si>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</si>
  <si>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</si>
  <si>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</si>
  <si>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</si>
  <si>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</si>
  <si>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</si>
  <si>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</si>
  <si>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</si>
  <si>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</si>
  <si>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</si>
  <si>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</si>
  <si>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</si>
  <si>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</si>
  <si>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</si>
  <si>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</si>
  <si>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</si>
  <si>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</si>
  <si>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</si>
  <si>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</si>
  <si>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</si>
  <si>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</si>
  <si>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</si>
  <si>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</si>
  <si>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</si>
  <si>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</si>
  <si>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</si>
  <si>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</si>
  <si>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</si>
  <si>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</si>
  <si>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</si>
  <si>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</si>
  <si>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</si>
  <si>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</si>
  <si>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</si>
  <si>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</si>
  <si>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</si>
  <si>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</si>
  <si>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</si>
  <si>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</si>
  <si>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</si>
  <si>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</si>
  <si>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</si>
  <si>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</si>
  <si>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</si>
  <si>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</si>
  <si>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</si>
  <si>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</si>
  <si>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</si>
  <si>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</si>
  <si>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</si>
  <si>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</si>
  <si>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</si>
  <si>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</si>
  <si>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</si>
  <si>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</si>
  <si>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</si>
  <si>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</si>
  <si>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</si>
  <si>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</si>
  <si>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</si>
  <si>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</si>
  <si>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</si>
  <si>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</si>
  <si>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</si>
  <si>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</si>
  <si>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</si>
  <si>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</si>
  <si>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</si>
  <si>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</si>
  <si>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</si>
  <si>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</si>
  <si>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</si>
  <si>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</si>
  <si>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</si>
  <si>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</si>
  <si>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</si>
  <si>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</si>
  <si>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</si>
  <si>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</si>
  <si>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</si>
  <si>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</si>
  <si>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</si>
  <si>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</si>
  <si>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</si>
  <si>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</si>
  <si>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</si>
  <si>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</si>
  <si>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</si>
  <si>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</si>
  <si>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</si>
  <si>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</si>
  <si>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</si>
  <si>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</si>
  <si>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</si>
  <si>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</si>
  <si>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</si>
  <si>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</si>
  <si>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</si>
  <si>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</si>
  <si>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</si>
  <si>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</si>
  <si>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</si>
  <si>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</si>
  <si>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</si>
  <si>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</si>
  <si>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</si>
  <si>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</si>
  <si>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</si>
  <si>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</si>
  <si>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</si>
  <si>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</si>
  <si>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</si>
  <si>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</si>
  <si>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</si>
  <si>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</si>
  <si>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</si>
  <si>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</si>
  <si>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</si>
  <si>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</si>
  <si>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</si>
  <si>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</si>
  <si>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</si>
  <si>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</si>
  <si>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</si>
  <si>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</si>
  <si>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</si>
  <si>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</si>
  <si>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</si>
  <si>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</si>
  <si>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</si>
  <si>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</si>
  <si>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</si>
  <si>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</si>
  <si>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</si>
  <si>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</si>
  <si>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</si>
  <si>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</si>
  <si>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</si>
  <si>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</si>
  <si>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</si>
  <si>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</si>
  <si>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</si>
  <si>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</si>
  <si>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</si>
  <si>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</si>
  <si>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</si>
  <si>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</si>
  <si>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</si>
  <si>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</si>
  <si>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</si>
  <si>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</si>
  <si>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</si>
  <si>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</si>
  <si>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</si>
  <si>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</si>
  <si>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</si>
  <si>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</si>
  <si>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</si>
  <si>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</si>
  <si>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</si>
  <si>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</si>
  <si>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</si>
  <si>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</si>
  <si>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</si>
  <si>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</si>
  <si>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</si>
  <si>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</si>
  <si>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</si>
  <si>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</si>
  <si>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</si>
  <si>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</si>
  <si>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</si>
  <si>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</si>
  <si>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</si>
  <si>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</si>
  <si>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</si>
  <si>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</si>
  <si>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</si>
  <si>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</si>
  <si>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</si>
  <si>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</si>
  <si>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</si>
  <si>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</si>
  <si>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</si>
  <si>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</si>
  <si>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</si>
  <si>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</si>
  <si>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</si>
  <si>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</si>
  <si>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</si>
  <si>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</si>
  <si>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</si>
  <si>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</si>
  <si>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</si>
  <si>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</si>
  <si>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</si>
  <si>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</si>
  <si>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</si>
  <si>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</si>
  <si>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</si>
  <si>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</si>
  <si>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</si>
  <si>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</si>
  <si>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</si>
  <si>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</si>
  <si>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</si>
  <si>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</si>
  <si>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</si>
  <si>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</si>
  <si>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</si>
  <si>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</si>
  <si>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</si>
  <si>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</si>
  <si>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</si>
  <si>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</si>
  <si>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</si>
  <si>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</si>
  <si>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</si>
  <si>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</si>
  <si>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</si>
  <si>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</si>
  <si>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</si>
  <si>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</si>
  <si>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</si>
  <si>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</si>
  <si>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</si>
  <si>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</si>
  <si>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</si>
  <si>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</si>
  <si>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</si>
  <si>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</si>
  <si>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</si>
  <si>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</si>
  <si>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</si>
  <si>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</si>
  <si>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</si>
  <si>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</si>
  <si>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</si>
  <si>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</si>
  <si>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</si>
  <si>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</si>
  <si>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</si>
  <si>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</si>
  <si>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</si>
  <si>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</si>
  <si>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</si>
  <si>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</si>
  <si>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</si>
  <si>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</si>
  <si>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</si>
  <si>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</si>
  <si>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</si>
  <si>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</si>
  <si>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</si>
  <si>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</si>
  <si>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</si>
  <si>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</si>
  <si>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</si>
  <si>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</si>
  <si>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</si>
  <si>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</si>
  <si>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</si>
  <si>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</si>
  <si>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</si>
  <si>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</si>
  <si>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</si>
  <si>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</si>
  <si>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</si>
  <si>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</si>
  <si>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</si>
  <si>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</si>
  <si>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</si>
  <si>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</si>
  <si>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</si>
  <si>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</si>
  <si>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</si>
  <si>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</si>
  <si>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</si>
  <si>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</si>
  <si>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</si>
  <si>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</si>
  <si>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</si>
  <si>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</si>
  <si>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</si>
  <si>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</si>
  <si>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</si>
  <si>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</si>
  <si>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</si>
  <si>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</si>
  <si>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</si>
  <si>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</si>
  <si>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</si>
  <si>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</si>
  <si>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</si>
  <si>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</si>
  <si>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</si>
  <si>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</si>
  <si>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</si>
  <si>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</si>
  <si>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</si>
  <si>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</si>
  <si>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</si>
  <si>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</si>
  <si>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</si>
  <si>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</si>
  <si>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</si>
  <si>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</si>
  <si>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</si>
  <si>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</si>
  <si>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</si>
  <si>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</si>
  <si>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</si>
  <si>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</si>
  <si>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</si>
  <si>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</si>
  <si>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</si>
  <si>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</si>
  <si>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</si>
  <si>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</si>
  <si>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</si>
  <si>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</si>
  <si>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</si>
  <si>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</si>
  <si>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</si>
  <si>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</si>
  <si>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</si>
  <si>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</si>
  <si>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</si>
  <si>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</si>
  <si>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</si>
  <si>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</si>
  <si>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</si>
  <si>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</si>
  <si>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</si>
  <si>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</si>
  <si>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</si>
  <si>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</si>
  <si>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</si>
  <si>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</si>
  <si>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</si>
  <si>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</si>
  <si>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</si>
  <si>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</si>
  <si>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</si>
  <si>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</si>
  <si>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</si>
  <si>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</si>
  <si>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</si>
  <si>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</si>
  <si>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</si>
  <si>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</si>
  <si>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</si>
  <si>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</si>
  <si>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</si>
  <si>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</si>
  <si>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</si>
  <si>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</si>
  <si>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</si>
  <si>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</si>
  <si>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</si>
  <si>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</si>
  <si>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</si>
  <si>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</si>
  <si>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</si>
  <si>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</si>
  <si>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</si>
  <si>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</si>
  <si>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</si>
  <si>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</si>
  <si>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</si>
  <si>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</si>
  <si>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</si>
  <si>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</si>
  <si>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</si>
  <si>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</si>
  <si>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</si>
  <si>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</si>
  <si>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</si>
  <si>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</si>
  <si>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</si>
  <si>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</si>
  <si>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</si>
  <si>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</si>
  <si>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</si>
  <si>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</si>
  <si>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</si>
  <si>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</si>
  <si>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</si>
  <si>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</si>
  <si>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</si>
  <si>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</si>
  <si>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</si>
  <si>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</si>
  <si>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</si>
  <si>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</si>
  <si>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</si>
  <si>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</si>
  <si>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</si>
  <si>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</si>
  <si>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</si>
  <si>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</si>
  <si>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</si>
  <si>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</si>
  <si>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</si>
  <si>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</si>
  <si>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</si>
  <si>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</si>
  <si>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</si>
  <si>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</si>
  <si>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</si>
  <si>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</si>
  <si>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</si>
  <si>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</si>
  <si>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</si>
  <si>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</si>
  <si>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</si>
  <si>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</si>
  <si>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</si>
  <si>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</si>
  <si>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</si>
  <si>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</si>
  <si>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</si>
  <si>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</si>
  <si>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</si>
  <si>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</si>
  <si>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</si>
  <si>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</si>
  <si>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</si>
  <si>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</si>
  <si>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</si>
  <si>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</si>
  <si>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</si>
  <si>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</si>
  <si>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</si>
  <si>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</si>
  <si>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</si>
  <si>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</si>
  <si>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</si>
  <si>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</si>
  <si>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</si>
  <si>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</si>
  <si>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</si>
  <si>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</si>
  <si>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</si>
  <si>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</si>
  <si>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</si>
  <si>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</si>
  <si>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</si>
  <si>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</si>
  <si>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</si>
  <si>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</si>
  <si>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</si>
  <si>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</si>
  <si>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</si>
  <si>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</si>
  <si>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</si>
  <si>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</si>
  <si>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</si>
  <si>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</si>
  <si>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</si>
  <si>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</si>
  <si>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</si>
  <si>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</si>
  <si>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</si>
  <si>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</si>
  <si>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</si>
  <si>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</si>
  <si>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</si>
  <si>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</si>
  <si>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</si>
  <si>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</si>
  <si>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</si>
  <si>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</si>
  <si>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</si>
  <si>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</si>
  <si>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</si>
  <si>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</si>
  <si>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</si>
  <si>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</si>
  <si>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</si>
  <si>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</si>
  <si>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</si>
  <si>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</si>
  <si>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</si>
  <si>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</si>
  <si>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</si>
  <si>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</si>
  <si>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</si>
  <si>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</si>
  <si>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</si>
  <si>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</si>
  <si>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</si>
  <si>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</si>
  <si>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</si>
  <si>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</si>
  <si>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</si>
  <si>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</si>
  <si>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</si>
  <si>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</si>
  <si>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</si>
  <si>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</si>
  <si>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</si>
  <si>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</si>
  <si>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</si>
  <si>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</si>
  <si>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</si>
  <si>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</si>
  <si>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</si>
  <si>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</si>
  <si>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</si>
  <si>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</si>
  <si>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</si>
  <si>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</si>
  <si>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</si>
  <si>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</si>
  <si>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</si>
  <si>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</si>
  <si>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</si>
  <si>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</si>
  <si>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</si>
  <si>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</si>
  <si>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</si>
  <si>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</si>
  <si>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</si>
  <si>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</si>
  <si>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</si>
  <si>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</si>
  <si>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</si>
  <si>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</si>
  <si>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</si>
  <si>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</si>
  <si>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</si>
  <si>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</si>
  <si>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</si>
  <si>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</si>
  <si>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</si>
  <si>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</si>
  <si>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</si>
  <si>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</si>
  <si>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</si>
  <si>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</si>
  <si>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</si>
  <si>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</si>
  <si>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</si>
  <si>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</si>
  <si>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</si>
  <si>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</si>
  <si>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</si>
  <si>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</si>
  <si>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</si>
  <si>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</si>
  <si>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</si>
  <si>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</si>
  <si>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</si>
  <si>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</si>
  <si>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</si>
  <si>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</si>
  <si>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</si>
  <si>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</si>
  <si>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</si>
  <si>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</si>
  <si>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</si>
  <si>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</si>
  <si>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</si>
  <si>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</si>
  <si>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</si>
  <si>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</si>
  <si>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</si>
  <si>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</si>
  <si>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</si>
  <si>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</si>
  <si>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</si>
  <si>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</si>
  <si>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</si>
  <si>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</si>
  <si>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</si>
  <si>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</si>
  <si>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</si>
  <si>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</si>
  <si>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</si>
  <si>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</si>
  <si>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</si>
  <si>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</si>
  <si>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</si>
  <si>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</si>
  <si>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</si>
  <si>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</si>
  <si>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</si>
  <si>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</si>
  <si>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</si>
  <si>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</si>
  <si>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</si>
  <si>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</si>
  <si>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</si>
  <si>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</si>
  <si>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</si>
  <si>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</si>
  <si>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</si>
  <si>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</si>
  <si>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</si>
  <si>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</si>
  <si>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</si>
  <si>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</si>
  <si>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</si>
  <si>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</si>
  <si>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</si>
  <si>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</si>
  <si>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</si>
  <si>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</si>
  <si>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</si>
  <si>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</si>
  <si>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</si>
  <si>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</si>
  <si>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</si>
  <si>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</si>
  <si>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</si>
  <si>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</si>
  <si>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</si>
  <si>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</si>
  <si>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</si>
  <si>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</si>
  <si>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</si>
  <si>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</si>
  <si>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</si>
  <si>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</si>
  <si>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</si>
  <si>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</si>
  <si>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</si>
  <si>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</si>
  <si>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</si>
  <si>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</si>
  <si>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</si>
  <si>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</si>
  <si>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</si>
  <si>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</si>
  <si>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</si>
  <si>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</si>
  <si>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</si>
  <si>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</si>
  <si>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</si>
  <si>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</si>
  <si>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</si>
  <si>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</si>
  <si>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</si>
  <si>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</si>
  <si>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</si>
  <si>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</si>
  <si>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</si>
  <si>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</si>
  <si>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</si>
  <si>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</si>
  <si>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</si>
  <si>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</si>
  <si>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</si>
  <si>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</si>
  <si>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</si>
  <si>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</si>
  <si>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</si>
  <si>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</si>
  <si>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</si>
  <si>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</si>
  <si>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</si>
  <si>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</si>
  <si>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</si>
  <si>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</si>
  <si>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</si>
  <si>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</si>
  <si>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</si>
  <si>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</si>
  <si>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</si>
  <si>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</si>
  <si>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</si>
  <si>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</si>
  <si>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</si>
  <si>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</si>
  <si>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</si>
  <si>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</si>
  <si>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</si>
  <si>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</si>
  <si>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</si>
  <si>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</si>
  <si>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</si>
  <si>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</si>
  <si>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</si>
  <si>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</si>
  <si>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</si>
  <si>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</si>
  <si>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</si>
  <si>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</si>
  <si>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</si>
  <si>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</si>
  <si>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</si>
  <si>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</si>
  <si>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</si>
  <si>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</si>
  <si>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</si>
  <si>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</si>
  <si>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</si>
  <si>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</si>
  <si>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</si>
  <si>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</si>
  <si>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</si>
  <si>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</si>
  <si>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</si>
  <si>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</si>
  <si>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</si>
  <si>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</si>
  <si>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</si>
  <si>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</si>
  <si>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</si>
  <si>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</si>
  <si>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</si>
  <si>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</si>
  <si>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</si>
  <si>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</si>
  <si>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</si>
  <si>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</si>
  <si>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</si>
  <si>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</si>
  <si>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</si>
  <si>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</si>
  <si>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</si>
  <si>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</si>
  <si>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</si>
  <si>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</si>
  <si>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</si>
  <si>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</si>
  <si>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</si>
  <si>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</si>
  <si>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</si>
  <si>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</si>
  <si>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</si>
  <si>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</si>
  <si>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</si>
  <si>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</si>
  <si>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</si>
  <si>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</si>
  <si>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</si>
  <si>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</si>
  <si>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</si>
  <si>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</si>
  <si>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</si>
  <si>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</si>
  <si>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</si>
  <si>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</si>
  <si>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</si>
  <si>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</si>
  <si>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</si>
  <si>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</si>
  <si>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</si>
  <si>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</si>
  <si>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</si>
  <si>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</si>
  <si>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</si>
  <si>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</si>
  <si>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</si>
  <si>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</si>
  <si>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</si>
  <si>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</si>
  <si>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</si>
  <si>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</si>
  <si>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</si>
  <si>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</si>
  <si>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</si>
  <si>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</si>
  <si>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</si>
  <si>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</si>
  <si>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</si>
  <si>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</si>
  <si>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</si>
  <si>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</si>
  <si>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</si>
  <si>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</si>
  <si>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</si>
  <si>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</si>
  <si>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</si>
  <si>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</si>
  <si>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</si>
  <si>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</si>
  <si>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</si>
  <si>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</si>
  <si>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</si>
  <si>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</si>
  <si>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</si>
  <si>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</si>
  <si>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</si>
  <si>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</si>
  <si>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</si>
  <si>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</si>
  <si>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</si>
  <si>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</si>
  <si>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</si>
  <si>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</si>
  <si>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</si>
  <si>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</si>
  <si>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</si>
  <si>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</si>
  <si>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</si>
  <si>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</si>
  <si>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</si>
  <si>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</si>
  <si>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</si>
  <si>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</si>
  <si>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</si>
  <si>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</si>
  <si>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</si>
  <si>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</si>
  <si>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</si>
  <si>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</si>
  <si>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</si>
  <si>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</si>
  <si>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</si>
  <si>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</si>
  <si>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</si>
  <si>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</si>
  <si>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</si>
  <si>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</si>
  <si>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</si>
  <si>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</si>
  <si>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</si>
  <si>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</si>
  <si>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</si>
  <si>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</si>
  <si>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</si>
  <si>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</si>
  <si>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</si>
  <si>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</si>
  <si>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</si>
  <si>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</si>
  <si>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</si>
  <si>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</si>
  <si>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</si>
  <si>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</si>
  <si>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</si>
  <si>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</si>
  <si>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</si>
  <si>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</si>
  <si>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</si>
  <si>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</si>
  <si>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</si>
  <si>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</si>
  <si>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</si>
  <si>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</si>
  <si>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</si>
  <si>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</si>
  <si>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</si>
  <si>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</si>
  <si>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</si>
  <si>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</si>
  <si>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</si>
  <si>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</si>
  <si>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</si>
  <si>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</si>
  <si>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</si>
  <si>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</si>
  <si>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</si>
  <si>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</si>
  <si>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</si>
  <si>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</si>
  <si>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</si>
  <si>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</si>
  <si>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</si>
  <si>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</si>
  <si>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</si>
  <si>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</si>
  <si>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</si>
  <si>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</si>
  <si>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</si>
  <si>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</si>
  <si>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</si>
  <si>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</si>
  <si>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</si>
  <si>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</si>
  <si>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</si>
  <si>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</si>
  <si>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</si>
  <si>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</si>
  <si>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</si>
  <si>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</si>
  <si>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</si>
  <si>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</si>
  <si>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</si>
  <si>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</si>
  <si>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</si>
  <si>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</si>
  <si>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</si>
  <si>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</si>
  <si>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</si>
  <si>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</si>
  <si>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</si>
  <si>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</si>
  <si>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</si>
  <si>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</si>
  <si>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</si>
  <si>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</si>
  <si>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</si>
  <si>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</si>
  <si>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</si>
  <si>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</si>
  <si>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</si>
  <si>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</si>
  <si>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</si>
  <si>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</si>
  <si>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</si>
  <si>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</si>
  <si>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</si>
  <si>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</si>
  <si>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</si>
  <si>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</si>
  <si>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</si>
  <si>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</si>
  <si>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</si>
  <si>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</si>
  <si>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</si>
  <si>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</si>
  <si>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</si>
  <si>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</si>
  <si>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</si>
  <si>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</si>
  <si>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</si>
  <si>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</si>
  <si>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</si>
  <si>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</si>
  <si>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</si>
  <si>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</si>
  <si>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</si>
  <si>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</si>
  <si>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</si>
  <si>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</si>
  <si>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</si>
  <si>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</si>
  <si>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</si>
  <si>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</si>
  <si>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</si>
  <si>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</si>
  <si>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</si>
  <si>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</si>
  <si>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</si>
  <si>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</si>
  <si>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</si>
  <si>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</si>
  <si>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</si>
  <si>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</si>
  <si>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</si>
  <si>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</si>
  <si>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</si>
  <si>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</si>
  <si>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</si>
  <si>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</si>
  <si>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</si>
  <si>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</si>
  <si>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</si>
  <si>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</si>
  <si>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</si>
  <si>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</si>
  <si>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</si>
  <si>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</si>
  <si>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</si>
  <si>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</si>
  <si>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</si>
  <si>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</si>
  <si>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</si>
  <si>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</si>
  <si>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</si>
  <si>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</si>
  <si>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</si>
  <si>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</si>
  <si>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</si>
  <si>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</si>
  <si>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</si>
  <si>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</si>
  <si>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</si>
  <si>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</si>
  <si>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</si>
  <si>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</si>
  <si>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</si>
  <si>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</si>
  <si>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</si>
  <si>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</si>
  <si>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</si>
  <si>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</si>
  <si>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</si>
  <si>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</si>
  <si>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</si>
  <si>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</si>
  <si>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</si>
  <si>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</si>
  <si>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</si>
  <si>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</si>
  <si>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</si>
  <si>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</si>
  <si>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</si>
  <si>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</si>
  <si>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</si>
  <si>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</si>
  <si>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</si>
  <si>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</si>
  <si>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</si>
  <si>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</si>
  <si>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</si>
  <si>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</si>
  <si>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</si>
  <si>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</si>
  <si>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</si>
  <si>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</si>
  <si>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</si>
  <si>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</si>
  <si>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</si>
  <si>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</si>
  <si>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</si>
  <si>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</si>
  <si>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</si>
  <si>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</si>
  <si>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</si>
  <si>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</si>
  <si>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</si>
  <si>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</si>
  <si>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</si>
  <si>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</si>
  <si>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</si>
  <si>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</si>
  <si>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</si>
  <si>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</si>
  <si>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</si>
  <si>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</si>
  <si>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</si>
  <si>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</si>
  <si>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</si>
  <si>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</si>
  <si>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</si>
  <si>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</si>
  <si>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</si>
  <si>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</si>
  <si>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</si>
  <si>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</si>
  <si>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</si>
  <si>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</si>
  <si>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</si>
  <si>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</si>
  <si>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</si>
  <si>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</si>
  <si>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</si>
  <si>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</si>
  <si>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</si>
  <si>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</si>
  <si>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</si>
  <si>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</si>
  <si>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</si>
  <si>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</si>
  <si>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</si>
  <si>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</si>
  <si>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</si>
  <si>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</si>
  <si>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</si>
  <si>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</si>
  <si>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</si>
  <si>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</si>
  <si>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</si>
  <si>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</si>
  <si>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</si>
  <si>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</si>
  <si>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</si>
  <si>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</si>
  <si>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</si>
  <si>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</si>
  <si>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</si>
  <si>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</si>
  <si>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</si>
  <si>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</si>
  <si>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</si>
  <si>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</si>
  <si>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</si>
  <si>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</si>
  <si>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</si>
  <si>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</si>
  <si>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</si>
  <si>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</si>
  <si>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</si>
  <si>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</si>
  <si>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</si>
  <si>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</si>
  <si>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</si>
  <si>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</si>
  <si>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</si>
  <si>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</si>
  <si>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</si>
  <si>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</si>
  <si>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</si>
  <si>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</si>
  <si>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</si>
  <si>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</si>
  <si>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</si>
  <si>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</si>
  <si>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</si>
  <si>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</si>
  <si>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</si>
  <si>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</si>
  <si>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</si>
  <si>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</si>
  <si>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</si>
  <si>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</si>
  <si>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</si>
  <si>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</si>
  <si>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</si>
  <si>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</si>
  <si>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</si>
  <si>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</si>
  <si>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</si>
  <si>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</si>
  <si>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</si>
  <si>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</si>
  <si>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</si>
  <si>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</si>
  <si>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</si>
  <si>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</si>
  <si>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</si>
  <si>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</si>
  <si>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</si>
  <si>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</si>
  <si>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</si>
  <si>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</si>
  <si>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</si>
  <si>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</si>
  <si>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</si>
  <si>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</si>
  <si>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</si>
  <si>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</si>
  <si>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</si>
  <si>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</si>
  <si>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</si>
  <si>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</si>
  <si>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</si>
  <si>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</si>
  <si>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</si>
  <si>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</si>
  <si>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</si>
  <si>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</si>
  <si>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</si>
  <si>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</si>
  <si>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</si>
  <si>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</si>
  <si>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</si>
  <si>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</si>
  <si>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</si>
  <si>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</si>
  <si>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</si>
  <si>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</si>
  <si>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</si>
  <si>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</si>
  <si>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</si>
  <si>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</si>
  <si>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</si>
  <si>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</si>
  <si>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</si>
  <si>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</si>
  <si>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</si>
  <si>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</si>
  <si>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</si>
  <si>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</si>
  <si>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</si>
  <si>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</si>
  <si>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</si>
  <si>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</si>
  <si>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</si>
  <si>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</si>
  <si>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</si>
  <si>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</si>
  <si>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</si>
  <si>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</si>
  <si>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</si>
  <si>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</si>
  <si>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</si>
  <si>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</si>
  <si>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</si>
  <si>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</si>
  <si>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</si>
  <si>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</si>
  <si>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</si>
  <si>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</si>
  <si>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</si>
  <si>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</si>
  <si>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</si>
  <si>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</si>
  <si>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</si>
  <si>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</si>
  <si>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</si>
  <si>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</si>
  <si>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</si>
  <si>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</si>
  <si>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</si>
  <si>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</si>
  <si>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</si>
  <si>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</si>
  <si>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</si>
  <si>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</si>
  <si>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</si>
  <si>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</si>
  <si>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</si>
  <si>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</si>
  <si>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</si>
  <si>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</si>
  <si>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</si>
  <si>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</si>
  <si>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</si>
  <si>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</si>
  <si>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</si>
  <si>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</si>
  <si>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</si>
  <si>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</si>
  <si>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</si>
  <si>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</si>
  <si>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</si>
  <si>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</si>
  <si>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</si>
  <si>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</si>
  <si>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</si>
  <si>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</si>
  <si>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</si>
  <si>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</si>
  <si>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</si>
  <si>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</si>
  <si>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</si>
  <si>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</si>
  <si>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</si>
  <si>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</si>
  <si>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</si>
  <si>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</si>
  <si>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</si>
  <si>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</si>
  <si>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</si>
  <si>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</si>
  <si>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</si>
  <si>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</si>
  <si>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</si>
  <si>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</si>
  <si>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</si>
  <si>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</si>
  <si>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</si>
  <si>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</si>
  <si>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</si>
  <si>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</si>
  <si>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</si>
  <si>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</si>
  <si>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</si>
  <si>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</si>
  <si>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</si>
  <si>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</si>
  <si>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</si>
  <si>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</si>
  <si>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</si>
  <si>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</si>
  <si>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</si>
  <si>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</si>
  <si>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</si>
  <si>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</si>
  <si>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</si>
  <si>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</si>
  <si>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</si>
  <si>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</si>
  <si>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</si>
  <si>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</si>
  <si>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</si>
  <si>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</si>
  <si>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</si>
  <si>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</si>
  <si>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</si>
  <si>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</si>
  <si>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</si>
  <si>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</si>
  <si>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</si>
  <si>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</si>
  <si>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</si>
  <si>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</si>
  <si>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</si>
  <si>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</si>
  <si>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</si>
  <si>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</si>
  <si>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</si>
  <si>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</si>
  <si>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</si>
  <si>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</si>
  <si>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</si>
  <si>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</si>
  <si>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</si>
  <si>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</si>
  <si>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</si>
  <si>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</si>
  <si>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</si>
  <si>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</si>
  <si>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</si>
  <si>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</si>
  <si>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</si>
  <si>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</si>
  <si>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</si>
  <si>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</si>
  <si>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</si>
  <si>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</si>
  <si>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</si>
  <si>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</si>
  <si>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</si>
  <si>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</si>
  <si>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</si>
  <si>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</si>
  <si>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</si>
  <si>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</si>
  <si>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</si>
  <si>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</si>
  <si>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</si>
  <si>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</si>
  <si>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</si>
  <si>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</si>
  <si>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</si>
  <si>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</si>
  <si>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</si>
  <si>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</si>
  <si>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</si>
  <si>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</si>
  <si>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</si>
  <si>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</si>
  <si>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</si>
  <si>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</si>
  <si>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</si>
  <si>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</si>
  <si>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</si>
  <si>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</si>
  <si>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</si>
  <si>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</si>
  <si>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</si>
  <si>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</si>
  <si>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</si>
  <si>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</si>
  <si>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</si>
  <si>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</si>
  <si>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</si>
  <si>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</si>
  <si>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</si>
  <si>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</si>
  <si>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</si>
  <si>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</si>
  <si>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</si>
  <si>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</si>
  <si>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</si>
  <si>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</si>
  <si>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</si>
  <si>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</si>
  <si>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</si>
  <si>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</si>
  <si>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</si>
  <si>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</si>
  <si>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</si>
  <si>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</si>
  <si>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</si>
  <si>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</si>
  <si>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</si>
  <si>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</si>
  <si>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</si>
  <si>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</si>
  <si>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</si>
  <si>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</si>
  <si>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</si>
  <si>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</si>
  <si>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</si>
  <si>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</si>
  <si>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</si>
  <si>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</si>
  <si>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</si>
  <si>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</si>
  <si>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</si>
  <si>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</si>
  <si>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</si>
  <si>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</si>
  <si>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</si>
  <si>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</si>
  <si>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</si>
  <si>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</si>
  <si>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</si>
  <si>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</si>
  <si>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</si>
  <si>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</si>
  <si>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</si>
  <si>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</si>
  <si>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</si>
  <si>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</si>
  <si>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</si>
  <si>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</si>
  <si>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</si>
  <si>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</si>
  <si>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</si>
  <si>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</si>
  <si>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</si>
  <si>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</si>
  <si>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</si>
  <si>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</si>
  <si>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</si>
  <si>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</si>
  <si>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</si>
  <si>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</si>
  <si>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</si>
  <si>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</si>
  <si>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</si>
  <si>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</si>
  <si>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</si>
  <si>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</si>
  <si>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</si>
  <si>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</si>
  <si>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</si>
  <si>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</si>
  <si>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</si>
  <si>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</si>
  <si>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</si>
  <si>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</si>
  <si>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</si>
  <si>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</si>
  <si>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</si>
  <si>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</si>
  <si>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</si>
  <si>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</si>
  <si>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</si>
  <si>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</si>
  <si>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</si>
  <si>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</si>
  <si>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</si>
  <si>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</si>
  <si>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</si>
  <si>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</si>
  <si>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</si>
  <si>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</si>
  <si>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</si>
  <si>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</si>
  <si>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</si>
  <si>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</si>
  <si>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</si>
  <si>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</si>
  <si>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</si>
  <si>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</si>
  <si>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</si>
  <si>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</si>
  <si>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</si>
  <si>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</si>
  <si>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</si>
  <si>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</si>
  <si>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</si>
  <si>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</si>
  <si>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</si>
  <si>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</si>
  <si>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</si>
  <si>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</si>
  <si>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</si>
  <si>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</si>
  <si>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</si>
  <si>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</si>
  <si>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</si>
  <si>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</si>
  <si>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</si>
  <si>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</si>
  <si>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</si>
  <si>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</si>
  <si>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</si>
  <si>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</si>
  <si>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</si>
  <si>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</si>
  <si>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</si>
  <si>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</si>
  <si>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</si>
  <si>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</si>
  <si>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</si>
  <si>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</si>
  <si>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</si>
  <si>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</si>
  <si>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</si>
  <si>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</si>
  <si>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</si>
  <si>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</si>
  <si>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</si>
  <si>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</si>
  <si>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</si>
  <si>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</si>
  <si>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</si>
  <si>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</si>
  <si>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</si>
  <si>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</si>
  <si>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</si>
  <si>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</si>
  <si>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</si>
  <si>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</si>
  <si>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</si>
  <si>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</si>
  <si>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</si>
  <si>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</si>
  <si>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</si>
  <si>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</si>
  <si>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</si>
  <si>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</si>
  <si>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</si>
  <si>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</si>
  <si>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</si>
  <si>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</si>
  <si>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</si>
  <si>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</si>
  <si>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</si>
  <si>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</si>
  <si>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</si>
  <si>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</si>
  <si>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</si>
  <si>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</si>
  <si>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</si>
  <si>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</si>
  <si>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</si>
  <si>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</si>
  <si>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</si>
  <si>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</si>
  <si>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</si>
  <si>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</si>
  <si>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</si>
  <si>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</si>
  <si>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</si>
  <si>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</si>
  <si>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</si>
  <si>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</si>
  <si>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</si>
  <si>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</si>
  <si>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</si>
  <si>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</si>
  <si>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</si>
  <si>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</si>
  <si>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</si>
  <si>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</si>
  <si>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</si>
  <si>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</si>
  <si>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</si>
  <si>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</si>
  <si>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</si>
  <si>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</si>
  <si>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</si>
  <si>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</si>
  <si>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</si>
  <si>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</si>
  <si>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</si>
  <si>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</si>
  <si>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</si>
  <si>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</si>
  <si>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</si>
  <si>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</si>
  <si>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</si>
  <si>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</si>
  <si>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</si>
  <si>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</si>
  <si>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</si>
  <si>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</si>
  <si>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</si>
  <si>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</si>
  <si>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</si>
  <si>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</si>
  <si>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</si>
  <si>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</si>
  <si>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</si>
  <si>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</si>
  <si>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</si>
  <si>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</si>
  <si>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</si>
  <si>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</si>
  <si>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</si>
  <si>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</si>
  <si>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</si>
  <si>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</si>
  <si>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</si>
  <si>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</si>
  <si>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</si>
  <si>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</si>
  <si>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</si>
  <si>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</si>
  <si>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</si>
  <si>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</si>
  <si>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</si>
  <si>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</si>
  <si>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</si>
  <si>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</si>
  <si>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</si>
  <si>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</si>
  <si>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</si>
  <si>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</si>
  <si>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</si>
  <si>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</si>
  <si>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</si>
  <si>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</si>
  <si>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</si>
  <si>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</si>
  <si>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</si>
  <si>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</si>
  <si>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</si>
  <si>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</si>
  <si>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</si>
  <si>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</si>
  <si>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</si>
  <si>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</si>
  <si>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</si>
  <si>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</si>
  <si>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</si>
  <si>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</si>
  <si>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</si>
  <si>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</si>
  <si>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</si>
  <si>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</si>
  <si>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</si>
  <si>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</si>
  <si>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</si>
  <si>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</si>
  <si>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</si>
  <si>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</si>
  <si>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</si>
  <si>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</si>
  <si>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</si>
  <si>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</si>
  <si>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</si>
  <si>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</si>
  <si>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</si>
  <si>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</si>
  <si>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</si>
  <si>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</si>
  <si>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</si>
  <si>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</si>
  <si>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</si>
  <si>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</si>
  <si>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</si>
  <si>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</si>
  <si>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</si>
  <si>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</si>
  <si>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</si>
  <si>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</si>
  <si>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</si>
  <si>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</si>
  <si>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</si>
  <si>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</si>
  <si>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</si>
  <si>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</si>
  <si>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</si>
  <si>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</si>
  <si>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</si>
  <si>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</si>
  <si>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</si>
  <si>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</si>
  <si>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</si>
  <si>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</si>
  <si>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</si>
  <si>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</si>
  <si>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</si>
  <si>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</si>
  <si>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</si>
  <si>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</si>
  <si>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</si>
  <si>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</si>
  <si>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</si>
  <si>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</si>
  <si>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</si>
  <si>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</si>
  <si>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</si>
  <si>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</si>
  <si>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</si>
  <si>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</si>
  <si>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</si>
  <si>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</si>
  <si>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</si>
  <si>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</si>
  <si>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</si>
  <si>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</si>
  <si>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</si>
  <si>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</si>
  <si>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</si>
  <si>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</si>
  <si>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</si>
  <si>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</si>
  <si>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</si>
  <si>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</si>
  <si>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</si>
  <si>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</si>
  <si>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</si>
  <si>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</si>
  <si>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</si>
  <si>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</si>
  <si>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</si>
  <si>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</si>
  <si>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</si>
  <si>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</si>
  <si>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</si>
  <si>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</si>
  <si>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</si>
  <si>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</si>
  <si>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</si>
  <si>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</si>
  <si>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</si>
  <si>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</si>
  <si>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</si>
  <si>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</si>
  <si>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</si>
  <si>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</si>
  <si>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</si>
  <si>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</si>
  <si>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</si>
  <si>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</si>
  <si>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</si>
  <si>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</si>
  <si>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</si>
  <si>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</si>
  <si>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</si>
  <si>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</si>
  <si>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</si>
  <si>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</si>
  <si>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</si>
  <si>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</si>
  <si>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</si>
  <si>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</si>
  <si>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</si>
  <si>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</si>
  <si>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</si>
  <si>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</si>
  <si>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</si>
  <si>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</si>
  <si>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</si>
  <si>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</si>
  <si>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</si>
  <si>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</si>
  <si>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</si>
  <si>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</si>
  <si>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</si>
  <si>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</si>
  <si>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</si>
  <si>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</si>
  <si>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</si>
  <si>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</si>
  <si>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</si>
  <si>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</si>
  <si>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</si>
  <si>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</si>
  <si>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</si>
  <si>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</si>
  <si>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</si>
  <si>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</si>
  <si>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</si>
  <si>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</si>
  <si>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</si>
  <si>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</si>
  <si>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</si>
  <si>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</si>
  <si>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</si>
  <si>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</si>
  <si>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</si>
  <si>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</si>
  <si>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</si>
  <si>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</si>
  <si>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</si>
  <si>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</si>
  <si>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</si>
  <si>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</si>
  <si>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</si>
  <si>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</si>
  <si>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</si>
  <si>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</si>
  <si>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</si>
  <si>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</si>
  <si>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</si>
  <si>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</si>
  <si>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</si>
  <si>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</si>
  <si>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</si>
  <si>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</si>
  <si>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</si>
  <si>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</si>
  <si>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</si>
  <si>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</si>
  <si>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</si>
  <si>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</si>
  <si>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</si>
  <si>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</si>
  <si>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</si>
  <si>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</si>
  <si>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</si>
  <si>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</si>
  <si>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</si>
  <si>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</si>
  <si>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</si>
  <si>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</si>
  <si>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</si>
  <si>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</si>
  <si>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</si>
  <si>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</si>
  <si>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</si>
  <si>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</si>
  <si>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</si>
  <si>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</si>
  <si>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</si>
  <si>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</si>
  <si>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</si>
  <si>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</si>
  <si>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</si>
  <si>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</si>
  <si>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</si>
  <si>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</si>
  <si>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</si>
  <si>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</si>
  <si>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</si>
  <si>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</si>
  <si>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</si>
  <si>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</si>
  <si>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</si>
  <si>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</si>
  <si>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</si>
  <si>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</si>
  <si>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</si>
  <si>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</si>
  <si>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</si>
  <si>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</si>
  <si>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</si>
  <si>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</si>
  <si>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</si>
  <si>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</si>
  <si>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</si>
  <si>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</si>
  <si>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</si>
  <si>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</si>
  <si>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</si>
  <si>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</si>
  <si>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</si>
  <si>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</si>
  <si>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</si>
  <si>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</si>
  <si>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</si>
  <si>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</si>
  <si>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</si>
  <si>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</si>
  <si>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</si>
  <si>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</si>
  <si>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</si>
  <si>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</si>
  <si>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</si>
  <si>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</si>
  <si>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</si>
  <si>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</si>
  <si>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</si>
  <si>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</si>
  <si>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</si>
  <si>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</si>
  <si>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</si>
  <si>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</si>
  <si>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</si>
  <si>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</si>
  <si>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</si>
  <si>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</si>
  <si>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</si>
  <si>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</si>
  <si>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</si>
  <si>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</si>
  <si>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</si>
  <si>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</si>
  <si>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</si>
  <si>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</si>
  <si>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</si>
  <si>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</si>
  <si>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</si>
  <si>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</si>
  <si>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</si>
  <si>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</si>
  <si>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</si>
  <si>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</si>
  <si>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</si>
  <si>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</si>
  <si>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</si>
  <si>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</si>
  <si>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</si>
  <si>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</si>
  <si>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</si>
  <si>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</si>
  <si>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</si>
  <si>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</si>
  <si>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</si>
  <si>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</si>
  <si>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</si>
  <si>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</si>
  <si>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</si>
  <si>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</si>
  <si>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</si>
  <si>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</si>
  <si>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</si>
  <si>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</si>
  <si>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</si>
  <si>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</si>
  <si>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</si>
  <si>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</si>
  <si>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</si>
  <si>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</si>
  <si>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</si>
  <si>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</si>
  <si>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</si>
  <si>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</si>
  <si>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</si>
  <si>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</si>
  <si>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</si>
  <si>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</si>
  <si>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</si>
  <si>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</si>
  <si>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</si>
  <si>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</si>
  <si>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</si>
  <si>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</si>
  <si>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</si>
  <si>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</si>
  <si>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</si>
  <si>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</si>
  <si>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</si>
  <si>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</si>
  <si>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</si>
  <si>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</si>
  <si>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</si>
  <si>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</si>
  <si>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</si>
  <si>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</si>
  <si>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</si>
  <si>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</si>
  <si>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</si>
  <si>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</si>
  <si>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</si>
  <si>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</si>
  <si>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</si>
  <si>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</si>
  <si>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</si>
  <si>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</si>
  <si>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</si>
  <si>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</si>
  <si>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</si>
  <si>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</si>
  <si>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</si>
  <si>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</si>
  <si>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</si>
  <si>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</si>
  <si>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</si>
  <si>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</si>
  <si>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</si>
  <si>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</si>
  <si>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</si>
  <si>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</si>
  <si>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</si>
  <si>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</si>
  <si>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</si>
  <si>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</si>
  <si>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</si>
  <si>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</si>
  <si>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</si>
  <si>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</si>
  <si>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</si>
  <si>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</si>
  <si>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</si>
  <si>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</si>
  <si>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</si>
  <si>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</si>
  <si>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</si>
  <si>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</si>
  <si>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</si>
  <si>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</si>
  <si>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</si>
  <si>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</si>
  <si>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</si>
  <si>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</si>
  <si>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</si>
  <si>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</si>
  <si>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</si>
  <si>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</si>
  <si>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</si>
  <si>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</si>
  <si>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</si>
  <si>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</si>
  <si>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</si>
  <si>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</si>
  <si>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</si>
  <si>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</si>
  <si>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</si>
  <si>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</si>
  <si>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</si>
  <si>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</si>
  <si>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</si>
  <si>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</si>
  <si>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</si>
  <si>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</si>
  <si>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</si>
  <si>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</si>
  <si>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</si>
  <si>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</si>
  <si>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</si>
  <si>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</si>
  <si>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</si>
  <si>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</si>
  <si>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</si>
  <si>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</si>
  <si>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</si>
  <si>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</si>
  <si>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</si>
  <si>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</si>
  <si>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</si>
  <si>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</si>
  <si>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</si>
  <si>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</si>
  <si>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</si>
  <si>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</si>
  <si>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</si>
  <si>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</si>
  <si>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</si>
  <si>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</si>
  <si>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</si>
  <si>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</si>
  <si>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</si>
  <si>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</si>
  <si>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</si>
  <si>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</si>
  <si>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</si>
  <si>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</si>
  <si>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</si>
  <si>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</si>
  <si>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</si>
  <si>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</si>
  <si>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</si>
  <si>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</si>
  <si>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</si>
  <si>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</si>
  <si>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</si>
  <si>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</si>
  <si>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</si>
  <si>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</si>
  <si>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</si>
  <si>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</si>
  <si>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</si>
  <si>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</si>
  <si>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</si>
  <si>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</si>
  <si>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</si>
  <si>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</si>
  <si>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</si>
  <si>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</si>
  <si>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</si>
  <si>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</si>
  <si>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</si>
  <si>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</si>
  <si>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</si>
  <si>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</si>
  <si>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</si>
  <si>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</si>
  <si>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</si>
  <si>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</si>
  <si>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</si>
  <si>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</si>
  <si>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</si>
  <si>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</si>
  <si>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</si>
  <si>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</si>
  <si>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</si>
  <si>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</si>
  <si>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</si>
  <si>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</si>
  <si>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</si>
  <si>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</si>
  <si>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</si>
  <si>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</si>
  <si>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</si>
  <si>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</si>
  <si>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</si>
  <si>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</si>
  <si>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</si>
  <si>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</si>
  <si>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</si>
  <si>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</si>
  <si>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</si>
  <si>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</si>
  <si>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</si>
  <si>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</si>
  <si>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</si>
  <si>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</si>
  <si>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</si>
  <si>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</si>
  <si>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</si>
  <si>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</si>
  <si>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</si>
  <si>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</si>
  <si>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</si>
  <si>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</si>
  <si>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</si>
  <si>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</si>
  <si>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</si>
  <si>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</si>
  <si>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</si>
  <si>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</si>
  <si>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</si>
  <si>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</si>
  <si>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</si>
  <si>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</si>
  <si>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</si>
  <si>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</si>
  <si>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</si>
  <si>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</si>
  <si>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</si>
  <si>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</si>
  <si>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</si>
  <si>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</si>
  <si>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</si>
  <si>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</si>
  <si>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</si>
  <si>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</si>
  <si>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</si>
  <si>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</si>
  <si>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</si>
  <si>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</si>
  <si>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</si>
  <si>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</si>
  <si>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</si>
  <si>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</si>
  <si>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</si>
  <si>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</si>
  <si>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</si>
  <si>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</si>
  <si>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</si>
  <si>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</si>
  <si>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</si>
  <si>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</si>
  <si>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</si>
  <si>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</si>
  <si>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</si>
  <si>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</si>
  <si>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</si>
  <si>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</si>
  <si>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</si>
  <si>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</si>
  <si>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</si>
  <si>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</si>
  <si>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</si>
  <si>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</si>
  <si>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</si>
  <si>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</si>
  <si>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</si>
  <si>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</si>
  <si>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</si>
  <si>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</si>
  <si>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</si>
  <si>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</si>
  <si>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</si>
  <si>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</si>
  <si>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</si>
  <si>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</si>
  <si>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</si>
  <si>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</si>
  <si>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</si>
  <si>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</si>
  <si>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</si>
  <si>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</si>
  <si>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</si>
  <si>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</si>
  <si>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</si>
  <si>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</si>
  <si>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</si>
  <si>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</si>
  <si>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</si>
  <si>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</si>
  <si>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</si>
  <si>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</si>
  <si>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</si>
  <si>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</si>
  <si>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</si>
  <si>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</si>
  <si>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</si>
  <si>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</si>
  <si>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</si>
  <si>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</si>
  <si>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</si>
  <si>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</si>
  <si>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</si>
  <si>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</si>
  <si>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</si>
  <si>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</si>
  <si>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</si>
  <si>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</si>
  <si>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</si>
  <si>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</si>
  <si>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</si>
  <si>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</si>
  <si>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</si>
  <si>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</si>
  <si>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</si>
  <si>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</si>
  <si>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</si>
  <si>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</si>
  <si>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</si>
  <si>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</si>
  <si>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</si>
  <si>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</si>
  <si>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</si>
  <si>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</si>
  <si>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</si>
  <si>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</si>
  <si>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</si>
  <si>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</si>
  <si>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</si>
  <si>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</si>
  <si>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</si>
  <si>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</si>
  <si>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</si>
  <si>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</si>
  <si>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</si>
  <si>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</si>
  <si>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</si>
  <si>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</si>
  <si>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</si>
  <si>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</si>
  <si>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</si>
  <si>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</si>
  <si>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</si>
  <si>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</si>
  <si>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</si>
  <si>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</si>
  <si>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</si>
  <si>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</si>
  <si>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</si>
  <si>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</si>
  <si>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</si>
  <si>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</si>
  <si>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</si>
  <si>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</si>
  <si>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</si>
  <si>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</si>
  <si>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</si>
  <si>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</si>
  <si>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</si>
  <si>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</si>
  <si>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</si>
  <si>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</si>
  <si>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</si>
  <si>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</si>
  <si>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</si>
  <si>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</si>
  <si>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</si>
  <si>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</si>
  <si>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</si>
  <si>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</si>
  <si>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</si>
  <si>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</si>
  <si>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</si>
  <si>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</si>
  <si>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</si>
  <si>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</si>
  <si>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</si>
  <si>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</si>
  <si>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</si>
  <si>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</si>
  <si>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</si>
  <si>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</si>
  <si>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</si>
  <si>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</si>
  <si>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</si>
  <si>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</si>
  <si>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</si>
  <si>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</si>
  <si>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</si>
  <si>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</si>
  <si>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</si>
  <si>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</si>
  <si>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</si>
  <si>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</si>
  <si>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</si>
  <si>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</si>
  <si>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</si>
  <si>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</si>
  <si>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</si>
  <si>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</si>
  <si>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</si>
  <si>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</si>
  <si>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</si>
  <si>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</si>
  <si>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</si>
  <si>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</si>
  <si>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</si>
  <si>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</si>
  <si>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</si>
  <si>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</si>
  <si>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</si>
  <si>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</si>
  <si>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</si>
  <si>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</si>
  <si>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</si>
  <si>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</si>
  <si>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</si>
  <si>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</si>
  <si>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</si>
  <si>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</si>
  <si>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</si>
  <si>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</si>
  <si>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</si>
  <si>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</si>
  <si>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</si>
  <si>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</si>
  <si>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</si>
  <si>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</si>
  <si>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</si>
  <si>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</si>
  <si>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</si>
  <si>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</si>
  <si>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</si>
  <si>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</si>
  <si>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</si>
  <si>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</si>
  <si>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</si>
  <si>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</si>
  <si>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</si>
  <si>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</si>
  <si>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</si>
  <si>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</si>
  <si>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</si>
  <si>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</si>
  <si>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</si>
  <si>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</si>
  <si>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</si>
  <si>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</si>
  <si>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</si>
  <si>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</si>
  <si>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</si>
  <si>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</si>
  <si>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</si>
  <si>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</si>
  <si>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</si>
  <si>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</si>
  <si>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</si>
  <si>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</si>
  <si>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</si>
  <si>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</si>
  <si>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</si>
  <si>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</si>
  <si>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</si>
  <si>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</si>
  <si>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</si>
  <si>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</si>
  <si>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</si>
  <si>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</si>
  <si>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</si>
  <si>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</si>
  <si>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</si>
  <si>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</si>
  <si>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</si>
  <si>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</si>
  <si>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</si>
  <si>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</si>
  <si>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</si>
  <si>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</si>
  <si>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</si>
  <si>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</si>
  <si>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</si>
  <si>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</si>
  <si>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</si>
  <si>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</si>
  <si>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</si>
  <si>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</si>
  <si>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</si>
  <si>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</si>
  <si>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</si>
  <si>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</si>
  <si>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</si>
  <si>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</si>
  <si>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</si>
  <si>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</si>
  <si>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</si>
  <si>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</si>
  <si>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</si>
  <si>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</si>
  <si>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</si>
  <si>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</si>
  <si>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</si>
  <si>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</si>
  <si>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</si>
  <si>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</si>
  <si>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</si>
  <si>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</si>
  <si>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</si>
  <si>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</si>
  <si>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</si>
  <si>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</si>
  <si>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</si>
  <si>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</si>
  <si>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</si>
  <si>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</si>
  <si>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</si>
  <si>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</si>
  <si>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</si>
  <si>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</si>
  <si>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</si>
  <si>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</si>
  <si>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</si>
  <si>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</si>
  <si>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</si>
  <si>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</si>
  <si>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</si>
  <si>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</si>
  <si>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</si>
  <si>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</si>
  <si>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</si>
  <si>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</si>
  <si>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</si>
  <si>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</si>
  <si>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</si>
  <si>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</si>
  <si>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</si>
  <si>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</si>
  <si>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</si>
  <si>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</si>
  <si>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</si>
  <si>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</si>
  <si>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</si>
  <si>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</si>
  <si>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</si>
  <si>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</si>
  <si>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</si>
  <si>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</si>
  <si>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</si>
  <si>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</si>
  <si>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</si>
  <si>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</si>
  <si>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</si>
  <si>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</si>
  <si>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</si>
  <si>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</si>
  <si>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</si>
  <si>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</si>
  <si>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</si>
  <si>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</si>
  <si>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</si>
  <si>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</si>
  <si>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</si>
  <si>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</si>
  <si>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</si>
  <si>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</si>
  <si>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</si>
  <si>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</si>
  <si>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</si>
  <si>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</si>
  <si>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</si>
  <si>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</si>
  <si>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</si>
  <si>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</si>
  <si>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</si>
  <si>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</si>
  <si>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</si>
  <si>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</si>
  <si>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</si>
  <si>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</si>
  <si>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</si>
  <si>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</si>
  <si>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</si>
  <si>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</si>
  <si>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</si>
  <si>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</si>
  <si>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</si>
  <si>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</si>
  <si>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</si>
  <si>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</si>
  <si>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</si>
  <si>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</si>
  <si>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</si>
  <si>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</si>
  <si>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</si>
  <si>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</si>
  <si>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</si>
  <si>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</si>
  <si>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</si>
  <si>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</si>
  <si>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</si>
  <si>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</si>
  <si>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</si>
  <si>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</si>
  <si>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</si>
  <si>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</si>
  <si>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</si>
  <si>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</si>
  <si>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</si>
  <si>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</si>
  <si>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</si>
  <si>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</si>
  <si>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</si>
  <si>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</si>
  <si>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</si>
  <si>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</si>
  <si>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</si>
  <si>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</si>
  <si>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</si>
  <si>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</si>
  <si>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</si>
  <si>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</si>
  <si>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</si>
  <si>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</si>
  <si>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</si>
  <si>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</si>
  <si>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</si>
  <si>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</si>
  <si>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</si>
  <si>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</si>
  <si>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</si>
  <si>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</si>
  <si>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</si>
  <si>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</si>
  <si>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</si>
  <si>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</si>
  <si>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</si>
  <si>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</si>
  <si>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</si>
  <si>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</si>
  <si>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</si>
  <si>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</si>
  <si>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</si>
  <si>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</si>
  <si>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</si>
  <si>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</si>
  <si>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</si>
  <si>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</si>
  <si>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</si>
  <si>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</si>
  <si>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</si>
  <si>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</si>
  <si>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</si>
  <si>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</si>
  <si>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</si>
  <si>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</si>
  <si>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</si>
  <si>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</si>
  <si>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</si>
  <si>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</si>
  <si>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</si>
  <si>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</si>
  <si>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</si>
  <si>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</si>
  <si>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</si>
  <si>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</si>
  <si>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</si>
  <si>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</si>
  <si>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</si>
  <si>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</si>
  <si>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</si>
  <si>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</si>
  <si>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</si>
  <si>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</si>
  <si>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</si>
  <si>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</si>
  <si>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</si>
  <si>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</si>
  <si>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</si>
  <si>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</si>
  <si>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</si>
  <si>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</si>
  <si>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</si>
  <si>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</si>
  <si>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</si>
  <si>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</si>
  <si>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</si>
  <si>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</si>
  <si>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</si>
  <si>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</si>
  <si>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</si>
  <si>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</si>
  <si>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</si>
  <si>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</si>
  <si>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</si>
  <si>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</si>
  <si>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</si>
  <si>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</si>
  <si>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</si>
  <si>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</si>
  <si>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</si>
  <si>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</si>
  <si>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</si>
  <si>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</si>
  <si>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</si>
  <si>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</si>
  <si>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</si>
  <si>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</si>
  <si>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</si>
  <si>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</si>
  <si>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</si>
  <si>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</si>
  <si>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</si>
  <si>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</si>
  <si>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</si>
  <si>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</si>
  <si>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</si>
  <si>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</si>
  <si>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</si>
  <si>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</si>
  <si>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</si>
  <si>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</si>
  <si>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</si>
  <si>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</si>
  <si>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</si>
  <si>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</si>
  <si>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</si>
  <si>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</si>
  <si>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</si>
  <si>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</si>
  <si>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</si>
  <si>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</si>
  <si>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</si>
  <si>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</si>
  <si>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</si>
  <si>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</si>
  <si>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</si>
  <si>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</si>
  <si>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</si>
  <si>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</si>
  <si>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</si>
  <si>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</si>
  <si>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</si>
  <si>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</si>
  <si>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</si>
  <si>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</si>
  <si>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</si>
  <si>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</si>
  <si>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</si>
  <si>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</si>
  <si>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</si>
  <si>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</si>
  <si>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</si>
  <si>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</si>
  <si>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</si>
  <si>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</si>
  <si>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</si>
  <si>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</si>
  <si>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</si>
  <si>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</si>
  <si>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</si>
  <si>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</si>
  <si>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</si>
  <si>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</si>
  <si>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</si>
  <si>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</si>
  <si>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</si>
  <si>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</si>
  <si>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</si>
  <si>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</si>
  <si>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</si>
  <si>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</si>
  <si>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</si>
  <si>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</si>
  <si>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</si>
  <si>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</si>
  <si>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</si>
  <si>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</si>
  <si>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</si>
  <si>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</si>
  <si>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</si>
  <si>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</si>
  <si>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</si>
  <si>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</si>
  <si>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</si>
  <si>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</si>
  <si>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</si>
  <si>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</si>
  <si>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</si>
  <si>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</si>
  <si>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</si>
  <si>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</si>
  <si>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</si>
  <si>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</si>
  <si>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</si>
  <si>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</si>
  <si>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</si>
  <si>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</si>
  <si>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</si>
  <si>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</si>
  <si>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</si>
  <si>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</si>
  <si>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</si>
  <si>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</si>
  <si>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</si>
  <si>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</si>
  <si>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</si>
  <si>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</si>
  <si>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</si>
  <si>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</si>
  <si>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</si>
  <si>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</si>
  <si>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</si>
  <si>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</si>
  <si>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</si>
  <si>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</si>
  <si>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</si>
  <si>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</si>
  <si>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</si>
  <si>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</si>
  <si>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</si>
  <si>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</si>
  <si>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</si>
  <si>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</si>
  <si>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</si>
  <si>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</si>
  <si>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</si>
  <si>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</si>
  <si>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</si>
  <si>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</si>
  <si>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</si>
  <si>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</si>
  <si>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</si>
  <si>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</si>
  <si>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</si>
  <si>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</si>
  <si>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</si>
  <si>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</si>
  <si>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</si>
  <si>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</si>
  <si>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</si>
  <si>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</si>
  <si>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</si>
  <si>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</si>
  <si>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</si>
  <si>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</si>
  <si>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</si>
  <si>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</si>
  <si>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</si>
  <si>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</si>
  <si>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</si>
  <si>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</si>
  <si>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</si>
  <si>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</si>
  <si>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</si>
  <si>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</si>
  <si>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</si>
  <si>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</si>
  <si>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</si>
  <si>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</si>
  <si>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</si>
  <si>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</si>
  <si>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</si>
  <si>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</si>
  <si>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</si>
  <si>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</si>
  <si>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</si>
  <si>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</si>
  <si>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</si>
  <si>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</si>
  <si>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</si>
  <si>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</si>
  <si>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</si>
  <si>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</si>
  <si>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</si>
  <si>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</si>
  <si>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</si>
  <si>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</si>
  <si>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</si>
  <si>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</si>
  <si>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</si>
  <si>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</si>
  <si>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</si>
  <si>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</si>
  <si>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</si>
  <si>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</si>
  <si>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</si>
  <si>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</si>
  <si>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</si>
  <si>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</si>
  <si>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</si>
  <si>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</si>
  <si>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</si>
  <si>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</si>
  <si>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</si>
  <si>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</si>
  <si>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</si>
  <si>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</si>
  <si>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</si>
  <si>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</si>
  <si>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</si>
  <si>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</si>
  <si>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</si>
  <si>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</si>
  <si>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</si>
  <si>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</si>
  <si>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</si>
  <si>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</si>
  <si>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</si>
  <si>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</si>
  <si>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</si>
  <si>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</si>
  <si>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</si>
  <si>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</si>
  <si>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</si>
  <si>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</si>
  <si>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</si>
  <si>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</si>
  <si>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</si>
  <si>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</si>
  <si>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</si>
  <si>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</si>
  <si>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</si>
  <si>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</si>
  <si>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</si>
  <si>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</si>
  <si>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</si>
  <si>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</si>
  <si>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</si>
  <si>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</si>
  <si>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</si>
  <si>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</si>
  <si>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</si>
  <si>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</si>
  <si>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</si>
  <si>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</si>
  <si>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</si>
  <si>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</si>
  <si>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</si>
  <si>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</si>
  <si>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</si>
  <si>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</si>
  <si>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</si>
  <si>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</si>
  <si>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</si>
  <si>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</si>
  <si>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</si>
  <si>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</si>
  <si>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</si>
  <si>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</si>
  <si>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</si>
  <si>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</si>
  <si>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</si>
  <si>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</si>
  <si>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</si>
  <si>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</si>
  <si>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</si>
  <si>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</si>
  <si>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</si>
  <si>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</si>
  <si>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</si>
  <si>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</si>
  <si>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</si>
  <si>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</si>
  <si>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</si>
  <si>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</si>
  <si>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</si>
  <si>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</si>
  <si>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</si>
  <si>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</si>
  <si>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</si>
  <si>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</si>
  <si>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</si>
  <si>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</si>
  <si>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</si>
  <si>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</si>
  <si>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</si>
  <si>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</si>
  <si>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</si>
  <si>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</si>
  <si>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</si>
  <si>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</si>
  <si>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</si>
  <si>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</si>
  <si>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</si>
  <si>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</si>
  <si>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</si>
  <si>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</si>
  <si>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</si>
  <si>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</si>
  <si>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</si>
  <si>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</si>
  <si>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</si>
  <si>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</si>
  <si>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</si>
  <si>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</si>
  <si>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</si>
  <si>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</si>
  <si>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</si>
  <si>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</si>
  <si>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</si>
  <si>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</si>
  <si>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</si>
  <si>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</si>
  <si>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</si>
  <si>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</si>
  <si>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</si>
  <si>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</si>
  <si>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</si>
  <si>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</si>
  <si>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</si>
  <si>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</si>
  <si>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</si>
  <si>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</si>
  <si>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</si>
  <si>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</si>
  <si>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</si>
  <si>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</si>
  <si>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</si>
  <si>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</si>
  <si>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</si>
  <si>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</si>
  <si>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</si>
  <si>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</si>
  <si>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</si>
  <si>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</si>
  <si>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</si>
  <si>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</si>
  <si>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</si>
  <si>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</si>
  <si>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</si>
  <si>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</si>
  <si>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</si>
  <si>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</si>
  <si>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</si>
  <si>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</si>
  <si>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</si>
  <si>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</si>
  <si>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</si>
  <si>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</si>
  <si>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</si>
  <si>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</si>
  <si>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</si>
  <si>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</si>
  <si>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</si>
  <si>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</si>
  <si>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</si>
  <si>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</si>
  <si>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</si>
  <si>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</si>
  <si>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</si>
  <si>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</si>
  <si>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</si>
  <si>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</si>
  <si>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</si>
  <si>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</si>
  <si>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</si>
  <si>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</si>
  <si>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</si>
  <si>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</si>
  <si>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</si>
  <si>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</si>
  <si>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</si>
  <si>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</si>
  <si>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</si>
  <si>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</si>
  <si>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</si>
  <si>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</si>
  <si>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</si>
  <si>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</si>
  <si>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</si>
  <si>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</si>
  <si>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</si>
  <si>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</si>
  <si>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</si>
  <si>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</si>
  <si>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</si>
  <si>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</si>
  <si>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</si>
  <si>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</si>
  <si>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</si>
  <si>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</si>
  <si>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</si>
  <si>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</si>
  <si>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</si>
  <si>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</si>
  <si>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</si>
  <si>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</si>
  <si>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</si>
  <si>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</si>
  <si>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</si>
  <si>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</si>
  <si>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</si>
  <si>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</si>
  <si>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</si>
  <si>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</si>
  <si>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</si>
  <si>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</si>
  <si>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</si>
  <si>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</si>
  <si>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</si>
  <si>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</si>
  <si>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</si>
  <si>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</si>
  <si>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</si>
  <si>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</si>
  <si>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</si>
  <si>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</si>
  <si>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</si>
  <si>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</si>
  <si>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</si>
  <si>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</si>
  <si>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</si>
  <si>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</si>
  <si>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</si>
  <si>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</si>
  <si>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</si>
  <si>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</si>
  <si>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</si>
  <si>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</si>
  <si>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</si>
  <si>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</si>
  <si>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</si>
  <si>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</si>
  <si>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</si>
  <si>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</si>
  <si>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</si>
  <si>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</si>
  <si>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</si>
  <si>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</si>
  <si>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</si>
  <si>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</si>
  <si>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</si>
  <si>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</si>
  <si>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</si>
  <si>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</si>
  <si>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</si>
  <si>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</si>
  <si>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</si>
  <si>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</si>
  <si>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</si>
  <si>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</si>
  <si>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</si>
  <si>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</si>
  <si>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</si>
  <si>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</si>
  <si>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</si>
  <si>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</si>
  <si>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</si>
  <si>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</si>
  <si>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</si>
  <si>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</si>
  <si>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</si>
  <si>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</si>
  <si>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</si>
  <si>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</si>
  <si>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</si>
  <si>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</si>
  <si>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</si>
  <si>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</si>
  <si>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</si>
  <si>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</si>
  <si>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</si>
  <si>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</si>
  <si>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</si>
  <si>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</si>
  <si>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</si>
  <si>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</si>
  <si>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</si>
  <si>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</si>
  <si>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</si>
  <si>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</si>
  <si>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</si>
  <si>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</si>
  <si>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</si>
  <si>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</si>
  <si>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</si>
  <si>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</si>
  <si>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</si>
  <si>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</si>
  <si>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</si>
  <si>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</si>
  <si>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</si>
  <si>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</si>
  <si>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</si>
  <si>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</si>
  <si>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</si>
  <si>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</si>
  <si>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</si>
  <si>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</si>
  <si>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</si>
  <si>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</si>
  <si>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</si>
  <si>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</si>
  <si>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</si>
  <si>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</si>
  <si>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</si>
  <si>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</si>
  <si>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</si>
  <si>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</si>
  <si>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</si>
  <si>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</si>
  <si>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</si>
  <si>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</si>
  <si>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</si>
  <si>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</si>
  <si>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</si>
  <si>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</si>
  <si>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</si>
  <si>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</si>
  <si>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</si>
  <si>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</si>
  <si>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</si>
  <si>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</si>
  <si>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</si>
  <si>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</si>
  <si>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</si>
  <si>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</si>
  <si>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</si>
  <si>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</si>
  <si>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</si>
  <si>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</si>
  <si>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</si>
  <si>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</si>
  <si>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</si>
  <si>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</si>
  <si>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</si>
  <si>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</si>
  <si>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</si>
  <si>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</si>
  <si>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</si>
  <si>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</si>
  <si>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</si>
  <si>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</si>
  <si>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</si>
  <si>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</si>
  <si>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</si>
  <si>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</si>
  <si>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</si>
  <si>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</si>
  <si>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</si>
  <si>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</si>
  <si>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</si>
  <si>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</si>
  <si>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</si>
  <si>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</si>
  <si>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</si>
  <si>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</si>
  <si>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</si>
  <si>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</si>
  <si>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</si>
  <si>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</si>
  <si>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</si>
  <si>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</si>
  <si>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</si>
  <si>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</si>
  <si>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</si>
  <si>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</si>
  <si>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</si>
  <si>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</si>
  <si>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</si>
  <si>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</si>
  <si>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</si>
  <si>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</si>
  <si>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</si>
  <si>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</si>
  <si>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</si>
  <si>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</si>
  <si>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</si>
  <si>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</si>
  <si>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</si>
  <si>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</si>
  <si>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</si>
  <si>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</si>
  <si>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</si>
  <si>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</si>
  <si>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</si>
  <si>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</si>
  <si>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</si>
  <si>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</si>
  <si>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</si>
  <si>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</si>
  <si>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</si>
  <si>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</si>
  <si>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</si>
  <si>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</si>
  <si>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</si>
  <si>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</si>
  <si>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</si>
  <si>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</si>
  <si>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</si>
  <si>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</si>
  <si>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</si>
  <si>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</si>
  <si>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</si>
  <si>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</si>
  <si>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</si>
  <si>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</si>
  <si>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</si>
  <si>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</si>
  <si>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</si>
  <si>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</si>
  <si>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</si>
  <si>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</si>
  <si>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</si>
  <si>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</si>
  <si>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</si>
  <si>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</si>
  <si>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</si>
  <si>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</si>
  <si>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</si>
  <si>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</si>
  <si>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</si>
  <si>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</si>
  <si>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</si>
  <si>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</si>
  <si>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</si>
  <si>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</si>
  <si>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</si>
  <si>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</si>
  <si>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</si>
  <si>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</si>
  <si>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</si>
  <si>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</si>
  <si>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</si>
  <si>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</si>
  <si>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</si>
  <si>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</si>
  <si>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</si>
  <si>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</si>
  <si>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</si>
  <si>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</si>
  <si>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</si>
  <si>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</si>
  <si>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</si>
  <si>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</si>
  <si>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</si>
  <si>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</si>
  <si>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</si>
  <si>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</si>
  <si>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</si>
  <si>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</si>
  <si>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</si>
  <si>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</si>
  <si>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</si>
  <si>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</si>
  <si>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</si>
  <si>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</si>
  <si>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</si>
  <si>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</si>
  <si>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</si>
  <si>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</si>
  <si>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</si>
  <si>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</si>
  <si>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</si>
  <si>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</si>
  <si>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</si>
  <si>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</si>
  <si>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</si>
  <si>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</si>
  <si>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</si>
  <si>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</si>
  <si>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</si>
  <si>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</si>
  <si>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</si>
  <si>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</si>
  <si>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</si>
  <si>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</si>
  <si>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</si>
  <si>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</si>
  <si>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</si>
  <si>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</si>
  <si>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</si>
  <si>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</si>
  <si>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</si>
  <si>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</si>
  <si>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</si>
  <si>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</si>
  <si>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</si>
  <si>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</si>
  <si>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</si>
  <si>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</si>
  <si>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</si>
  <si>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</si>
  <si>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</si>
  <si>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</si>
  <si>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</si>
  <si>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</si>
  <si>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</si>
  <si>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</si>
  <si>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</si>
  <si>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</si>
  <si>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</si>
  <si>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</si>
  <si>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</si>
  <si>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</si>
  <si>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</si>
  <si>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</si>
  <si>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</si>
  <si>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</si>
  <si>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</si>
  <si>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</si>
  <si>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</si>
  <si>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</si>
  <si>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</si>
  <si>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</si>
  <si>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</si>
  <si>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</si>
  <si>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</si>
  <si>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</si>
  <si>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</si>
  <si>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</si>
  <si>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</si>
  <si>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</si>
  <si>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</si>
  <si>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</si>
  <si>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</si>
  <si>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</si>
  <si>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</si>
  <si>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</si>
  <si>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</si>
  <si>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</si>
  <si>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</si>
  <si>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</si>
  <si>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</si>
  <si>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</si>
  <si>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</si>
  <si>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</si>
  <si>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</si>
  <si>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</si>
  <si>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</si>
  <si>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</si>
  <si>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</si>
  <si>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</si>
  <si>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</si>
  <si>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</si>
  <si>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</si>
  <si>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</si>
  <si>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</si>
  <si>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</si>
  <si>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</si>
  <si>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</si>
  <si>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</si>
  <si>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</si>
  <si>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</si>
  <si>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</si>
  <si>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</si>
  <si>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</si>
  <si>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</si>
  <si>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</si>
  <si>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</si>
  <si>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</si>
  <si>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</si>
  <si>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</si>
  <si>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</si>
  <si>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</si>
  <si>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</si>
  <si>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</si>
  <si>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</si>
  <si>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</si>
  <si>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</si>
  <si>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</si>
  <si>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</si>
  <si>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</si>
  <si>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</si>
  <si>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</si>
  <si>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</si>
  <si>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</si>
  <si>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</si>
  <si>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</si>
  <si>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</si>
  <si>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</si>
  <si>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</si>
  <si>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</si>
  <si>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</si>
  <si>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</si>
  <si>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</si>
  <si>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</si>
  <si>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</si>
  <si>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</si>
  <si>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</si>
  <si>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</si>
  <si>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</si>
  <si>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</si>
  <si>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</si>
  <si>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</si>
  <si>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</si>
  <si>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</si>
  <si>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</si>
  <si>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</si>
  <si>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</si>
  <si>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</si>
  <si>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</si>
  <si>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</si>
  <si>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</si>
  <si>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</si>
  <si>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</si>
  <si>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</si>
  <si>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</si>
  <si>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</si>
  <si>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</si>
  <si>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</si>
  <si>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</si>
  <si>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</si>
  <si>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</si>
  <si>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</si>
  <si>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</si>
  <si>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</si>
  <si>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</si>
  <si>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</si>
  <si>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</si>
  <si>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</si>
  <si>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</si>
  <si>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</si>
  <si>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</si>
  <si>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</si>
  <si>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</si>
  <si>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</si>
  <si>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</si>
  <si>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</si>
  <si>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</si>
  <si>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</si>
  <si>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</si>
  <si>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</si>
  <si>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</si>
  <si>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</si>
  <si>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</si>
  <si>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</si>
  <si>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</si>
  <si>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</si>
  <si>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</si>
  <si>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</si>
  <si>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</si>
  <si>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</si>
  <si>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</si>
  <si>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</si>
  <si>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</si>
  <si>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</si>
  <si>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</si>
  <si>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</si>
  <si>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</si>
  <si>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</si>
  <si>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</si>
  <si>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</si>
  <si>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</si>
  <si>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</si>
  <si>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</si>
  <si>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</si>
  <si>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</si>
  <si>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</si>
  <si>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</si>
  <si>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</si>
  <si>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</si>
  <si>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</si>
  <si>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</si>
  <si>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</si>
  <si>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</si>
  <si>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</si>
  <si>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</si>
  <si>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</si>
  <si>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</si>
  <si>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</si>
  <si>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</si>
  <si>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</si>
  <si>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</si>
  <si>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</si>
  <si>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</si>
  <si>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</si>
  <si>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</si>
  <si>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</si>
  <si>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</si>
  <si>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</si>
  <si>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</si>
  <si>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</si>
  <si>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</si>
  <si>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</si>
  <si>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</si>
  <si>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</si>
  <si>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</si>
  <si>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</si>
  <si>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</si>
  <si>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</si>
  <si>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</si>
  <si>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</si>
  <si>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</si>
  <si>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</si>
  <si>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</si>
  <si>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</si>
  <si>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</si>
  <si>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</si>
  <si>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</si>
  <si>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</si>
  <si>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</si>
  <si>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</si>
  <si>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</si>
  <si>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</si>
  <si>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</si>
  <si>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</si>
  <si>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</si>
  <si>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</si>
  <si>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</si>
  <si>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</si>
  <si>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</si>
  <si>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</si>
  <si>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</si>
  <si>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</si>
  <si>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</si>
  <si>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</si>
  <si>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</si>
  <si>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</si>
  <si>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</si>
  <si>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</si>
  <si>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</si>
  <si>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</si>
  <si>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</si>
  <si>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</si>
  <si>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</si>
  <si>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</si>
  <si>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</si>
  <si>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</si>
  <si>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</si>
  <si>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</si>
  <si>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</si>
  <si>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</si>
  <si>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</si>
  <si>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</si>
  <si>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</si>
  <si>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</si>
  <si>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</si>
  <si>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</si>
  <si>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</si>
  <si>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</si>
  <si>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</si>
  <si>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</si>
  <si>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</si>
  <si>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</si>
  <si>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</si>
  <si>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</si>
  <si>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</si>
  <si>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</si>
  <si>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</si>
  <si>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</si>
  <si>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</si>
  <si>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</si>
  <si>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</si>
  <si>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</si>
  <si>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</si>
  <si>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</si>
  <si>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</si>
  <si>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</si>
  <si>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</si>
  <si>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</si>
  <si>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</si>
  <si>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</si>
  <si>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</si>
  <si>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</si>
  <si>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</si>
  <si>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</si>
  <si>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</si>
  <si>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</si>
  <si>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</si>
  <si>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</si>
  <si>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</si>
  <si>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</si>
  <si>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</si>
  <si>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</si>
  <si>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</si>
  <si>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</si>
  <si>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</si>
  <si>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</si>
  <si>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</si>
  <si>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</si>
  <si>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</si>
  <si>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</si>
  <si>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</si>
  <si>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</si>
  <si>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</si>
  <si>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</si>
  <si>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</si>
  <si>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</si>
  <si>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</si>
  <si>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</si>
  <si>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</si>
  <si>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</si>
  <si>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</si>
  <si>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</si>
  <si>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</si>
  <si>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</si>
  <si>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</si>
  <si>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</si>
  <si>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</si>
  <si>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</si>
  <si>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</si>
  <si>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</si>
  <si>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</si>
  <si>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</si>
  <si>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</si>
  <si>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</si>
  <si>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</si>
  <si>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</si>
  <si>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</si>
  <si>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</si>
  <si>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</si>
  <si>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</si>
  <si>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</si>
  <si>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</si>
  <si>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</si>
  <si>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</si>
  <si>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</si>
  <si>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</si>
  <si>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</si>
  <si>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</si>
  <si>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</si>
  <si>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</si>
  <si>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</si>
  <si>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</si>
  <si>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</si>
  <si>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</si>
  <si>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</si>
  <si>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</si>
  <si>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</si>
  <si>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</si>
  <si>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</si>
  <si>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</si>
  <si>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</si>
  <si>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</si>
  <si>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</si>
  <si>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</si>
  <si>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</si>
  <si>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</si>
  <si>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</si>
  <si>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</si>
  <si>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</si>
  <si>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</si>
  <si>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</si>
  <si>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</si>
  <si>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</si>
  <si>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</si>
  <si>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</si>
  <si>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</si>
  <si>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</si>
  <si>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</si>
  <si>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</si>
  <si>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</si>
  <si>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</si>
  <si>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</si>
  <si>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</si>
  <si>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</si>
  <si>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</si>
  <si>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</si>
  <si>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</si>
  <si>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</si>
  <si>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</si>
  <si>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</si>
  <si>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</si>
  <si>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</si>
  <si>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</si>
  <si>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</si>
  <si>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</si>
  <si>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</si>
  <si>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</si>
  <si>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</si>
  <si>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</si>
  <si>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</si>
  <si>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</si>
  <si>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</si>
  <si>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</si>
  <si>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</si>
  <si>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</si>
  <si>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</si>
  <si>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</si>
  <si>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</si>
  <si>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</si>
  <si>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</si>
  <si>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</si>
  <si>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</si>
  <si>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</si>
  <si>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</si>
  <si>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</si>
  <si>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</si>
  <si>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</si>
  <si>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</si>
  <si>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</si>
  <si>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</si>
  <si>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</si>
  <si>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</si>
  <si>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</si>
  <si>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</si>
  <si>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</si>
  <si>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</si>
  <si>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</si>
  <si>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</si>
  <si>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</si>
  <si>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</si>
  <si>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</si>
  <si>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</si>
  <si>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</si>
  <si>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</si>
  <si>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</si>
  <si>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</si>
  <si>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</si>
  <si>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</si>
  <si>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</si>
  <si>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</si>
  <si>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</si>
  <si>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</si>
  <si>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</si>
  <si>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</si>
  <si>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</si>
  <si>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</si>
  <si>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</si>
  <si>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</si>
  <si>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</si>
  <si>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</si>
  <si>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</si>
  <si>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</si>
  <si>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</si>
  <si>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</si>
  <si>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</si>
  <si>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</si>
  <si>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</si>
  <si>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</si>
  <si>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</si>
  <si>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</si>
  <si>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</si>
  <si>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</si>
  <si>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</si>
  <si>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</si>
  <si>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</si>
  <si>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</si>
  <si>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</si>
  <si>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</si>
  <si>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</si>
  <si>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</si>
  <si>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</si>
  <si>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</si>
  <si>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</si>
  <si>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</si>
  <si>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</si>
  <si>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</si>
  <si>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</si>
  <si>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</si>
  <si>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</si>
  <si>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</si>
  <si>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</si>
  <si>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</si>
  <si>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</si>
  <si>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</si>
  <si>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</si>
  <si>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</si>
  <si>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</si>
  <si>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</si>
  <si>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</si>
  <si>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</si>
  <si>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</si>
  <si>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</si>
  <si>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</si>
  <si>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</si>
  <si>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</si>
  <si>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</si>
  <si>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</si>
  <si>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</si>
  <si>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</si>
  <si>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</si>
  <si>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</si>
  <si>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</si>
  <si>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</si>
  <si>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</si>
  <si>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</si>
  <si>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</si>
  <si>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</si>
  <si>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</si>
  <si>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</si>
  <si>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</si>
  <si>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</si>
  <si>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</si>
  <si>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</si>
  <si>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</si>
  <si>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</si>
  <si>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</si>
  <si>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</si>
  <si>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</si>
  <si>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</si>
  <si>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</si>
  <si>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</si>
  <si>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</si>
  <si>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</si>
  <si>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</si>
  <si>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</si>
  <si>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</si>
  <si>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</si>
  <si>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</si>
  <si>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</si>
  <si>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</si>
  <si>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</si>
  <si>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</si>
  <si>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</si>
  <si>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</si>
  <si>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</si>
  <si>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</si>
  <si>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</si>
  <si>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</si>
  <si>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</si>
  <si>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</si>
  <si>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</si>
  <si>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</si>
  <si>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</si>
  <si>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</si>
  <si>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</si>
  <si>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</si>
  <si>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</si>
  <si>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</si>
  <si>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</si>
  <si>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</si>
  <si>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</si>
  <si>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</si>
  <si>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</si>
  <si>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</si>
  <si>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</si>
  <si>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</si>
  <si>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</si>
  <si>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</si>
  <si>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</si>
  <si>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</si>
  <si>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</si>
  <si>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</si>
  <si>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</si>
  <si>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</si>
  <si>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</si>
  <si>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</si>
  <si>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</si>
  <si>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</si>
  <si>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</si>
  <si>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</si>
  <si>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</si>
  <si>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</si>
  <si>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</si>
  <si>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</si>
  <si>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</si>
  <si>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</si>
  <si>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</si>
  <si>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</si>
  <si>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</si>
  <si>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</si>
  <si>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</si>
  <si>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</si>
  <si>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</si>
  <si>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</si>
  <si>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</si>
  <si>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</si>
  <si>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</si>
  <si>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</si>
  <si>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</si>
  <si>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</si>
  <si>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</si>
  <si>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</si>
  <si>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</si>
  <si>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</si>
  <si>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</si>
  <si>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</si>
  <si>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</si>
  <si>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</si>
  <si>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</si>
  <si>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</si>
  <si>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</si>
  <si>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</si>
  <si>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</si>
  <si>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</si>
  <si>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</si>
  <si>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</si>
  <si>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</si>
  <si>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</si>
  <si>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</si>
  <si>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</si>
  <si>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</si>
  <si>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</si>
  <si>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</si>
  <si>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</si>
  <si>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</si>
  <si>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</si>
  <si>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</si>
  <si>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</si>
  <si>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</si>
  <si>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</si>
  <si>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</si>
  <si>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</si>
  <si>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</si>
  <si>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</si>
  <si>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</si>
  <si>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</si>
  <si>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</si>
  <si>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</si>
  <si>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</si>
  <si>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</si>
  <si>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</si>
  <si>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</si>
  <si>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</si>
  <si>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</si>
  <si>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</si>
  <si>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</si>
  <si>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</si>
  <si>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</si>
  <si>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</si>
  <si>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</si>
  <si>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</si>
  <si>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</si>
  <si>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</si>
  <si>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</si>
  <si>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</si>
  <si>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</si>
  <si>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</si>
  <si>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</si>
  <si>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</si>
  <si>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</si>
  <si>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</si>
  <si>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</si>
  <si>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</si>
  <si>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</si>
  <si>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</si>
  <si>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</si>
  <si>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</si>
  <si>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</si>
  <si>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</si>
  <si>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</si>
  <si>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</si>
  <si>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</si>
  <si>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</si>
  <si>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</si>
  <si>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</si>
  <si>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</si>
  <si>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</si>
  <si>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</si>
  <si>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</si>
  <si>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</si>
  <si>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</si>
  <si>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</si>
  <si>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</si>
  <si>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</si>
  <si>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</si>
  <si>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</si>
  <si>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</si>
  <si>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</si>
  <si>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</si>
  <si>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</si>
  <si>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</si>
  <si>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</si>
  <si>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</si>
  <si>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</si>
  <si>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</si>
  <si>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</si>
  <si>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</si>
  <si>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</si>
  <si>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</si>
  <si>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</si>
  <si>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</si>
  <si>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</si>
  <si>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</si>
  <si>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</si>
  <si>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</si>
  <si>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</si>
  <si>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</si>
  <si>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</si>
  <si>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</si>
  <si>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</si>
  <si>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</si>
  <si>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</si>
  <si>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</si>
  <si>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</si>
  <si>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</si>
  <si>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</si>
  <si>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</si>
  <si>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</si>
  <si>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</si>
  <si>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</si>
  <si>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</si>
  <si>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</si>
  <si>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</si>
  <si>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</si>
  <si>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</si>
  <si>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</si>
  <si>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</si>
  <si>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</si>
  <si>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</si>
  <si>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</si>
  <si>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</si>
  <si>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</si>
  <si>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</si>
  <si>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</si>
  <si>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</si>
  <si>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</si>
  <si>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</si>
  <si>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</si>
  <si>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</si>
  <si>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</si>
  <si>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</si>
  <si>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</si>
  <si>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</si>
  <si>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</si>
  <si>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</si>
  <si>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</si>
  <si>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</si>
  <si>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</si>
  <si>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</si>
  <si>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</si>
  <si>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</si>
  <si>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</si>
  <si>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</si>
  <si>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</si>
  <si>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</si>
  <si>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</si>
  <si>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</si>
  <si>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</si>
  <si>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</si>
  <si>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</si>
  <si>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</si>
  <si>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</si>
  <si>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</si>
  <si>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</si>
  <si>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</si>
  <si>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</si>
  <si>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</si>
  <si>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</si>
  <si>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</si>
  <si>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</si>
  <si>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</si>
  <si>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</si>
  <si>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</si>
  <si>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</si>
  <si>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</si>
  <si>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</si>
  <si>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</si>
  <si>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</si>
  <si>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</si>
  <si>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</si>
  <si>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</si>
  <si>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</si>
  <si>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</si>
  <si>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</si>
  <si>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</si>
  <si>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</si>
  <si>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</si>
  <si>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</si>
  <si>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</si>
  <si>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</si>
  <si>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</si>
  <si>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</si>
  <si>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</si>
  <si>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</si>
  <si>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</si>
  <si>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</si>
  <si>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</si>
  <si>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</si>
  <si>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</si>
  <si>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</si>
  <si>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</si>
  <si>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</si>
  <si>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</si>
  <si>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</si>
  <si>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</si>
  <si>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</si>
  <si>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</si>
  <si>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</si>
  <si>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</si>
  <si>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</si>
  <si>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</si>
  <si>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</si>
  <si>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</si>
  <si>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</si>
  <si>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</si>
  <si>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</si>
  <si>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</si>
  <si>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</si>
  <si>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</si>
  <si>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</si>
  <si>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</si>
  <si>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</si>
  <si>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</si>
  <si>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</si>
  <si>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</si>
  <si>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</si>
  <si>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</si>
  <si>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</si>
  <si>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</si>
  <si>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</si>
  <si>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</si>
  <si>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</si>
  <si>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</si>
  <si>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</si>
  <si>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</si>
  <si>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</si>
  <si>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</si>
  <si>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</si>
  <si>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</si>
  <si>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</si>
  <si>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</si>
  <si>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</si>
  <si>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</si>
  <si>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</si>
  <si>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</si>
  <si>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</si>
  <si>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</si>
  <si>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</si>
  <si>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</si>
  <si>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</si>
  <si>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</si>
  <si>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</si>
  <si>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</si>
  <si>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</si>
  <si>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</si>
  <si>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</si>
  <si>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</si>
  <si>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</si>
  <si>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</si>
  <si>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</si>
  <si>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</si>
  <si>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</si>
  <si>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</si>
  <si>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</si>
  <si>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</si>
  <si>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</si>
  <si>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</si>
  <si>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</si>
  <si>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</si>
  <si>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</si>
  <si>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</si>
  <si>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</si>
  <si>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</si>
  <si>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</si>
  <si>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</si>
  <si>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</si>
  <si>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</si>
  <si>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</si>
  <si>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</si>
  <si>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</si>
  <si>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</si>
  <si>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</si>
  <si>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</si>
  <si>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</si>
  <si>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</si>
  <si>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</si>
  <si>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</si>
  <si>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</si>
  <si>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</si>
  <si>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</si>
  <si>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</si>
  <si>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</si>
  <si>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</si>
  <si>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</si>
  <si>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</si>
  <si>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</si>
  <si>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</si>
  <si>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</si>
  <si>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</si>
  <si>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</si>
  <si>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</si>
  <si>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</si>
  <si>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</si>
  <si>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</si>
  <si>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</si>
  <si>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</si>
  <si>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</si>
  <si>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</si>
  <si>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</si>
  <si>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</si>
  <si>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</si>
  <si>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</si>
  <si>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</si>
  <si>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</si>
  <si>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</si>
  <si>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</si>
  <si>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</si>
  <si>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</si>
  <si>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</si>
  <si>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</si>
  <si>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</si>
  <si>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</si>
  <si>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</si>
  <si>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</si>
  <si>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</si>
  <si>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</si>
  <si>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</si>
  <si>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</si>
  <si>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</si>
  <si>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</si>
  <si>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</si>
  <si>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</si>
  <si>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</si>
  <si>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</si>
  <si>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</si>
  <si>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</si>
  <si>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</si>
  <si>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</si>
  <si>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</si>
  <si>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</si>
  <si>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</si>
  <si>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</si>
  <si>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</si>
  <si>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</si>
  <si>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</si>
  <si>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</si>
  <si>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</si>
  <si>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</si>
  <si>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</si>
  <si>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</si>
  <si>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</si>
  <si>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</si>
  <si>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</si>
  <si>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</si>
  <si>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</si>
  <si>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</si>
  <si>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</si>
  <si>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</si>
  <si>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</si>
  <si>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</si>
  <si>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</si>
  <si>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</si>
  <si>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</si>
  <si>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</si>
  <si>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</si>
  <si>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</si>
  <si>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</si>
  <si>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</si>
  <si>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</si>
  <si>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</si>
  <si>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</si>
  <si>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</si>
  <si>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</si>
  <si>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</si>
  <si>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</si>
  <si>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</si>
  <si>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</si>
  <si>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</si>
  <si>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</si>
  <si>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</si>
  <si>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</si>
  <si>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</si>
  <si>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</si>
  <si>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</si>
  <si>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</si>
  <si>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</si>
  <si>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</si>
  <si>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</si>
  <si>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</si>
  <si>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</si>
  <si>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</si>
  <si>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</si>
  <si>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</si>
  <si>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</si>
  <si>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</si>
  <si>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</si>
  <si>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</si>
  <si>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</si>
  <si>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</si>
  <si>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</si>
  <si>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</si>
  <si>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</si>
  <si>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</si>
  <si>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</si>
  <si>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</si>
  <si>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</si>
  <si>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</si>
  <si>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</si>
  <si>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</si>
  <si>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</si>
  <si>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</si>
  <si>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</si>
  <si>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</si>
  <si>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</si>
  <si>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</si>
  <si>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</si>
  <si>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</si>
  <si>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</si>
  <si>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</si>
  <si>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</si>
  <si>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</si>
  <si>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</si>
  <si>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</si>
  <si>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</si>
  <si>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</si>
  <si>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</si>
  <si>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</si>
  <si>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</si>
  <si>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</si>
  <si>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</si>
  <si>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</si>
  <si>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</si>
  <si>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</si>
  <si>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</si>
  <si>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</si>
  <si>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</si>
  <si>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</si>
  <si>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</si>
  <si>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</si>
  <si>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</si>
  <si>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</si>
  <si>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</si>
  <si>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</si>
  <si>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</si>
  <si>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</si>
  <si>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</si>
  <si>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</si>
  <si>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</si>
  <si>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</si>
  <si>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</si>
  <si>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</si>
  <si>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</si>
  <si>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</si>
  <si>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</si>
  <si>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</si>
  <si>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</si>
  <si>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</si>
  <si>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</si>
  <si>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</si>
  <si>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</si>
  <si>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</si>
  <si>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</si>
  <si>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</si>
  <si>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</si>
  <si>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</si>
  <si>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</si>
  <si>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</si>
  <si>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</si>
  <si>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</si>
  <si>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</si>
  <si>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</si>
  <si>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</si>
  <si>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</si>
  <si>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</si>
  <si>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</si>
  <si>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</si>
  <si>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</si>
  <si>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</si>
  <si>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</si>
  <si>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</si>
  <si>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</si>
  <si>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</si>
  <si>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</si>
  <si>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</si>
  <si>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</si>
  <si>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</si>
  <si>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</si>
  <si>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</si>
  <si>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</si>
  <si>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</si>
  <si>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</si>
  <si>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</si>
  <si>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</si>
  <si>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</si>
  <si>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</si>
  <si>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</si>
  <si>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</si>
  <si>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</si>
  <si>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</si>
  <si>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</si>
  <si>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</si>
  <si>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</si>
  <si>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</si>
  <si>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</si>
  <si>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</si>
  <si>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</si>
  <si>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</si>
  <si>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</si>
  <si>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</si>
  <si>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</si>
  <si>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</si>
  <si>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</si>
  <si>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</si>
  <si>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</si>
  <si>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</si>
  <si>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</si>
  <si>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</si>
  <si>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</si>
  <si>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</si>
  <si>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</si>
  <si>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</si>
  <si>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</si>
  <si>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</si>
  <si>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</si>
  <si>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</si>
  <si>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</si>
  <si>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</si>
  <si>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</si>
  <si>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</si>
  <si>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</si>
  <si>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</si>
  <si>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</si>
  <si>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</si>
  <si>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</si>
  <si>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</si>
  <si>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</si>
  <si>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</si>
  <si>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</si>
  <si>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</si>
  <si>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</si>
  <si>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</si>
  <si>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</si>
  <si>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</si>
  <si>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</si>
  <si>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</si>
  <si>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</si>
  <si>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</si>
  <si>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</si>
  <si>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</si>
  <si>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</si>
  <si>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</si>
  <si>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</si>
  <si>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</si>
  <si>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</si>
  <si>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</si>
  <si>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</si>
  <si>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</si>
  <si>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</si>
  <si>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</si>
  <si>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</si>
  <si>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</si>
  <si>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</si>
  <si>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</si>
  <si>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</si>
  <si>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</si>
  <si>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</si>
  <si>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</si>
  <si>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</si>
  <si>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</si>
  <si>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</si>
  <si>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</si>
  <si>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</si>
  <si>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</si>
  <si>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</si>
  <si>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</si>
  <si>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</si>
  <si>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</si>
  <si>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</si>
  <si>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</si>
  <si>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</si>
  <si>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</si>
  <si>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</si>
  <si>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</si>
  <si>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</si>
  <si>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</si>
  <si>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</si>
  <si>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</si>
  <si>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</si>
  <si>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</si>
  <si>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</si>
  <si>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</si>
  <si>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</si>
  <si>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</si>
  <si>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</si>
  <si>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</si>
  <si>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</si>
  <si>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</si>
  <si>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</si>
  <si>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</si>
  <si>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</si>
  <si>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</si>
  <si>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</si>
  <si>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</si>
  <si>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</si>
  <si>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</si>
  <si>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</si>
  <si>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</si>
  <si>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</si>
  <si>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</si>
  <si>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</si>
  <si>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</si>
  <si>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</si>
  <si>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</si>
  <si>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</si>
  <si>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</si>
  <si>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</si>
  <si>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</si>
  <si>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</si>
  <si>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</si>
  <si>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</si>
  <si>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</si>
  <si>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</si>
  <si>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</si>
  <si>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</si>
  <si>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</si>
  <si>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</si>
  <si>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</si>
  <si>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</si>
  <si>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</si>
  <si>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</si>
  <si>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</si>
  <si>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</si>
  <si>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</si>
  <si>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</si>
  <si>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</si>
  <si>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</si>
  <si>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</si>
  <si>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</si>
  <si>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</si>
  <si>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</si>
  <si>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</si>
  <si>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</si>
  <si>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</si>
  <si>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</si>
  <si>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</si>
  <si>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</si>
  <si>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</si>
  <si>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</si>
  <si>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</si>
  <si>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</si>
  <si>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</si>
  <si>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</si>
  <si>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</si>
  <si>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</si>
  <si>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</si>
  <si>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</si>
  <si>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</si>
  <si>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</si>
  <si>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</si>
  <si>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</si>
  <si>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</si>
  <si>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</si>
  <si>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</si>
  <si>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</si>
  <si>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</si>
  <si>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</si>
  <si>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</si>
  <si>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</si>
  <si>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</si>
  <si>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</si>
  <si>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</si>
  <si>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</si>
  <si>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</si>
  <si>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</si>
  <si>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</si>
  <si>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</si>
  <si>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</si>
  <si>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</si>
  <si>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</si>
  <si>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</si>
  <si>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</si>
  <si>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</si>
  <si>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</si>
  <si>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</si>
  <si>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</si>
  <si>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</si>
  <si>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</si>
  <si>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</si>
  <si>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</si>
  <si>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</si>
  <si>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</si>
  <si>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</si>
  <si>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</si>
  <si>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</si>
  <si>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</si>
  <si>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</si>
  <si>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</si>
  <si>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</si>
  <si>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</si>
  <si>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</si>
  <si>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</si>
  <si>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</si>
  <si>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</si>
  <si>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</si>
  <si>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</si>
  <si>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</si>
  <si>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</si>
  <si>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</si>
  <si>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</si>
  <si>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</si>
  <si>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</si>
  <si>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</si>
  <si>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</si>
  <si>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</si>
  <si>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</si>
  <si>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</si>
  <si>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</si>
  <si>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</si>
  <si>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</si>
  <si>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</si>
  <si>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</si>
  <si>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</si>
  <si>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</si>
  <si>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</si>
  <si>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</si>
  <si>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</si>
  <si>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</si>
  <si>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</si>
  <si>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</si>
  <si>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</si>
  <si>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</si>
  <si>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</si>
  <si>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</si>
  <si>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</si>
  <si>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</si>
  <si>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</si>
  <si>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</si>
  <si>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</si>
  <si>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</si>
  <si>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</si>
  <si>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</si>
  <si>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</si>
  <si>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</si>
  <si>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</si>
  <si>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</si>
  <si>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</si>
  <si>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</si>
  <si>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</si>
  <si>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</si>
  <si>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</si>
  <si>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</si>
  <si>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</si>
  <si>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</si>
  <si>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</si>
  <si>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</si>
  <si>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</si>
  <si>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</si>
  <si>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</si>
  <si>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</si>
  <si>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</si>
  <si>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</si>
  <si>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</si>
  <si>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</si>
  <si>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</si>
  <si>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</si>
  <si>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</si>
  <si>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</si>
  <si>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</si>
  <si>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</si>
  <si>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</si>
  <si>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</si>
  <si>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</si>
  <si>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</si>
  <si>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</si>
  <si>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</si>
  <si>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</si>
  <si>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</si>
  <si>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</si>
  <si>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</si>
  <si>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</si>
  <si>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</si>
  <si>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</si>
  <si>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</si>
  <si>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</si>
  <si>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</si>
  <si>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</si>
  <si>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</si>
  <si>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</si>
  <si>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</si>
  <si>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</si>
  <si>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</si>
  <si>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</si>
  <si>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</si>
  <si>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</si>
  <si>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</si>
  <si>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</si>
  <si>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</si>
  <si>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</si>
  <si>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</si>
  <si>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</si>
  <si>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</si>
  <si>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</si>
  <si>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</si>
  <si>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</si>
  <si>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</si>
  <si>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</si>
  <si>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</si>
  <si>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</si>
  <si>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</si>
  <si>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</si>
  <si>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</si>
  <si>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</si>
  <si>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</si>
  <si>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</si>
  <si>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</si>
  <si>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</si>
  <si>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</si>
  <si>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</si>
  <si>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</si>
  <si>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</si>
  <si>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</si>
  <si>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</si>
  <si>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</si>
  <si>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</si>
  <si>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</si>
  <si>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</si>
  <si>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</si>
  <si>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</si>
  <si>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</si>
  <si>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</si>
  <si>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</si>
  <si>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</si>
  <si>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</si>
  <si>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</si>
  <si>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</si>
  <si>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</si>
  <si>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</si>
  <si>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</si>
  <si>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</si>
  <si>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</si>
  <si>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</si>
  <si>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</si>
  <si>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</si>
  <si>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</si>
  <si>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</si>
  <si>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</si>
  <si>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</si>
  <si>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</si>
  <si>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</si>
  <si>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</si>
  <si>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</si>
  <si>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</si>
  <si>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</si>
  <si>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</si>
  <si>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</si>
  <si>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</si>
  <si>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</si>
  <si>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</si>
  <si>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</si>
  <si>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</si>
  <si>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</si>
  <si>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</si>
  <si>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</si>
  <si>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</si>
  <si>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</si>
  <si>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</si>
  <si>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</si>
  <si>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</si>
  <si>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</si>
  <si>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</si>
  <si>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</si>
  <si>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</si>
  <si>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</si>
  <si>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</si>
  <si>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</si>
  <si>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</si>
  <si>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</si>
  <si>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</si>
  <si>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</si>
  <si>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</si>
  <si>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</si>
  <si>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</si>
  <si>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</si>
  <si>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</si>
  <si>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</si>
  <si>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</si>
  <si>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</si>
  <si>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</si>
  <si>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</si>
  <si>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</si>
  <si>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</si>
  <si>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</si>
  <si>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</si>
  <si>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</si>
  <si>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</si>
  <si>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</si>
  <si>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</si>
  <si>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</si>
  <si>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</si>
  <si>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</si>
  <si>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</si>
  <si>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</si>
  <si>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</si>
  <si>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</si>
  <si>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</si>
  <si>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</si>
  <si>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</si>
  <si>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</si>
  <si>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</si>
  <si>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</si>
  <si>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</si>
  <si>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</si>
  <si>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</si>
  <si>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</si>
  <si>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</si>
  <si>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</si>
  <si>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</si>
  <si>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</si>
  <si>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</si>
  <si>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</si>
  <si>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</si>
  <si>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</si>
  <si>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</si>
  <si>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</si>
  <si>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</si>
  <si>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</si>
  <si>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</si>
  <si>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</si>
  <si>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</si>
  <si>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</si>
  <si>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</si>
  <si>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</si>
  <si>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</si>
  <si>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</si>
  <si>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</si>
  <si>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</si>
  <si>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</si>
  <si>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</si>
  <si>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</si>
  <si>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</si>
  <si>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</si>
  <si>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</si>
  <si>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</si>
  <si>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</si>
  <si>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</si>
  <si>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</si>
  <si>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</si>
  <si>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</si>
  <si>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</si>
  <si>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</si>
  <si>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</si>
  <si>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</si>
  <si>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</si>
  <si>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</si>
  <si>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</si>
  <si>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</si>
  <si>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</si>
  <si>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</si>
  <si>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</si>
  <si>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</si>
  <si>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</si>
  <si>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</si>
  <si>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</si>
  <si>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</si>
  <si>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</si>
  <si>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</si>
  <si>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</si>
  <si>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</si>
  <si>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</si>
  <si>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</si>
  <si>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</si>
  <si>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</si>
  <si>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</si>
  <si>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</si>
  <si>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</si>
  <si>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</si>
  <si>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</si>
  <si>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</si>
  <si>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</si>
  <si>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</si>
  <si>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</si>
  <si>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</si>
  <si>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</si>
  <si>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</si>
  <si>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</si>
  <si>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</si>
  <si>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</si>
  <si>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</si>
  <si>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</si>
  <si>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</si>
  <si>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</si>
  <si>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</si>
  <si>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</si>
  <si>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</si>
  <si>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</si>
  <si>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</si>
  <si>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</si>
  <si>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</si>
  <si>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</si>
  <si>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</si>
  <si>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</si>
  <si>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</si>
  <si>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</si>
  <si>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</si>
  <si>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</si>
  <si>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</si>
  <si>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</si>
  <si>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</si>
  <si>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</si>
  <si>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</si>
  <si>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</si>
  <si>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</si>
  <si>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</si>
  <si>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</si>
  <si>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</si>
  <si>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</si>
  <si>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</si>
  <si>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</si>
  <si>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</si>
  <si>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</si>
  <si>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</si>
  <si>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</si>
  <si>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</si>
  <si>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</si>
  <si>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</si>
  <si>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</si>
  <si>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</si>
  <si>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</si>
  <si>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</si>
  <si>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</si>
  <si>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</si>
  <si>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</si>
  <si>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</si>
  <si>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</si>
  <si>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</si>
  <si>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</si>
  <si>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</si>
  <si>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</si>
  <si>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</si>
  <si>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</si>
  <si>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</si>
  <si>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</si>
  <si>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</si>
  <si>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</si>
  <si>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</si>
  <si>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</si>
  <si>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</si>
  <si>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</si>
  <si>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</si>
  <si>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</si>
  <si>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</si>
  <si>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</si>
  <si>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</si>
  <si>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</si>
  <si>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</si>
  <si>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</si>
  <si>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</si>
  <si>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</si>
  <si>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</si>
  <si>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</si>
  <si>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</si>
  <si>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</si>
  <si>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</si>
  <si>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</si>
  <si>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</si>
  <si>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</si>
  <si>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</si>
  <si>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</si>
  <si>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</si>
  <si>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</si>
  <si>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</si>
  <si>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</si>
  <si>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</si>
  <si>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</si>
  <si>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</si>
  <si>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</si>
  <si>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</si>
  <si>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</si>
  <si>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</si>
  <si>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</si>
  <si>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</si>
  <si>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</si>
  <si>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</si>
  <si>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</si>
  <si>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</si>
  <si>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</si>
  <si>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</si>
  <si>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</si>
  <si>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</si>
  <si>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</si>
  <si>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</si>
  <si>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</si>
  <si>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</si>
  <si>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</si>
  <si>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</si>
  <si>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</si>
  <si>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</si>
  <si>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</si>
  <si>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</si>
  <si>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</si>
  <si>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</si>
  <si>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</si>
  <si>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</si>
  <si>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</si>
  <si>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</si>
  <si>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</si>
  <si>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</si>
  <si>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</si>
  <si>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</si>
  <si>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</si>
  <si>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</si>
  <si>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</si>
  <si>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</si>
  <si>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</si>
  <si>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</si>
  <si>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</si>
  <si>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</si>
  <si>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</si>
  <si>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</si>
  <si>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</si>
  <si>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</si>
  <si>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</si>
  <si>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</si>
  <si>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</si>
  <si>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</si>
  <si>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</si>
  <si>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</si>
  <si>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</si>
  <si>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</si>
  <si>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</si>
  <si>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</si>
  <si>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</si>
  <si>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</si>
  <si>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</si>
  <si>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</si>
  <si>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</si>
  <si>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</si>
  <si>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</si>
  <si>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</si>
  <si>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</si>
  <si>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</si>
  <si>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</si>
  <si>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</si>
  <si>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</si>
  <si>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</si>
  <si>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</si>
  <si>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</si>
  <si>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</si>
  <si>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</si>
  <si>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</si>
  <si>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</si>
  <si>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</si>
  <si>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</si>
  <si>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</si>
  <si>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</si>
  <si>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</si>
  <si>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</si>
  <si>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</si>
  <si>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</si>
  <si>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</si>
  <si>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</si>
  <si>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</si>
  <si>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</si>
  <si>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</si>
  <si>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</si>
  <si>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</si>
  <si>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</si>
  <si>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</si>
  <si>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</si>
  <si>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</si>
  <si>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</si>
  <si>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</si>
  <si>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</si>
  <si>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</si>
  <si>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</si>
  <si>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</si>
  <si>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</si>
  <si>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</si>
  <si>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</si>
  <si>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</si>
  <si>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</si>
  <si>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</si>
  <si>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</si>
  <si>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</si>
  <si>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</si>
  <si>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</si>
  <si>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</si>
  <si>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</si>
  <si>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</si>
  <si>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</si>
  <si>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</si>
  <si>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</si>
  <si>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</si>
  <si>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</si>
  <si>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</si>
  <si>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</si>
  <si>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</si>
  <si>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</si>
  <si>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</si>
  <si>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</si>
  <si>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</si>
  <si>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</si>
  <si>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</si>
  <si>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</si>
  <si>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</si>
  <si>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</si>
  <si>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</si>
  <si>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</si>
  <si>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</si>
  <si>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</si>
  <si>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</si>
  <si>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</si>
  <si>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</si>
  <si>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</si>
  <si>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</si>
  <si>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</si>
  <si>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</si>
  <si>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</si>
  <si>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</si>
  <si>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</si>
  <si>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</si>
  <si>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</si>
  <si>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</si>
  <si>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</si>
  <si>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</si>
  <si>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</si>
  <si>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</si>
  <si>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</si>
  <si>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</si>
  <si>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</si>
  <si>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</si>
  <si>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</si>
  <si>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</si>
  <si>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</si>
  <si>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</si>
  <si>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</si>
  <si>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</si>
  <si>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</si>
  <si>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</si>
  <si>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</si>
  <si>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</si>
  <si>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</si>
  <si>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</si>
  <si>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</si>
  <si>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</si>
  <si>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</si>
  <si>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</si>
  <si>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</si>
  <si>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</si>
  <si>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</si>
  <si>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</si>
  <si>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</si>
  <si>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</si>
  <si>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</si>
  <si>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</si>
  <si>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</si>
  <si>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</si>
  <si>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</si>
  <si>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</si>
  <si>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</si>
  <si>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</si>
  <si>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</si>
  <si>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</si>
  <si>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</si>
  <si>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</si>
  <si>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</si>
  <si>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</si>
  <si>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</si>
  <si>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</si>
  <si>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</si>
  <si>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</si>
  <si>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</si>
  <si>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</si>
  <si>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</si>
  <si>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</si>
  <si>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</si>
  <si>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</si>
  <si>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</si>
  <si>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</si>
  <si>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</si>
  <si>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</si>
  <si>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</si>
  <si>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</si>
  <si>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</si>
  <si>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</si>
  <si>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</si>
  <si>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</si>
  <si>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</si>
  <si>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</si>
  <si>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</si>
  <si>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</si>
  <si>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</si>
  <si>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</si>
  <si>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</si>
  <si>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</si>
  <si>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</si>
  <si>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</si>
  <si>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</si>
  <si>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</si>
  <si>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</si>
  <si>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</si>
  <si>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</si>
  <si>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</si>
  <si>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</si>
  <si>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</si>
  <si>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</si>
  <si>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</si>
  <si>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</si>
  <si>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</si>
  <si>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</si>
  <si>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</si>
  <si>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</si>
  <si>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</si>
  <si>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</si>
  <si>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</si>
  <si>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</si>
  <si>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</si>
  <si>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</si>
  <si>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</si>
  <si>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</si>
  <si>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</si>
  <si>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</si>
  <si>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</si>
  <si>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</si>
  <si>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</si>
  <si>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</si>
  <si>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</si>
  <si>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</si>
  <si>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</si>
  <si>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</si>
  <si>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</si>
  <si>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</si>
  <si>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</si>
  <si>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</si>
  <si>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</si>
  <si>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</si>
  <si>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</si>
  <si>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</si>
  <si>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</si>
  <si>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</si>
  <si>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</si>
  <si>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</si>
  <si>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</si>
  <si>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</si>
  <si>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</si>
  <si>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</si>
  <si>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</si>
  <si>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</si>
  <si>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</si>
  <si>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</si>
  <si>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</si>
  <si>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</si>
  <si>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</si>
  <si>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</si>
  <si>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</si>
  <si>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</si>
  <si>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</si>
  <si>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</si>
  <si>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</si>
  <si>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</si>
  <si>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</si>
  <si>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</si>
  <si>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</si>
  <si>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</si>
  <si>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</si>
  <si>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</si>
  <si>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</si>
  <si>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</si>
  <si>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</si>
  <si>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</si>
  <si>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</si>
  <si>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</si>
  <si>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</si>
  <si>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</si>
  <si>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</si>
  <si>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</si>
  <si>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</si>
  <si>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</si>
  <si>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</si>
  <si>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</si>
  <si>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</si>
  <si>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</si>
  <si>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</si>
  <si>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</si>
  <si>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</si>
  <si>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</si>
  <si>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</si>
  <si>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</si>
  <si>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</si>
  <si>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</si>
  <si>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</si>
  <si>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</si>
  <si>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</si>
  <si>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</si>
  <si>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</si>
  <si>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</si>
  <si>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</si>
  <si>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</si>
  <si>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</si>
  <si>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</si>
  <si>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</si>
  <si>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</si>
  <si>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</si>
  <si>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</si>
  <si>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</si>
  <si>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</si>
  <si>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</si>
  <si>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</si>
  <si>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</si>
  <si>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</si>
  <si>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</si>
  <si>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</si>
  <si>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</si>
  <si>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</si>
  <si>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</si>
  <si>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</si>
  <si>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</si>
  <si>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</si>
  <si>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</si>
  <si>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</si>
  <si>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</si>
  <si>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</si>
  <si>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</si>
  <si>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</si>
  <si>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</si>
  <si>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</si>
  <si>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</si>
  <si>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</si>
  <si>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</si>
  <si>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</si>
  <si>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</si>
  <si>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</si>
  <si>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</si>
  <si>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</si>
  <si>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</si>
  <si>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</si>
  <si>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</si>
  <si>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</si>
  <si>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</si>
  <si>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</si>
  <si>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</si>
  <si>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</si>
  <si>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</si>
  <si>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</si>
  <si>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</si>
  <si>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</si>
  <si>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</si>
  <si>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</si>
  <si>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</si>
  <si>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</si>
  <si>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</si>
  <si>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</si>
  <si>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</si>
  <si>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</si>
  <si>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</si>
  <si>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</si>
  <si>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</si>
  <si>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</si>
  <si>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</si>
  <si>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</si>
  <si>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</si>
  <si>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</si>
  <si>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</si>
  <si>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</si>
  <si>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</si>
  <si>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</si>
  <si>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</si>
  <si>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</si>
  <si>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</si>
  <si>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</si>
  <si>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</si>
  <si>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</si>
  <si>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</si>
  <si>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</si>
  <si>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</si>
  <si>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</si>
  <si>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</si>
  <si>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</si>
  <si>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</si>
  <si>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</si>
  <si>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</si>
  <si>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</si>
  <si>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</si>
  <si>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</si>
  <si>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</si>
  <si>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</si>
  <si>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</si>
  <si>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</si>
  <si>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</si>
  <si>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</si>
  <si>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</si>
  <si>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</si>
  <si>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</si>
  <si>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</si>
  <si>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</si>
  <si>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</si>
  <si>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</si>
  <si>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</si>
  <si>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</si>
  <si>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</si>
  <si>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</si>
  <si>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</si>
  <si>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</si>
  <si>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</si>
  <si>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</si>
  <si>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</si>
  <si>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</si>
  <si>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</si>
  <si>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</si>
  <si>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</si>
  <si>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</si>
  <si>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</si>
  <si>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</si>
  <si>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</si>
  <si>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</si>
  <si>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</si>
  <si>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</si>
  <si>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</si>
  <si>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</si>
  <si>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</si>
  <si>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</si>
  <si>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</si>
  <si>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</si>
  <si>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</si>
  <si>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</si>
  <si>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</si>
  <si>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</si>
  <si>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</si>
  <si>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</si>
  <si>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</si>
  <si>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</si>
  <si>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</si>
  <si>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</si>
  <si>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</si>
  <si>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</si>
  <si>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</si>
  <si>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</si>
  <si>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</si>
  <si>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</si>
  <si>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</si>
  <si>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</si>
  <si>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</si>
  <si>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</si>
  <si>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</si>
  <si>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</si>
  <si>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</si>
  <si>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</si>
  <si>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</si>
  <si>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</si>
  <si>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</si>
  <si>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</si>
  <si>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</si>
  <si>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</si>
  <si>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</si>
  <si>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</si>
  <si>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</si>
  <si>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</si>
  <si>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</si>
  <si>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</si>
  <si>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</si>
  <si>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</si>
  <si>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</si>
  <si>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</si>
  <si>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</si>
  <si>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</si>
  <si>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</si>
  <si>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</si>
  <si>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</si>
  <si>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</si>
  <si>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</si>
  <si>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</si>
  <si>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</si>
  <si>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</si>
  <si>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</si>
  <si>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</si>
  <si>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</si>
  <si>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</si>
  <si>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</si>
  <si>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</si>
  <si>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</si>
  <si>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</si>
  <si>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</si>
  <si>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</si>
  <si>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</si>
  <si>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</si>
  <si>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</si>
  <si>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</si>
  <si>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</si>
  <si>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</si>
  <si>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</si>
  <si>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</si>
  <si>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</si>
  <si>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</si>
  <si>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</si>
  <si>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</si>
  <si>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</si>
  <si>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</si>
  <si>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</si>
  <si>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</si>
  <si>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</si>
  <si>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</si>
  <si>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</si>
  <si>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</si>
  <si>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</si>
  <si>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</si>
  <si>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</si>
  <si>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</si>
  <si>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</si>
  <si>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</si>
  <si>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</si>
  <si>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</si>
  <si>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</si>
  <si>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</si>
  <si>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</si>
  <si>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</si>
  <si>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</si>
  <si>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</si>
  <si>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</si>
  <si>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</si>
  <si>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</si>
  <si>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</si>
  <si>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</si>
  <si>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</si>
  <si>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</si>
  <si>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</si>
  <si>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</si>
  <si>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</si>
  <si>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</si>
  <si>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</si>
  <si>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</si>
  <si>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</si>
  <si>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</si>
  <si>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</si>
  <si>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</si>
  <si>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</si>
  <si>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</si>
  <si>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</si>
  <si>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</si>
  <si>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</si>
  <si>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</si>
  <si>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</si>
  <si>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</si>
  <si>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</si>
  <si>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</si>
  <si>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</si>
  <si>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</si>
  <si>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</si>
  <si>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</si>
  <si>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</si>
  <si>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</si>
  <si>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</si>
  <si>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</si>
  <si>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</si>
  <si>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</si>
  <si>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</si>
  <si>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</si>
  <si>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</si>
  <si>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</si>
  <si>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</si>
  <si>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</si>
  <si>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</si>
  <si>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</si>
  <si>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</si>
  <si>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</si>
  <si>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</si>
  <si>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</si>
  <si>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</si>
  <si>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</si>
  <si>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</si>
  <si>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</si>
  <si>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</si>
  <si>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</si>
  <si>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</si>
  <si>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</si>
  <si>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</si>
  <si>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</si>
  <si>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</si>
  <si>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</si>
  <si>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</si>
  <si>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</si>
  <si>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</si>
  <si>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</si>
  <si>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</si>
  <si>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</si>
  <si>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</si>
  <si>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</si>
  <si>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</si>
  <si>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</si>
  <si>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</si>
  <si>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</si>
  <si>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</si>
  <si>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</si>
  <si>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</si>
  <si>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</si>
  <si>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</si>
  <si>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</si>
  <si>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</si>
  <si>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</si>
  <si>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</si>
  <si>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</si>
  <si>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</si>
  <si>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</si>
  <si>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</si>
  <si>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</si>
  <si>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</si>
  <si>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</si>
  <si>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</si>
  <si>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</si>
  <si>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</si>
  <si>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</si>
  <si>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</si>
  <si>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</si>
  <si>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</si>
  <si>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</si>
  <si>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</si>
  <si>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</si>
  <si>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</si>
  <si>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</si>
  <si>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</si>
  <si>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</si>
  <si>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</si>
  <si>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</si>
  <si>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</si>
  <si>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</si>
  <si>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</si>
  <si>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</si>
  <si>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</si>
  <si>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</si>
  <si>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</si>
  <si>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</si>
  <si>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</si>
  <si>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</si>
  <si>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</si>
  <si>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</si>
  <si>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</si>
  <si>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</si>
  <si>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</si>
  <si>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</si>
  <si>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</si>
  <si>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</si>
  <si>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</si>
  <si>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</si>
  <si>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</si>
  <si>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</si>
  <si>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</si>
  <si>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</si>
  <si>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</si>
  <si>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</si>
  <si>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</si>
  <si>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</si>
  <si>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</si>
  <si>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</si>
  <si>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</si>
  <si>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</si>
  <si>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</si>
  <si>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</si>
  <si>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</si>
  <si>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</si>
  <si>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</si>
  <si>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</si>
  <si>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</si>
  <si>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</si>
  <si>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</si>
  <si>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</si>
  <si>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</si>
  <si>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</si>
  <si>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</si>
  <si>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</si>
  <si>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</si>
  <si>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</si>
  <si>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</si>
  <si>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</si>
  <si>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</si>
  <si>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</si>
  <si>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</si>
  <si>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</si>
  <si>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</si>
  <si>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</si>
  <si>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</si>
  <si>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</si>
  <si>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</si>
  <si>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</si>
  <si>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</si>
  <si>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</si>
  <si>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</si>
  <si>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</si>
  <si>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</si>
  <si>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</si>
  <si>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</si>
  <si>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</si>
  <si>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</si>
  <si>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</si>
  <si>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</si>
  <si>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</si>
  <si>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</si>
  <si>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</si>
  <si>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</si>
  <si>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</si>
  <si>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</si>
  <si>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</si>
  <si>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</si>
  <si>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</si>
  <si>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</si>
  <si>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</si>
  <si>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</si>
  <si>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</si>
  <si>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</si>
  <si>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</si>
  <si>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</si>
  <si>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</si>
  <si>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</si>
  <si>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</si>
  <si>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</si>
  <si>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</si>
  <si>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</si>
  <si>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</si>
  <si>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</si>
  <si>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</si>
  <si>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</si>
  <si>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</si>
  <si>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</si>
  <si>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</si>
  <si>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</si>
  <si>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</si>
  <si>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</si>
  <si>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</si>
  <si>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</si>
  <si>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</si>
  <si>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</si>
  <si>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</si>
  <si>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</si>
  <si>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</si>
  <si>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</si>
  <si>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</si>
  <si>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</si>
  <si>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</si>
  <si>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</si>
  <si>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</si>
  <si>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</si>
  <si>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</si>
  <si>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</si>
  <si>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</si>
  <si>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</si>
  <si>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</si>
  <si>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</si>
  <si>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</si>
  <si>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</si>
  <si>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</si>
  <si>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</si>
  <si>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</si>
  <si>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</si>
  <si>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</si>
  <si>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</si>
  <si>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</si>
  <si>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</si>
  <si>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</si>
  <si>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</si>
  <si>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</si>
  <si>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</si>
  <si>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</si>
  <si>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</si>
  <si>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</si>
  <si>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</si>
  <si>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</si>
  <si>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</si>
  <si>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</si>
  <si>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</si>
  <si>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</si>
  <si>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</si>
  <si>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</si>
  <si>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</si>
  <si>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</si>
  <si>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</si>
  <si>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</si>
  <si>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</si>
  <si>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</si>
  <si>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</si>
  <si>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</si>
  <si>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</si>
  <si>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</si>
  <si>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</si>
  <si>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</si>
  <si>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</si>
  <si>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</si>
  <si>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</si>
  <si>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</si>
  <si>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</si>
  <si>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</si>
  <si>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</si>
  <si>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</si>
  <si>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</si>
  <si>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</si>
  <si>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</si>
  <si>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</si>
  <si>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</si>
  <si>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</si>
  <si>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</si>
  <si>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</si>
  <si>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</si>
  <si>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</si>
  <si>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</si>
  <si>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</si>
  <si>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</si>
  <si>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</si>
  <si>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</si>
  <si>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</si>
  <si>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</si>
  <si>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</si>
  <si>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</si>
  <si>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</si>
  <si>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</si>
  <si>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</si>
  <si>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</si>
  <si>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</si>
  <si>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</si>
  <si>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</si>
  <si>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</si>
  <si>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</si>
  <si>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</si>
  <si>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</si>
  <si>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</si>
  <si>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</si>
  <si>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</si>
  <si>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</si>
  <si>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</si>
  <si>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</si>
  <si>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</si>
  <si>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</si>
  <si>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</si>
  <si>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</si>
  <si>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</si>
  <si>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</si>
  <si>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</si>
  <si>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</si>
  <si>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</si>
  <si>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</si>
  <si>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</si>
  <si>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</si>
  <si>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</si>
  <si>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</si>
  <si>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</si>
  <si>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</si>
  <si>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</si>
  <si>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</si>
  <si>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</si>
  <si>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</si>
  <si>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</si>
  <si>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</si>
  <si>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</si>
  <si>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</si>
  <si>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</si>
  <si>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</si>
  <si>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</si>
  <si>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</si>
  <si>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</si>
  <si>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</si>
  <si>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</si>
  <si>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</si>
  <si>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</si>
  <si>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</si>
  <si>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</si>
  <si>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</si>
  <si>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</si>
  <si>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</si>
  <si>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</si>
  <si>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</si>
  <si>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</si>
  <si>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</si>
  <si>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</si>
  <si>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</si>
  <si>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</si>
  <si>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</si>
  <si>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</si>
  <si>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</si>
  <si>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</si>
  <si>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</si>
  <si>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</si>
  <si>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</si>
  <si>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</si>
  <si>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</si>
  <si>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</si>
  <si>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</si>
  <si>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</si>
  <si>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</si>
  <si>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</si>
  <si>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</si>
  <si>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</si>
  <si>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</si>
  <si>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</si>
  <si>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</si>
  <si>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</si>
  <si>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</si>
  <si>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</si>
  <si>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</si>
  <si>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</si>
  <si>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</si>
  <si>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</si>
  <si>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</si>
  <si>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</si>
  <si>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</si>
  <si>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</si>
  <si>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</si>
  <si>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</si>
  <si>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</si>
  <si>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</si>
  <si>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</si>
  <si>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</si>
  <si>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</si>
  <si>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</si>
  <si>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</si>
  <si>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</si>
  <si>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</si>
  <si>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</si>
  <si>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</si>
  <si>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</si>
  <si>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</si>
  <si>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</si>
  <si>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</si>
  <si>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</si>
  <si>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</si>
  <si>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</si>
  <si>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</si>
  <si>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</si>
  <si>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</si>
  <si>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</si>
  <si>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</si>
  <si>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</si>
  <si>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</si>
  <si>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</si>
  <si>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</si>
  <si>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</si>
  <si>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</si>
  <si>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</si>
  <si>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</si>
  <si>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</si>
  <si>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</si>
  <si>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</si>
  <si>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</si>
  <si>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</si>
  <si>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</si>
  <si>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</si>
  <si>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</si>
  <si>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</si>
  <si>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</si>
  <si>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</si>
  <si>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</si>
  <si>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</si>
  <si>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</si>
  <si>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</si>
  <si>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</si>
  <si>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</si>
  <si>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</si>
  <si>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</si>
  <si>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</si>
  <si>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</si>
  <si>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</si>
  <si>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</si>
  <si>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</si>
  <si>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</si>
  <si>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</si>
  <si>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</si>
  <si>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</si>
  <si>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</si>
  <si>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</si>
  <si>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</si>
  <si>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</si>
  <si>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</si>
  <si>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</si>
  <si>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</si>
  <si>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</si>
  <si>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</si>
  <si>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</si>
  <si>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</si>
  <si>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</si>
  <si>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</si>
  <si>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</si>
  <si>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</si>
  <si>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</si>
  <si>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</si>
  <si>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</si>
  <si>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</si>
  <si>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</si>
  <si>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</si>
  <si>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</si>
  <si>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</si>
  <si>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</si>
  <si>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</si>
  <si>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</si>
  <si>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</si>
  <si>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</si>
  <si>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</si>
  <si>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</si>
  <si>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</si>
  <si>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</si>
  <si>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</si>
  <si>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</si>
  <si>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</si>
  <si>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</si>
  <si>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</si>
  <si>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</si>
  <si>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</si>
  <si>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</si>
  <si>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</si>
  <si>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</si>
  <si>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</si>
  <si>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</si>
  <si>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</si>
  <si>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</si>
  <si>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</si>
  <si>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</si>
  <si>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</si>
  <si>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</si>
  <si>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</si>
  <si>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</si>
  <si>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</si>
  <si>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</si>
  <si>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</si>
  <si>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</si>
  <si>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</si>
  <si>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</si>
  <si>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</si>
  <si>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</si>
  <si>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</si>
  <si>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</si>
  <si>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</si>
  <si>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</si>
  <si>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</si>
  <si>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</si>
  <si>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</si>
  <si>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</si>
  <si>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</si>
  <si>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</si>
  <si>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</si>
  <si>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</si>
  <si>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</si>
  <si>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</si>
  <si>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</si>
  <si>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</si>
  <si>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</si>
  <si>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</si>
  <si>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</si>
  <si>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</si>
  <si>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</si>
  <si>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</si>
  <si>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</si>
  <si>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</si>
  <si>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</si>
  <si>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</si>
  <si>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</si>
  <si>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</si>
  <si>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</si>
  <si>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</si>
  <si>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</si>
  <si>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</si>
  <si>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</si>
  <si>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</si>
  <si>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</si>
  <si>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</si>
  <si>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</si>
  <si>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</si>
  <si>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</si>
  <si>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</si>
  <si>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</si>
  <si>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</si>
  <si>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</si>
  <si>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</si>
  <si>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</si>
  <si>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</si>
  <si>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</si>
  <si>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</si>
  <si>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</si>
  <si>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</si>
  <si>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</si>
  <si>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</si>
  <si>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</si>
  <si>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</si>
  <si>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</si>
  <si>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</si>
  <si>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</si>
  <si>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</si>
  <si>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</si>
  <si>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</si>
  <si>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</si>
  <si>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</si>
  <si>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</si>
  <si>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</si>
  <si>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</si>
  <si>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</si>
  <si>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</si>
  <si>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</si>
  <si>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</si>
  <si>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</si>
  <si>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</si>
  <si>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</si>
  <si>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</si>
  <si>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</si>
  <si>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</si>
  <si>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</si>
  <si>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</si>
  <si>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</si>
  <si>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</si>
  <si>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</si>
  <si>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</si>
  <si>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</si>
  <si>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</si>
  <si>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</si>
  <si>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</si>
  <si>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</si>
  <si>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</si>
  <si>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</si>
  <si>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</si>
  <si>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</si>
  <si>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</si>
  <si>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</si>
  <si>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</si>
  <si>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</si>
  <si>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</si>
  <si>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</si>
  <si>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</si>
  <si>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</si>
  <si>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</si>
  <si>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</si>
  <si>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</si>
  <si>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</si>
  <si>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</si>
  <si>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</si>
  <si>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</si>
  <si>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</si>
  <si>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</si>
  <si>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</si>
  <si>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</si>
  <si>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</si>
  <si>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</si>
  <si>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</si>
  <si>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</si>
  <si>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</si>
  <si>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</si>
  <si>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</si>
  <si>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</si>
  <si>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</si>
  <si>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</si>
  <si>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</si>
  <si>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</si>
  <si>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</si>
  <si>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</si>
  <si>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</si>
  <si>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</si>
  <si>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</si>
  <si>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</si>
  <si>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</si>
  <si>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</si>
  <si>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</si>
  <si>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</si>
  <si>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</si>
  <si>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</si>
  <si>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</si>
  <si>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</si>
  <si>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</si>
  <si>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</si>
  <si>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</si>
  <si>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</si>
  <si>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</si>
  <si>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</si>
  <si>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</si>
  <si>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</si>
  <si>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</si>
  <si>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</si>
  <si>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</si>
  <si>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</si>
  <si>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</si>
  <si>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</si>
  <si>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</si>
  <si>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</si>
  <si>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</si>
  <si>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</si>
  <si>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</si>
  <si>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</si>
  <si>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</si>
  <si>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</si>
  <si>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</si>
  <si>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</si>
  <si>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</si>
  <si>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</si>
  <si>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</si>
  <si>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</si>
  <si>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</si>
  <si>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</si>
  <si>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</si>
  <si>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</si>
  <si>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</si>
  <si>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</si>
  <si>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</si>
  <si>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</si>
  <si>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</si>
  <si>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</si>
  <si>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</si>
  <si>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</si>
  <si>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</si>
  <si>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</si>
  <si>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</si>
  <si>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</si>
  <si>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</si>
  <si>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</si>
  <si>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</si>
  <si>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</si>
  <si>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</si>
  <si>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</si>
  <si>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</si>
  <si>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</si>
  <si>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</si>
  <si>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</si>
  <si>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</si>
  <si>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</si>
  <si>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</si>
  <si>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</si>
  <si>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</si>
  <si>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</si>
  <si>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</si>
  <si>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</si>
  <si>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</si>
  <si>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</si>
  <si>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</si>
  <si>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</si>
  <si>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</si>
  <si>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</si>
  <si>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</si>
  <si>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</si>
  <si>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</si>
  <si>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</si>
  <si>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</si>
  <si>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</si>
  <si>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</si>
  <si>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</si>
  <si>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</si>
  <si>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</si>
  <si>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</si>
  <si>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</si>
  <si>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</si>
  <si>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</si>
  <si>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</si>
  <si>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</si>
  <si>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</si>
  <si>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</si>
  <si>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</si>
  <si>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</si>
  <si>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</si>
  <si>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</si>
  <si>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</si>
  <si>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</si>
  <si>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</si>
  <si>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</si>
  <si>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</si>
  <si>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</si>
  <si>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</si>
  <si>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</si>
  <si>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</si>
  <si>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</si>
  <si>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</si>
  <si>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</si>
  <si>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</si>
  <si>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</si>
  <si>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</si>
  <si>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</si>
  <si>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</si>
  <si>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</si>
  <si>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</si>
  <si>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</si>
  <si>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</si>
  <si>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</si>
  <si>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</si>
  <si>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</si>
  <si>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</si>
  <si>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</si>
  <si>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</si>
  <si>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</si>
  <si>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</si>
  <si>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</si>
  <si>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</si>
  <si>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</si>
  <si>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</si>
  <si>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</si>
  <si>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</si>
  <si>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</si>
  <si>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</si>
  <si>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</si>
  <si>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</si>
  <si>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</si>
  <si>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</si>
  <si>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</si>
  <si>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</si>
  <si>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</si>
  <si>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</si>
  <si>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</si>
  <si>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</si>
  <si>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</si>
  <si>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</si>
  <si>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</si>
  <si>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</si>
  <si>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</si>
  <si>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</si>
  <si>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</si>
  <si>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</si>
  <si>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</si>
  <si>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</si>
  <si>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</si>
  <si>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</si>
  <si>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</si>
  <si>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</si>
  <si>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</si>
  <si>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</si>
  <si>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</si>
  <si>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</si>
  <si>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</si>
  <si>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</si>
  <si>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</si>
  <si>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</si>
  <si>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</si>
  <si>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</si>
  <si>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</si>
  <si>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</si>
  <si>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</si>
  <si>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</si>
  <si>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</si>
  <si>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</si>
  <si>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</si>
  <si>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</si>
  <si>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</si>
  <si>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</si>
  <si>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</si>
  <si>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</si>
  <si>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</si>
  <si>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</si>
  <si>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</si>
  <si>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</si>
  <si>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</si>
  <si>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</si>
  <si>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</si>
  <si>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</si>
  <si>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</si>
  <si>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</si>
  <si>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</si>
  <si>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</si>
  <si>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</si>
  <si>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</si>
  <si>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</si>
  <si>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</si>
  <si>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</si>
  <si>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</si>
  <si>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</si>
  <si>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</si>
  <si>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</si>
  <si>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</si>
  <si>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</si>
  <si>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</si>
  <si>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</si>
  <si>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</si>
  <si>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</si>
  <si>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</si>
  <si>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</si>
  <si>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</si>
  <si>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</si>
  <si>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</si>
  <si>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</si>
  <si>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</si>
  <si>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</si>
  <si>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</si>
  <si>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</si>
  <si>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</si>
  <si>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</si>
  <si>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</si>
  <si>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</si>
  <si>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</si>
  <si>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</si>
  <si>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</si>
  <si>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</si>
  <si>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</si>
  <si>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</si>
  <si>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</si>
  <si>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</si>
  <si>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</si>
  <si>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</si>
  <si>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</si>
  <si>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</si>
  <si>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</si>
  <si>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</si>
  <si>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</si>
  <si>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</si>
  <si>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</si>
  <si>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</si>
  <si>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</si>
  <si>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</si>
  <si>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</si>
  <si>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</si>
  <si>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</si>
  <si>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</si>
  <si>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</si>
  <si>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</si>
  <si>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</si>
  <si>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</si>
  <si>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</si>
  <si>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</si>
  <si>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</si>
  <si>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</si>
  <si>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</si>
  <si>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</si>
  <si>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</si>
  <si>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</si>
  <si>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</si>
  <si>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</si>
  <si>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</si>
  <si>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</si>
  <si>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</si>
  <si>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</si>
  <si>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</si>
  <si>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</si>
  <si>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</si>
  <si>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</si>
  <si>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</si>
  <si>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</si>
  <si>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</si>
  <si>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</si>
  <si>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</si>
  <si>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</si>
  <si>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</si>
  <si>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</si>
  <si>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</si>
  <si>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</si>
  <si>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</si>
  <si>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</si>
  <si>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</si>
  <si>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</si>
  <si>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</si>
  <si>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</si>
  <si>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</si>
  <si>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</si>
  <si>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</si>
  <si>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</si>
  <si>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</si>
  <si>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</si>
  <si>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</si>
  <si>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</si>
  <si>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</si>
  <si>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</si>
  <si>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</si>
  <si>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</si>
  <si>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</si>
  <si>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</si>
  <si>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</si>
  <si>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</si>
  <si>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</si>
  <si>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</si>
  <si>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</si>
  <si>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</si>
  <si>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</si>
  <si>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</si>
  <si>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</si>
  <si>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</si>
  <si>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</si>
  <si>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</si>
  <si>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</si>
  <si>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</si>
  <si>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</si>
  <si>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</si>
  <si>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</si>
  <si>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</si>
  <si>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</si>
  <si>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</si>
  <si>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</si>
  <si>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</si>
  <si>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</si>
  <si>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</si>
  <si>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</si>
  <si>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</si>
  <si>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</si>
  <si>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</si>
  <si>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</si>
  <si>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</si>
  <si>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</si>
  <si>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</si>
  <si>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</si>
  <si>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</si>
  <si>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</si>
  <si>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</si>
  <si>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</si>
  <si>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</si>
  <si>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</si>
  <si>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</si>
  <si>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</si>
  <si>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</si>
  <si>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</si>
  <si>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</si>
  <si>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</si>
  <si>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</si>
  <si>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</si>
  <si>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</si>
  <si>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</si>
  <si>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</si>
  <si>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</si>
  <si>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</si>
  <si>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</si>
  <si>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</si>
  <si>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</si>
  <si>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</si>
  <si>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</si>
  <si>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</si>
  <si>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</si>
  <si>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</si>
  <si>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</si>
  <si>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</si>
  <si>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</si>
  <si>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</si>
  <si>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</si>
  <si>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</si>
  <si>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</si>
  <si>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</si>
  <si>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</si>
  <si>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</si>
  <si>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</si>
  <si>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</si>
  <si>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</si>
  <si>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</si>
  <si>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</si>
  <si>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</si>
  <si>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</si>
  <si>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</si>
  <si>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</si>
  <si>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</si>
  <si>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</si>
  <si>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</si>
  <si>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</si>
  <si>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</si>
  <si>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</si>
  <si>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</si>
  <si>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</si>
  <si>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</si>
  <si>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</si>
  <si>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</si>
  <si>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</si>
  <si>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</si>
  <si>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</si>
  <si>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</si>
  <si>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</si>
  <si>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</si>
  <si>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</si>
  <si>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</si>
  <si>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</si>
  <si>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</si>
  <si>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</si>
  <si>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</si>
  <si>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</si>
  <si>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</si>
  <si>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</si>
  <si>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</si>
  <si>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</si>
  <si>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</si>
  <si>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</si>
  <si>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</si>
  <si>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</si>
  <si>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</si>
  <si>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</si>
  <si>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</si>
  <si>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</si>
  <si>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</si>
  <si>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</si>
  <si>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</si>
  <si>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</si>
  <si>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</si>
  <si>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</si>
  <si>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</si>
  <si>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</si>
  <si>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</si>
  <si>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</si>
  <si>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</si>
  <si>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</si>
  <si>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</si>
  <si>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</si>
  <si>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</si>
  <si>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</si>
  <si>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</si>
  <si>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</si>
  <si>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</si>
  <si>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</si>
  <si>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</si>
  <si>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</si>
  <si>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</si>
  <si>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</si>
  <si>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</si>
  <si>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</si>
  <si>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</si>
  <si>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</si>
  <si>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</si>
  <si>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</si>
  <si>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</si>
  <si>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</si>
  <si>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</si>
  <si>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</si>
  <si>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</si>
  <si>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</si>
  <si>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</si>
  <si>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</si>
  <si>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</si>
  <si>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</si>
  <si>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</si>
  <si>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</si>
  <si>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</si>
  <si>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</si>
  <si>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</si>
  <si>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</si>
  <si>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</si>
  <si>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</si>
  <si>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</si>
  <si>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</si>
  <si>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</si>
  <si>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</si>
  <si>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</si>
  <si>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</si>
  <si>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</si>
  <si>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</si>
  <si>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</si>
  <si>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</si>
  <si>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</si>
  <si>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</si>
  <si>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</si>
  <si>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</si>
  <si>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</si>
  <si>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</si>
  <si>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</si>
  <si>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</si>
  <si>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</si>
  <si>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</si>
  <si>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</si>
  <si>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</si>
  <si>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</si>
  <si>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</si>
  <si>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</si>
  <si>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</si>
  <si>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</si>
  <si>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</si>
  <si>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</si>
  <si>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</si>
  <si>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</si>
  <si>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</si>
  <si>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</si>
  <si>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</si>
  <si>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</si>
  <si>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</si>
  <si>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</si>
  <si>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</si>
  <si>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</si>
  <si>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</si>
  <si>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</si>
  <si>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</si>
  <si>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</si>
  <si>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</si>
  <si>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</si>
  <si>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</si>
  <si>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</si>
  <si>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</si>
  <si>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</si>
  <si>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</si>
  <si>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</si>
  <si>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</si>
  <si>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</si>
  <si>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</si>
  <si>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</si>
  <si>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</si>
  <si>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</si>
  <si>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</si>
  <si>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</si>
  <si>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</si>
  <si>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</si>
  <si>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</si>
  <si>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</si>
  <si>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</si>
  <si>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</si>
  <si>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</si>
  <si>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</si>
  <si>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</si>
  <si>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</si>
  <si>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</si>
  <si>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</si>
  <si>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</si>
  <si>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</si>
  <si>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</si>
  <si>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</si>
  <si>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</si>
  <si>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</si>
  <si>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</si>
  <si>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</si>
  <si>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</si>
  <si>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</si>
  <si>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</si>
  <si>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</si>
  <si>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</si>
  <si>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</si>
  <si>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</si>
  <si>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</si>
  <si>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</si>
  <si>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</si>
  <si>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</si>
  <si>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</si>
  <si>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</si>
  <si>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</si>
  <si>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</si>
  <si>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</si>
  <si>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</si>
  <si>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</si>
  <si>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</si>
  <si>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</si>
  <si>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</si>
  <si>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</si>
  <si>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</si>
  <si>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</si>
  <si>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</si>
  <si>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</si>
  <si>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</si>
  <si>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</si>
  <si>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</si>
  <si>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</si>
  <si>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</si>
  <si>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</si>
  <si>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</si>
  <si>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</si>
  <si>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</si>
  <si>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</si>
  <si>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</si>
  <si>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</si>
  <si>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</si>
  <si>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</si>
  <si>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</si>
  <si>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</si>
  <si>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</si>
  <si>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</si>
  <si>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</si>
  <si>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</si>
  <si>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</si>
  <si>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</si>
  <si>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</si>
  <si>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</si>
  <si>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</si>
  <si>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</si>
  <si>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</si>
  <si>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</si>
  <si>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</si>
  <si>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</si>
  <si>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</si>
  <si>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</si>
  <si>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</si>
  <si>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</si>
  <si>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</si>
  <si>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</si>
  <si>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</si>
  <si>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</si>
  <si>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</si>
  <si>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</si>
  <si>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</si>
  <si>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</si>
  <si>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</si>
  <si>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</si>
  <si>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</si>
  <si>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</si>
  <si>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</si>
  <si>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</si>
  <si>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</si>
  <si>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</si>
  <si>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</si>
  <si>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</si>
  <si>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</si>
  <si>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</si>
  <si>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</si>
  <si>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</si>
  <si>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</si>
  <si>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</si>
  <si>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</si>
  <si>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</si>
  <si>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</si>
  <si>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</si>
  <si>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</si>
  <si>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</si>
  <si>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</si>
  <si>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</si>
  <si>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</si>
  <si>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</si>
  <si>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</si>
  <si>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</si>
  <si>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</si>
  <si>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</si>
  <si>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</si>
  <si>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</si>
  <si>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</si>
  <si>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</si>
  <si>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</si>
  <si>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</si>
  <si>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</si>
  <si>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</si>
  <si>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</si>
  <si>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</si>
  <si>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</si>
  <si>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</si>
  <si>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</si>
  <si>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</si>
  <si>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</si>
  <si>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</si>
  <si>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</si>
  <si>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</si>
  <si>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</si>
  <si>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</si>
  <si>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</si>
  <si>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</si>
  <si>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</si>
  <si>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</si>
  <si>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</si>
  <si>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</si>
  <si>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</si>
  <si>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</si>
  <si>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</si>
  <si>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</si>
  <si>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</si>
  <si>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</si>
  <si>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</si>
  <si>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</si>
  <si>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</si>
  <si>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</si>
  <si>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</si>
  <si>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</si>
  <si>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</si>
  <si>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</si>
  <si>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</si>
  <si>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</si>
  <si>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</si>
  <si>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</si>
  <si>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</si>
  <si>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</si>
  <si>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</si>
  <si>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</si>
  <si>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</si>
  <si>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</si>
  <si>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</si>
  <si>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</si>
  <si>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</si>
  <si>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</si>
  <si>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</si>
  <si>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</si>
  <si>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</si>
  <si>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</si>
  <si>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</si>
  <si>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</si>
  <si>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</si>
  <si>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</si>
  <si>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</si>
  <si>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</si>
  <si>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</si>
  <si>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</si>
  <si>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</si>
  <si>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</si>
  <si>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</si>
  <si>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</si>
  <si>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</si>
  <si>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</si>
  <si>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</si>
  <si>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</si>
  <si>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</si>
  <si>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</si>
  <si>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</si>
  <si>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</si>
  <si>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</si>
  <si>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</si>
  <si>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</si>
  <si>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</si>
  <si>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</si>
  <si>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</si>
  <si>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</si>
  <si>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</si>
  <si>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</si>
  <si>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</si>
  <si>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</si>
  <si>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</si>
  <si>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</si>
  <si>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</si>
  <si>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</si>
  <si>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</si>
  <si>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</si>
  <si>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</si>
  <si>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</si>
  <si>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</si>
  <si>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</si>
  <si>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</si>
  <si>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</si>
  <si>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</si>
  <si>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</si>
  <si>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</si>
  <si>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</si>
  <si>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</si>
  <si>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</si>
  <si>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</si>
  <si>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</si>
  <si>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</si>
  <si>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</si>
  <si>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</si>
  <si>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</si>
  <si>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</si>
  <si>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</si>
  <si>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</si>
  <si>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</si>
  <si>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</si>
  <si>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</si>
  <si>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</si>
  <si>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</si>
  <si>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</si>
  <si>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</si>
  <si>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</si>
  <si>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</si>
  <si>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</si>
  <si>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</si>
  <si>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</si>
  <si>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</si>
  <si>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</si>
  <si>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</si>
  <si>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</si>
  <si>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</si>
  <si>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</si>
  <si>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</si>
  <si>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</si>
  <si>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</si>
  <si>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</si>
  <si>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</si>
  <si>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</si>
  <si>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</si>
  <si>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</si>
  <si>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</si>
  <si>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</si>
  <si>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</si>
  <si>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</si>
  <si>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</si>
  <si>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</si>
  <si>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</si>
  <si>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</si>
  <si>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</si>
  <si>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</si>
  <si>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</si>
  <si>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</si>
  <si>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</si>
  <si>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</si>
  <si>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</si>
  <si>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</si>
  <si>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</si>
  <si>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</si>
  <si>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</si>
  <si>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</si>
  <si>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</si>
  <si>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</si>
  <si>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</si>
  <si>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</si>
  <si>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</si>
  <si>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</si>
  <si>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</si>
  <si>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</si>
  <si>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</si>
  <si>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</si>
  <si>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</si>
  <si>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</si>
  <si>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</si>
  <si>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</si>
  <si>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</si>
  <si>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</si>
  <si>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</si>
  <si>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</si>
  <si>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</si>
  <si>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</si>
  <si>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</si>
  <si>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</si>
  <si>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</si>
  <si>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</si>
  <si>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</si>
  <si>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</si>
  <si>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</si>
  <si>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</si>
  <si>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</si>
  <si>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</si>
  <si>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</si>
  <si>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</si>
  <si>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</si>
  <si>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</si>
  <si>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</si>
  <si>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</si>
  <si>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</si>
  <si>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</si>
  <si>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</si>
  <si>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</si>
  <si>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</si>
  <si>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</si>
  <si>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</si>
  <si>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</si>
  <si>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</si>
  <si>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</si>
  <si>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</si>
  <si>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</si>
  <si>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</si>
  <si>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</si>
  <si>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</si>
  <si>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</si>
  <si>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</si>
  <si>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</si>
  <si>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</si>
  <si>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</si>
  <si>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</si>
  <si>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</si>
  <si>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</si>
  <si>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</si>
  <si>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</si>
  <si>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</si>
  <si>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</si>
  <si>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</si>
  <si>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</si>
  <si>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</si>
  <si>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</si>
  <si>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</si>
  <si>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</si>
  <si>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</si>
  <si>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</si>
  <si>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</si>
  <si>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</si>
  <si>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</si>
  <si>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</si>
  <si>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</si>
  <si>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</si>
  <si>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</si>
  <si>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</si>
  <si>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</si>
  <si>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</si>
  <si>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</si>
  <si>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</si>
  <si>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</si>
  <si>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</si>
  <si>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</si>
  <si>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</si>
  <si>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</si>
  <si>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</si>
  <si>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</si>
  <si>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</si>
  <si>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</si>
  <si>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</si>
  <si>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</si>
  <si>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</si>
  <si>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</si>
  <si>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</si>
  <si>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</si>
  <si>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</si>
  <si>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</si>
  <si>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</si>
  <si>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</si>
  <si>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</si>
  <si>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</si>
  <si>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</si>
  <si>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</si>
  <si>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</si>
  <si>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</si>
  <si>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</si>
  <si>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</si>
  <si>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</si>
  <si>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</si>
  <si>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</si>
  <si>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</si>
  <si>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</si>
  <si>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</si>
  <si>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</si>
  <si>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</si>
  <si>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</si>
  <si>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</si>
  <si>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</si>
  <si>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</si>
  <si>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</si>
  <si>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</si>
  <si>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</si>
  <si>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</si>
  <si>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</si>
  <si>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</si>
  <si>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</si>
  <si>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</si>
  <si>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</si>
  <si>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</si>
  <si>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</si>
  <si>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</si>
  <si>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</si>
  <si>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</si>
  <si>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</si>
  <si>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</si>
  <si>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</si>
  <si>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</si>
  <si>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CNOW_7210$$$0000021322 SM-AL8 Biomolecular ARD US</t>
  </si>
  <si>
    <t>TO BE DONE IN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</si>
</sst>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8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06.845081250001" createdVersion="7" refreshedVersion="7" minRefreshableVersion="3" recordCount="5114" xr:uid="{11839AE3-6158-4318-87AD-2C711D0BF451}">
  <cacheSource type="worksheet">
    <worksheetSource name="Proc"/>
  </cacheSource>
  <cacheFields count="19">
    <cacheField name="App" numFmtId="0">
      <sharedItems containsBlank="1" count="1650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2-16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56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14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56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31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31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31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31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31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31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31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31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31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31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31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27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24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24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24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24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24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24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24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24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24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24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24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24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24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24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24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24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24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24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24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24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24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24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24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24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24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24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24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24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24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24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24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24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24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24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24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24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24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24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24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24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24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23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23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23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23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22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22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22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22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22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21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21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19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19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18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15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15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15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15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15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15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15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15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15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15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15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15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15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15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15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15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15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15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15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15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15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14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14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14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14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14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09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09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09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04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04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04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04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04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04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04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04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04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04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04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04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04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04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04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04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04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04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00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00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00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95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94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94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94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94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94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94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94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94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94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94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94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94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80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80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79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79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79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69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54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54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54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54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54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54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54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54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54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54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54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54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54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54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54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54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54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54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54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54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51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51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51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51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50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50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50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50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50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50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50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50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50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50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50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50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50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50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50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50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50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50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50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50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50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50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50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50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50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50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50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50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50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50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49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49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49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49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49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49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49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49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49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49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49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49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49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49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49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49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49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49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45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45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45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45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45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45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39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39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34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34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29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29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29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29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29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29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29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29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29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29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29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29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29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29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29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29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29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29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29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29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29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29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29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29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29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29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29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29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29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29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29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29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29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29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29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29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29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29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29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29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29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29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29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29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29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29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29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29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29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29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26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26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26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26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27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24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24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19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19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19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19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19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19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19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19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19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19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19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17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17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17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17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17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17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17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17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17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17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17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17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17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17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17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17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17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17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17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17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17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17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17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17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17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17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17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15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15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15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15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15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15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15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15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15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15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14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14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14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13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13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13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13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13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13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12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12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10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09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09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09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08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08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08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06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06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06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06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06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06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06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03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03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03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03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03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03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03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03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03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03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03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03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03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03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03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03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03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03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03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03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03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03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03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03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03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03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03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03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03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02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02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00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00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00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00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00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00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00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00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00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00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98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98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98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98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98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98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98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98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97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97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97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97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97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97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97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97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97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97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97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97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97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97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97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97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97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95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95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94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94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94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94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94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94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94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94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94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94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94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94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94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94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94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94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94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94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94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94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94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94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94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94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94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94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94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94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94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94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94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94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94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94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94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94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94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94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94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94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94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94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94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94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94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94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94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94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94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94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94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94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94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94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94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94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94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94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94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94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94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94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94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94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94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94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94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94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94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94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94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94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94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94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94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94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94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94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94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94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94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94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94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94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94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94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94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94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94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94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94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94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94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94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94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94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94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94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94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94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94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94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94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94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94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94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94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94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94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94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94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94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94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94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94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94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94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94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94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94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94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94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94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94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94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94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94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94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94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94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94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91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91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91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91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91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91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91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91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91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91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91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91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91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91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91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91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91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91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91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91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91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91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91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91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91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91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91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91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91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91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91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91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91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91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91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91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91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91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91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91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91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91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91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90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90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89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89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89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89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89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89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89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88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88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88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87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87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87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87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87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87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87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87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87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87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87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87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87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87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87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87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87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87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87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87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87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87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87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87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87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87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87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87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87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87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87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87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87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87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87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87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87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87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86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86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86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86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86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86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86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86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86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86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86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86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86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86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86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86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86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86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86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85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85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85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85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85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85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85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85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85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85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85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85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85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85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85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85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85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85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84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84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84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84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84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84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84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84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84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84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84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84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81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81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81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81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81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81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81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81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81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81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81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81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81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81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81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81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81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81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81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81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81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81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81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81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81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81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81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81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81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80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80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80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80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80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80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80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80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80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80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80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80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80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80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80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80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80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80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80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80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80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80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80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80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80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80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80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80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80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80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80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80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80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80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80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79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79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79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79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9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79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79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79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9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79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79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79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9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79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9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79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79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9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79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79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79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79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79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79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9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79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79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9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79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9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79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79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79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79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79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79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79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79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79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79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79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79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79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79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79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79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79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79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79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79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79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79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79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79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79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79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79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79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79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79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79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79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79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79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79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79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79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79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79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79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79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79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79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79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79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79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79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79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79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79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79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79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79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79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79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79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79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79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79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79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79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79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79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79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79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79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79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79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79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79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79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79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79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79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79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79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79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79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79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79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79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79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79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79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79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79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79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79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79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79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79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79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79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79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79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79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79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79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79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79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79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79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79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79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79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79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79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79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79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79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79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79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79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79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79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79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79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79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79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79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79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79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79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79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79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79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79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79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79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79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79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79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79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79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79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79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79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79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79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79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79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79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79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79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79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79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79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79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77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77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77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77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77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77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77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77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77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77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77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77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77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77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77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77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76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76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75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75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75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75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75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75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75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75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75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75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75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75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75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75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75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75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75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75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74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74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74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74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74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74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74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74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74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74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74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74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74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74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74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74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74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74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74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74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74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74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74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74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74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74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74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74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74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74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74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74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74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74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74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74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74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74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74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74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74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74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74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74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74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74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74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74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74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74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74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74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74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74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74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74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74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74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74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74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74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74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74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74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74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74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74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74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74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74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74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74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74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74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74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74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74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74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74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74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74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74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74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74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74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74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74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74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74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74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74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74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74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74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74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74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74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74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74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74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74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74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74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74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74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74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74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74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74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74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74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74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74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74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74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70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70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70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70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70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70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70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70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70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70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70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70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69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69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69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69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69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69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69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69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69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69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69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69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69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69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69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69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69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69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69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69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9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69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9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69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69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69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69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69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69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69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69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66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66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66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66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66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66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66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66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66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65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64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64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64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64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64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64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63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63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63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63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63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63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63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63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63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63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63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63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63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63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63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63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63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63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63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63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62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62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62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62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62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62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62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62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62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62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62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62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61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61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61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61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61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61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61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61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61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61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61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61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58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58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58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58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58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58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58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58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58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58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58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58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58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58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58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58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58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58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58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58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58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58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58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58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58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58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58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58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58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58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58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58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58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58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58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58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58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58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58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58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58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58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58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58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58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58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58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58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58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58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57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57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57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57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57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57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57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57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57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57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57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57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57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57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57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57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54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53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53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53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53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53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53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51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51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51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51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51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51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51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51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51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51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51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51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51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51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51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51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51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51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51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51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51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51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51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51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51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51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51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51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51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51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51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51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51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51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51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51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51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51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51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51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51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51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51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51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51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51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51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49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49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49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49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49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49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49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49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49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49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49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49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49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49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49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49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49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49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49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49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49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49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49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49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49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49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49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49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47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47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47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47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42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42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42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42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42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41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41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41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41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41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41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41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41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41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41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41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41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38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38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38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38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38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38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38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38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38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38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38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38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38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38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38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38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38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38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38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38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38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38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38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38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38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38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38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38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38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37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36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35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35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35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35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35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35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35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35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35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35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35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35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35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35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35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35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35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35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35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35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35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35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35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35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35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35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35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34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34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34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34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34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34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34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34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34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34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34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34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34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34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34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34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34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34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34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34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34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34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34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34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34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34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34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34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34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34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34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34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34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34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34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34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34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34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34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33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36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36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31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31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31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31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31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31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31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31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31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31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31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31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31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31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31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31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31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31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31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31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31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31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31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31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31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31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31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31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31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31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31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31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31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31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31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31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31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31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31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31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31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31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31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31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31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31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31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31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31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29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29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29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29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29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29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29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29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29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29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29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29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29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29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29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29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29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29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29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29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29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29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29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29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29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29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29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29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29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28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26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26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26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23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23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23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23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23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23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23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23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23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23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23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23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23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23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23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23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23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23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23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23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23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23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23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23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23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23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23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23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23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23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23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23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23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23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23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23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23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23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23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23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23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23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23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23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23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23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23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23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23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23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23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23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23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23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23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23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23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23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23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20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20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20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20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20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20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20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20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20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20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20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20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20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20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20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20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20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20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20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20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20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20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20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20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19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19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19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19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19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19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19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19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19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19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19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19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19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19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17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17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17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17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17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17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17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15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15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15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15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15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15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15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15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15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15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15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15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15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15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15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15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15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15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15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15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15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15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15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15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15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15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15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15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15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15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15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15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15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15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15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15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15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15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15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15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15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15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15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15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15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15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15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15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15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15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15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15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15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15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15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15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15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15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15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15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15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15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15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15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14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14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14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14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14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14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14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14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14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14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12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12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12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12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12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12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12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12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12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12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12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12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12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12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12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12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12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12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12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12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12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12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12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12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12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12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12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12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12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12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12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12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12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12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11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11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11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11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11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11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11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11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11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11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11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11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11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11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11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11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11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11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11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11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11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11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11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11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11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11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11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11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11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11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11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11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11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11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11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11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11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11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11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11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11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11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11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11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11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11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11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11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11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11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11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11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11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11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11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11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11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11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11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11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11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11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11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11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11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11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11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11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11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11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11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11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11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11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11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11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11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11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11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11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11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11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11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11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11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11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11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11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11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11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11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11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11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11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11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11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11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11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11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11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11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11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11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11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11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11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11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11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11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11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11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11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11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11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11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11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11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11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11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11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11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11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11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11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11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11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11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11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11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11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11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11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11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11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11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11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11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11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11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11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11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11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11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11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11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10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10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10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10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10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10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10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10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10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10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10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10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10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10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10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10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10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10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10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10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10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10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10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10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10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10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10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10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9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9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9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9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9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9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9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9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9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9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9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8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8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8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8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8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8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8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8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8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8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8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8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8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8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8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8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8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8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8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8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8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8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8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8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8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8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7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7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6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6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6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6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6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6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6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6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6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6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6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6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6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6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6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6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6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6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6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6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0"/>
    <n v="5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0"/>
    <n v="5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0"/>
    <n v="5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0"/>
    <n v="5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0"/>
    <n v="5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0"/>
    <n v="5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0"/>
    <n v="5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0"/>
    <n v="5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0"/>
    <n v="5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0"/>
    <n v="5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0"/>
    <n v="5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0"/>
    <n v="5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0"/>
    <n v="5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0"/>
    <n v="5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0"/>
    <n v="5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0"/>
    <n v="5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0"/>
    <n v="5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0"/>
    <n v="5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0"/>
    <n v="5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0"/>
    <n v="5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0"/>
    <n v="5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0"/>
    <n v="5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0"/>
    <n v="5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0"/>
    <n v="5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0"/>
    <n v="5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0"/>
    <n v="5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0"/>
    <n v="5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0"/>
    <n v="5"/>
    <s v="Ruby Grace Garcia"/>
    <m/>
  </r>
  <r>
    <x v="463"/>
    <x v="1"/>
    <x v="8"/>
    <s v="RDC0000095"/>
    <s v="H000004396"/>
    <m/>
    <s v="Non-LFF"/>
    <s v=""/>
    <m/>
    <b v="0"/>
    <x v="1"/>
    <x v="0"/>
    <d v="2025-12-08T00:00:00"/>
    <m/>
    <m/>
    <x v="0"/>
    <n v="5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0"/>
    <n v="5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0"/>
    <n v="5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0"/>
    <n v="5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0"/>
    <n v="5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0"/>
    <n v="5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0"/>
    <n v="3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0"/>
    <n v="3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0"/>
    <n v="3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0"/>
    <n v="3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0"/>
    <n v="3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0"/>
    <n v="3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0"/>
    <n v="3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0"/>
    <n v="3"/>
    <s v="John Rowie Del Rosario"/>
    <m/>
  </r>
  <r>
    <x v="466"/>
    <x v="1"/>
    <x v="2"/>
    <s v="CFLTFLE_2152IMIPEVOL01"/>
    <s v="P000000411"/>
    <s v="P000000411"/>
    <s v="Non-LFF"/>
    <s v=""/>
    <m/>
    <b v="1"/>
    <x v="3"/>
    <x v="0"/>
    <d v="2025-12-12T00:00:00"/>
    <m/>
    <m/>
    <x v="0"/>
    <n v="1"/>
    <s v="Roselle Delos Angeles"/>
    <m/>
  </r>
  <r>
    <x v="466"/>
    <x v="1"/>
    <x v="8"/>
    <s v="CFLTFLE_2152IMIPPCRD01"/>
    <s v="P000000540"/>
    <m/>
    <s v="Non-LFF"/>
    <s v=""/>
    <m/>
    <b v="0"/>
    <x v="3"/>
    <x v="0"/>
    <d v="2025-12-12T00:00:00"/>
    <m/>
    <m/>
    <x v="0"/>
    <n v="1"/>
    <s v="Roselle Delos Angeles"/>
    <m/>
  </r>
  <r>
    <x v="466"/>
    <x v="1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0"/>
    <n v="1"/>
    <s v="Roselle Delos Angeles"/>
    <m/>
  </r>
  <r>
    <x v="466"/>
    <x v="1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0"/>
    <n v="1"/>
    <s v="Roselle Delos Angeles"/>
    <m/>
  </r>
  <r>
    <x v="466"/>
    <x v="1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0"/>
    <n v="1"/>
    <s v="Roselle Delos Angeles"/>
    <m/>
  </r>
  <r>
    <x v="467"/>
    <x v="1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0"/>
    <n v="0"/>
    <s v="Ruby Grace Garcia"/>
    <m/>
  </r>
  <r>
    <x v="467"/>
    <x v="1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0"/>
    <n v="0"/>
    <s v="Ruby Grace Garcia"/>
    <m/>
  </r>
  <r>
    <x v="467"/>
    <x v="1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0"/>
    <n v="0"/>
    <s v="Ruby Grace Garcia"/>
    <m/>
  </r>
  <r>
    <x v="467"/>
    <x v="1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0"/>
    <n v="0"/>
    <s v="Ruby Grace Garcia"/>
    <m/>
  </r>
  <r>
    <x v="467"/>
    <x v="1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0"/>
    <n v="0"/>
    <s v="Ruby Grace Garcia"/>
    <m/>
  </r>
  <r>
    <x v="467"/>
    <x v="1"/>
    <x v="6"/>
    <s v="CLFF_7210$$$1756C00005 BioC Innovation Mgmt Mkt UK"/>
    <s v="L000013913"/>
    <m/>
    <s v="LFF (MDG-F)"/>
    <s v="1756C00005"/>
    <m/>
    <b v="0"/>
    <x v="2"/>
    <x v="0"/>
    <d v="2025-12-15T00:00:00"/>
    <m/>
    <m/>
    <x v="0"/>
    <n v="0"/>
    <s v="Ruby Grace Garcia"/>
    <m/>
  </r>
  <r>
    <x v="468"/>
    <x v="1"/>
    <x v="7"/>
    <s v="CNOW_7210$$$0000021322 SM-AL8 Biomolecular ARD US"/>
    <s v="L000006661"/>
    <m/>
    <s v="Non-LFF"/>
    <s v=""/>
    <s v="TO BE DONE IN 2026"/>
    <b v="0"/>
    <x v="0"/>
    <x v="0"/>
    <d v="2025-12-15T00:00:00"/>
    <m/>
    <m/>
    <x v="0"/>
    <n v="0"/>
    <s v="Manuel Walther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4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9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6"/>
        <item sd="0" m="1" x="7"/>
        <item sd="0" m="1" x="10"/>
        <item x="0"/>
        <item m="1" x="9"/>
        <item sd="0" m="1" x="8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6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11"/>
    </i>
    <i>
      <x v="7"/>
    </i>
    <i r="1">
      <x/>
    </i>
    <i r="1">
      <x v="10"/>
    </i>
    <i r="1">
      <x v="13"/>
    </i>
    <i>
      <x v="8"/>
    </i>
    <i r="1">
      <x/>
    </i>
    <i r="1">
      <x v="10"/>
    </i>
    <i r="1">
      <x v="13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4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9" firstHeaderRow="1" firstDataRow="1" firstDataCol="1" rowPageCount="1" colPageCount="1"/>
  <pivotFields count="19">
    <pivotField axis="axisRow" showAll="0" sortType="ascending">
      <items count="1651">
        <item m="1" x="1035"/>
        <item x="0"/>
        <item m="1" x="1105"/>
        <item m="1" x="1526"/>
        <item m="1" x="688"/>
        <item m="1" x="1543"/>
        <item m="1" x="1065"/>
        <item m="1" x="1155"/>
        <item m="1" x="1576"/>
        <item m="1" x="1370"/>
        <item m="1" x="1058"/>
        <item m="1" x="1642"/>
        <item m="1" x="1388"/>
        <item m="1" x="1632"/>
        <item m="1" x="1006"/>
        <item m="1" x="907"/>
        <item m="1" x="611"/>
        <item m="1" x="872"/>
        <item m="1" x="1596"/>
        <item m="1" x="664"/>
        <item m="1" x="972"/>
        <item m="1" x="1340"/>
        <item m="1" x="1055"/>
        <item m="1" x="1148"/>
        <item m="1" x="1444"/>
        <item m="1" x="1629"/>
        <item m="1" x="1090"/>
        <item m="1" x="1112"/>
        <item m="1" x="877"/>
        <item m="1" x="1278"/>
        <item m="1" x="1037"/>
        <item m="1" x="1583"/>
        <item m="1" x="1240"/>
        <item m="1" x="673"/>
        <item m="1" x="781"/>
        <item m="1" x="1568"/>
        <item m="1" x="1332"/>
        <item m="1" x="586"/>
        <item m="1" x="1418"/>
        <item m="1" x="1084"/>
        <item m="1" x="1379"/>
        <item m="1" x="965"/>
        <item m="1" x="1317"/>
        <item m="1" x="576"/>
        <item m="1" x="606"/>
        <item m="1" x="1645"/>
        <item m="1" x="1324"/>
        <item m="1" x="1392"/>
        <item m="1" x="1499"/>
        <item m="1" x="1268"/>
        <item m="1" x="1366"/>
        <item m="1" x="1205"/>
        <item m="1" x="660"/>
        <item m="1" x="851"/>
        <item m="1" x="1627"/>
        <item m="1" x="1195"/>
        <item m="1" x="1335"/>
        <item m="1" x="863"/>
        <item m="1" x="824"/>
        <item m="1" x="1116"/>
        <item m="1" x="1008"/>
        <item m="1" x="1041"/>
        <item m="1" x="600"/>
        <item m="1" x="739"/>
        <item m="1" x="1401"/>
        <item m="1" x="1618"/>
        <item m="1" x="804"/>
        <item m="1" x="1209"/>
        <item m="1" x="1219"/>
        <item m="1" x="1396"/>
        <item m="1" x="1506"/>
        <item m="1" x="1384"/>
        <item m="1" x="679"/>
        <item m="1" x="1527"/>
        <item m="1" x="1257"/>
        <item m="1" x="1244"/>
        <item m="1" x="779"/>
        <item m="1" x="1132"/>
        <item m="1" x="1479"/>
        <item m="1" x="597"/>
        <item m="1" x="1176"/>
        <item m="1" x="1529"/>
        <item m="1" x="1367"/>
        <item m="1" x="1102"/>
        <item m="1" x="1144"/>
        <item m="1" x="1025"/>
        <item m="1" x="1260"/>
        <item m="1" x="1072"/>
        <item m="1" x="1304"/>
        <item m="1" x="788"/>
        <item m="1" x="1617"/>
        <item m="1" x="1142"/>
        <item m="1" x="1428"/>
        <item m="1" x="505"/>
        <item m="1" x="1633"/>
        <item m="1" x="1169"/>
        <item m="1" x="1458"/>
        <item m="1" x="1371"/>
        <item m="1" x="1149"/>
        <item m="1" x="659"/>
        <item m="1" x="666"/>
        <item m="1" x="706"/>
        <item m="1" x="888"/>
        <item m="1" x="1312"/>
        <item m="1" x="1073"/>
        <item m="1" x="1189"/>
        <item m="1" x="1252"/>
        <item m="1" x="1399"/>
        <item m="1" x="1482"/>
        <item m="1" x="1044"/>
        <item m="1" x="765"/>
        <item m="1" x="608"/>
        <item m="1" x="751"/>
        <item m="1" x="1626"/>
        <item m="1" x="783"/>
        <item m="1" x="1464"/>
        <item m="1" x="1393"/>
        <item m="1" x="1011"/>
        <item m="1" x="1083"/>
        <item m="1" x="949"/>
        <item m="1" x="1206"/>
        <item m="1" x="1581"/>
        <item m="1" x="757"/>
        <item m="1" x="705"/>
        <item m="1" x="640"/>
        <item m="1" x="1306"/>
        <item m="1" x="1566"/>
        <item m="1" x="1494"/>
        <item m="1" x="1151"/>
        <item m="1" x="675"/>
        <item m="1" x="1400"/>
        <item m="1" x="852"/>
        <item m="1" x="1106"/>
        <item m="1" x="1281"/>
        <item m="1" x="1389"/>
        <item m="1" x="509"/>
        <item m="1" x="1338"/>
        <item m="1" x="1301"/>
        <item m="1" x="742"/>
        <item m="1" x="1190"/>
        <item m="1" x="1078"/>
        <item m="1" x="1031"/>
        <item m="1" x="764"/>
        <item m="1" x="700"/>
        <item m="1" x="940"/>
        <item m="1" x="1127"/>
        <item m="1" x="534"/>
        <item m="1" x="873"/>
        <item m="1" x="732"/>
        <item m="1" x="474"/>
        <item m="1" x="984"/>
        <item m="1" x="1185"/>
        <item m="1" x="1067"/>
        <item m="1" x="1113"/>
        <item m="1" x="1432"/>
        <item m="1" x="1014"/>
        <item m="1" x="1540"/>
        <item m="1" x="1264"/>
        <item m="1" x="1203"/>
        <item m="1" x="717"/>
        <item m="1" x="1350"/>
        <item m="1" x="1628"/>
        <item m="1" x="1316"/>
        <item m="1" x="1300"/>
        <item m="1" x="587"/>
        <item m="1" x="635"/>
        <item m="1" x="1170"/>
        <item m="1" x="676"/>
        <item m="1" x="1613"/>
        <item m="1" x="1279"/>
        <item m="1" x="1204"/>
        <item m="1" x="1156"/>
        <item m="1" x="957"/>
        <item m="1" x="585"/>
        <item m="1" x="685"/>
        <item m="1" x="791"/>
        <item m="1" x="1524"/>
        <item m="1" x="1556"/>
        <item m="1" x="1255"/>
        <item m="1" x="982"/>
        <item m="1" x="1070"/>
        <item m="1" x="580"/>
        <item m="1" x="620"/>
        <item m="1" x="959"/>
        <item m="1" x="1184"/>
        <item m="1" x="1097"/>
        <item m="1" x="755"/>
        <item m="1" x="988"/>
        <item m="1" x="702"/>
        <item m="1" x="897"/>
        <item m="1" x="819"/>
        <item m="1" x="654"/>
        <item m="1" x="790"/>
        <item m="1" x="1160"/>
        <item m="1" x="570"/>
        <item m="1" x="809"/>
        <item m="1" x="601"/>
        <item m="1" x="1294"/>
        <item m="1" x="1483"/>
        <item m="1" x="1093"/>
        <item m="1" x="737"/>
        <item m="1" x="1387"/>
        <item m="1" x="1232"/>
        <item m="1" x="749"/>
        <item m="1" x="750"/>
        <item m="1" x="935"/>
        <item m="1" x="625"/>
        <item m="1" x="814"/>
        <item m="1" x="609"/>
        <item m="1" x="795"/>
        <item m="1" x="1363"/>
        <item m="1" x="874"/>
        <item m="1" x="1241"/>
        <item m="1" x="1291"/>
        <item m="1" x="1425"/>
        <item m="1" x="1429"/>
        <item m="1" x="1146"/>
        <item m="1" x="987"/>
        <item m="1" x="1026"/>
        <item m="1" x="1593"/>
        <item m="1" x="886"/>
        <item m="1" x="698"/>
        <item m="1" x="1076"/>
        <item m="1" x="533"/>
        <item m="1" x="1597"/>
        <item m="1" x="1060"/>
        <item m="1" x="494"/>
        <item m="1" x="1515"/>
        <item m="1" x="1558"/>
        <item m="1" x="1395"/>
        <item m="1" x="772"/>
        <item m="1" x="511"/>
        <item m="1" x="1445"/>
        <item m="1" x="836"/>
        <item m="1" x="472"/>
        <item m="1" x="1616"/>
        <item m="1" x="860"/>
        <item m="1" x="1015"/>
        <item m="1" x="1460"/>
        <item m="1" x="547"/>
        <item m="1" x="1372"/>
        <item m="1" x="1180"/>
        <item m="1" x="1045"/>
        <item m="1" x="915"/>
        <item m="1" x="662"/>
        <item m="1" x="1163"/>
        <item m="1" x="865"/>
        <item m="1" x="1403"/>
        <item m="1" x="725"/>
        <item m="1" x="1473"/>
        <item m="1" x="1480"/>
        <item m="1" x="1164"/>
        <item m="1" x="1354"/>
        <item m="1" x="771"/>
        <item m="1" x="1068"/>
        <item m="1" x="1357"/>
        <item m="1" x="941"/>
        <item m="1" x="1231"/>
        <item m="1" x="870"/>
        <item m="1" x="655"/>
        <item m="1" x="859"/>
        <item m="1" x="1625"/>
        <item m="1" x="1567"/>
        <item m="1" x="712"/>
        <item m="1" x="1513"/>
        <item m="1" x="519"/>
        <item m="1" x="1535"/>
        <item m="1" x="554"/>
        <item m="1" x="856"/>
        <item m="1" x="954"/>
        <item m="1" x="901"/>
        <item m="1" x="1508"/>
        <item m="1" x="1411"/>
        <item m="1" x="652"/>
        <item m="1" x="1222"/>
        <item m="1" x="1430"/>
        <item m="1" x="1564"/>
        <item m="1" x="1471"/>
        <item m="1" x="557"/>
        <item m="1" x="1637"/>
        <item m="1" x="708"/>
        <item m="1" x="989"/>
        <item m="1" x="1433"/>
        <item m="1" x="556"/>
        <item m="1" x="1492"/>
        <item m="1" x="721"/>
        <item m="1" x="1365"/>
        <item m="1" x="1229"/>
        <item m="1" x="1207"/>
        <item m="1" x="786"/>
        <item m="1" x="748"/>
        <item m="1" x="1560"/>
        <item m="1" x="501"/>
        <item m="1" x="683"/>
        <item m="1" x="1342"/>
        <item m="1" x="1453"/>
        <item m="1" x="1380"/>
        <item m="1" x="1584"/>
        <item m="1" x="1088"/>
        <item m="1" x="715"/>
        <item m="1" x="835"/>
        <item m="1" x="1154"/>
        <item m="1" x="896"/>
        <item m="1" x="1224"/>
        <item m="1" x="837"/>
        <item m="1" x="639"/>
        <item m="1" x="1292"/>
        <item m="1" x="694"/>
        <item m="1" x="574"/>
        <item m="1" x="1426"/>
        <item m="1" x="1573"/>
        <item m="1" x="1274"/>
        <item m="1" x="539"/>
        <item m="1" x="1465"/>
        <item m="1" x="1263"/>
        <item m="1" x="1373"/>
        <item m="1" x="1512"/>
        <item m="1" x="740"/>
        <item m="1" x="932"/>
        <item m="1" x="770"/>
        <item m="1" x="1038"/>
        <item m="1" x="962"/>
        <item m="1" x="992"/>
        <item m="1" x="1528"/>
        <item m="1" x="974"/>
        <item m="1" x="1177"/>
        <item m="1" x="709"/>
        <item m="1" x="908"/>
        <item m="1" x="882"/>
        <item m="1" x="1225"/>
        <item m="1" x="1128"/>
        <item m="1" x="1356"/>
        <item m="1" x="878"/>
        <item m="1" x="1514"/>
        <item m="1" x="716"/>
        <item m="1" x="642"/>
        <item m="1" x="898"/>
        <item m="1" x="1439"/>
        <item m="1" x="549"/>
        <item m="1" x="550"/>
        <item m="1" x="846"/>
        <item m="1" x="1519"/>
        <item m="1" x="913"/>
        <item m="1" x="558"/>
        <item m="1" x="718"/>
        <item m="1" x="960"/>
        <item m="1" x="1271"/>
        <item m="1" x="1243"/>
        <item m="1" x="914"/>
        <item m="1" x="495"/>
        <item m="1" x="633"/>
        <item m="1" x="845"/>
        <item m="1" x="733"/>
        <item m="1" x="490"/>
        <item m="1" x="1443"/>
        <item m="1" x="1572"/>
        <item m="1" x="1042"/>
        <item m="1" x="1472"/>
        <item m="1" x="1532"/>
        <item m="1" x="555"/>
        <item m="1" x="1570"/>
        <item m="1" x="1308"/>
        <item m="1" x="731"/>
        <item m="1" x="917"/>
        <item m="1" x="821"/>
        <item m="1" x="1183"/>
        <item m="1" x="754"/>
        <item m="1" x="970"/>
        <item m="1" x="1265"/>
        <item m="1" x="1390"/>
        <item m="1" x="893"/>
        <item m="1" x="1021"/>
        <item m="1" x="833"/>
        <item m="1" x="759"/>
        <item m="1" x="1270"/>
        <item m="1" x="1385"/>
        <item m="1" x="1547"/>
        <item m="1" x="589"/>
        <item m="1" x="793"/>
        <item m="1" x="1233"/>
        <item m="1" x="634"/>
        <item m="1" x="921"/>
        <item m="1" x="1302"/>
        <item m="1" x="567"/>
        <item m="1" x="777"/>
        <item m="1" x="887"/>
        <item m="1" x="1493"/>
        <item m="1" x="726"/>
        <item m="1" x="996"/>
        <item m="1" x="1549"/>
        <item m="1" x="677"/>
        <item m="1" x="866"/>
        <item m="1" x="1054"/>
        <item m="1" x="1391"/>
        <item m="1" x="689"/>
        <item m="1" x="945"/>
        <item m="1" x="787"/>
        <item m="1" x="1283"/>
        <item m="1" x="1469"/>
        <item m="1" x="595"/>
        <item m="1" x="815"/>
        <item m="1" x="1551"/>
        <item m="1" x="1516"/>
        <item m="1" x="616"/>
        <item m="1" x="933"/>
        <item m="1" x="1457"/>
        <item m="1" x="1588"/>
        <item m="1" x="1459"/>
        <item m="1" x="1434"/>
        <item m="1" x="565"/>
        <item m="1" x="741"/>
        <item m="1" x="823"/>
        <item m="1" x="812"/>
        <item m="1" x="1039"/>
        <item m="1" x="527"/>
        <item m="1" x="1226"/>
        <item m="1" x="1297"/>
        <item m="1" x="479"/>
        <item m="1" x="1557"/>
        <item m="1" x="1419"/>
        <item m="1" x="1548"/>
        <item m="1" x="1578"/>
        <item m="1" x="1614"/>
        <item m="1" x="1552"/>
        <item m="1" x="916"/>
        <item m="1" x="1276"/>
        <item m="1" x="883"/>
        <item m="1" x="1289"/>
        <item m="1" x="1254"/>
        <item m="1" x="692"/>
        <item m="1" x="730"/>
        <item m="1" x="868"/>
        <item m="1" x="1333"/>
        <item m="1" x="853"/>
        <item m="1" x="599"/>
        <item m="1" x="1598"/>
        <item m="1" x="1348"/>
        <item m="1" x="1181"/>
        <item m="1" x="1213"/>
        <item m="1" x="1262"/>
        <item m="1" x="687"/>
        <item m="1" x="1029"/>
        <item m="1" x="1374"/>
        <item m="1" x="525"/>
        <item m="1" x="768"/>
        <item m="1" x="668"/>
        <item m="1" x="665"/>
        <item m="1" x="669"/>
        <item m="1" x="470"/>
        <item m="1" x="691"/>
        <item m="1" x="1488"/>
        <item m="1" x="492"/>
        <item m="1" x="1138"/>
        <item m="1" x="1575"/>
        <item m="1" x="1386"/>
        <item m="1" x="646"/>
        <item m="1" x="1646"/>
        <item m="1" x="575"/>
        <item m="1" x="942"/>
        <item m="1" x="1165"/>
        <item m="1" x="621"/>
        <item m="1" x="1074"/>
        <item m="1" x="1234"/>
        <item m="1" x="1502"/>
        <item m="1" x="1404"/>
        <item m="1" x="483"/>
        <item m="1" x="1166"/>
        <item m="1" x="566"/>
        <item m="1" x="802"/>
        <item m="1" x="774"/>
        <item m="1" x="536"/>
        <item m="1" x="1129"/>
        <item m="1" x="1136"/>
        <item m="1" x="1236"/>
        <item m="1" x="985"/>
        <item m="1" x="1485"/>
        <item m="1" x="894"/>
        <item m="1" x="1604"/>
        <item m="1" x="1239"/>
        <item m="1" x="1130"/>
        <item m="1" x="794"/>
        <item m="1" x="1202"/>
        <item m="1" x="1500"/>
        <item m="1" x="1565"/>
        <item m="1" x="1544"/>
        <item m="1" x="1474"/>
        <item m="1" x="1223"/>
        <item m="1" x="1336"/>
        <item m="1" x="849"/>
        <item m="1" x="1298"/>
        <item m="1" x="1123"/>
        <item m="1" x="1082"/>
        <item m="1" x="1080"/>
        <item m="1" x="1081"/>
        <item m="1" x="778"/>
        <item m="1" x="822"/>
        <item m="1" x="1435"/>
        <item m="1" x="1000"/>
        <item m="1" x="842"/>
        <item m="1" x="884"/>
        <item m="1" x="930"/>
        <item m="1" x="1182"/>
        <item m="1" x="1520"/>
        <item m="1" x="1609"/>
        <item m="1" x="727"/>
        <item m="1" x="678"/>
        <item m="1" x="515"/>
        <item m="1" x="537"/>
        <item m="1" x="834"/>
        <item m="1" x="622"/>
        <item m="1" x="950"/>
        <item m="1" x="1486"/>
        <item m="1" x="827"/>
        <item m="1" x="619"/>
        <item m="1" x="1378"/>
        <item m="1" x="496"/>
        <item m="1" x="1504"/>
        <item m="1" x="1579"/>
        <item m="1" x="1643"/>
        <item m="1" x="1518"/>
        <item m="1" x="761"/>
        <item m="1" x="538"/>
        <item m="1" x="1002"/>
        <item m="1" x="1086"/>
        <item m="1" x="1282"/>
        <item m="1" x="1250"/>
        <item m="1" x="1286"/>
        <item m="1" x="1063"/>
        <item m="1" x="1101"/>
        <item m="1" x="1542"/>
        <item m="1" x="1305"/>
        <item m="1" x="1275"/>
        <item m="1" x="1214"/>
        <item m="1" x="1287"/>
        <item m="1" x="488"/>
        <item m="1" x="493"/>
        <item m="1" x="1096"/>
        <item m="1" x="1481"/>
        <item m="1" x="1051"/>
        <item m="1" x="1621"/>
        <item m="1" x="1020"/>
        <item m="1" x="1196"/>
        <item m="1" x="1267"/>
        <item m="1" x="881"/>
        <item m="1" x="713"/>
        <item m="1" x="1089"/>
        <item m="1" x="775"/>
        <item m="1" x="1630"/>
        <item m="1" x="1545"/>
        <item m="1" x="1358"/>
        <item m="1" x="615"/>
        <item m="1" x="542"/>
        <item m="1" x="1115"/>
        <item m="1" x="1359"/>
        <item m="1" x="1648"/>
        <item m="1" x="994"/>
        <item m="1" x="1595"/>
        <item m="1" x="529"/>
        <item m="1" x="643"/>
        <item m="1" x="955"/>
        <item m="1" x="1046"/>
        <item m="1" x="1475"/>
        <item m="1" x="799"/>
        <item m="1" x="1478"/>
        <item m="1" x="895"/>
        <item m="1" x="1467"/>
        <item m="1" x="1631"/>
        <item m="1" x="559"/>
        <item m="1" x="1615"/>
        <item m="1" x="506"/>
        <item m="1" x="1368"/>
        <item m="1" x="986"/>
        <item m="1" x="817"/>
        <item m="1" x="780"/>
        <item m="1" x="924"/>
        <item m="1" x="523"/>
        <item m="1" x="1608"/>
        <item m="1" x="607"/>
        <item m="1" x="628"/>
        <item m="1" x="1501"/>
        <item m="1" x="1580"/>
        <item m="1" x="1094"/>
        <item m="1" x="1235"/>
        <item m="1" x="936"/>
        <item m="1" x="1049"/>
        <item m="1" x="1198"/>
        <item m="1" x="1315"/>
        <item m="1" x="902"/>
        <item m="1" x="1178"/>
        <item m="1" x="997"/>
        <item m="1" x="1634"/>
        <item m="1" x="487"/>
        <item m="1" x="926"/>
        <item m="1" x="867"/>
        <item m="1" x="828"/>
        <item m="1" x="1622"/>
        <item m="1" x="1440"/>
        <item m="1" x="1571"/>
        <item m="1" x="584"/>
        <item m="1" x="1582"/>
        <item m="1" x="1569"/>
        <item m="1" x="1446"/>
        <item m="1" x="681"/>
        <item m="1" x="1050"/>
        <item m="1" x="1143"/>
        <item m="1" x="889"/>
        <item m="1" x="1487"/>
        <item m="1" x="1273"/>
        <item m="1" x="1293"/>
        <item m="1" x="1187"/>
        <item m="1" x="530"/>
        <item m="1" x="1360"/>
        <item m="1" x="1522"/>
        <item m="1" x="927"/>
        <item m="1" x="1641"/>
        <item m="1" x="1135"/>
        <item m="1" x="722"/>
        <item m="1" x="855"/>
        <item m="1" x="891"/>
        <item m="1" x="1550"/>
        <item m="1" x="1534"/>
        <item m="1" x="594"/>
        <item m="1" x="596"/>
        <item m="1" x="510"/>
        <item m="1" x="1470"/>
        <item m="1" x="512"/>
        <item m="1" x="929"/>
        <item m="1" x="829"/>
        <item m="1" x="1285"/>
        <item m="1" x="1228"/>
        <item m="1" x="1577"/>
        <item m="1" x="1509"/>
        <item m="1" x="1001"/>
        <item m="1" x="1215"/>
        <item m="1" x="1450"/>
        <item m="1" x="563"/>
        <item m="1" x="995"/>
        <item m="1" x="925"/>
        <item m="1" x="1619"/>
        <item m="1" x="1586"/>
        <item m="1" x="1017"/>
        <item m="1" x="623"/>
        <item m="1" x="918"/>
        <item m="1" x="1091"/>
        <item m="1" x="545"/>
        <item m="1" x="1381"/>
        <item m="1" x="975"/>
        <item m="1" x="785"/>
        <item m="1" x="879"/>
        <item m="1" x="1325"/>
        <item m="1" x="1624"/>
        <item m="1" x="703"/>
        <item m="1" x="1476"/>
        <item m="1" x="697"/>
        <item m="1" x="1261"/>
        <item m="1" x="1033"/>
        <item m="1" x="964"/>
        <item m="1" x="686"/>
        <item m="1" x="753"/>
        <item m="1" x="541"/>
        <item m="1" x="1341"/>
        <item m="1" x="854"/>
        <item m="1" x="578"/>
        <item m="1" x="1192"/>
        <item m="1" x="1507"/>
        <item m="1" x="1047"/>
        <item m="1" x="1005"/>
        <item m="1" x="476"/>
        <item m="1" x="1612"/>
        <item m="1" x="862"/>
        <item m="1" x="922"/>
        <item m="1" x="1329"/>
        <item m="1" x="1606"/>
        <item m="1" x="1531"/>
        <item m="1" x="1382"/>
        <item m="1" x="1497"/>
        <item m="1" x="658"/>
        <item m="1" x="857"/>
        <item m="1" x="690"/>
        <item m="1" x="482"/>
        <item m="1" x="1095"/>
        <item m="1" x="544"/>
        <item m="1" x="766"/>
        <item m="1" x="710"/>
        <item m="1" x="656"/>
        <item m="1" x="1611"/>
        <item m="1" x="707"/>
        <item m="1" x="1309"/>
        <item m="1" x="1521"/>
        <item m="1" x="647"/>
        <item m="1" x="551"/>
        <item m="1" x="1344"/>
        <item m="1" x="1320"/>
        <item m="1" x="1361"/>
        <item m="1" x="1280"/>
        <item m="1" x="624"/>
        <item m="1" x="980"/>
        <item m="1" x="1248"/>
        <item m="1" x="1498"/>
        <item m="1" x="1092"/>
        <item m="1" x="1210"/>
        <item m="1" x="1554"/>
        <item m="1" x="966"/>
        <item m="1" x="810"/>
        <item m="1" x="1043"/>
        <item m="1" x="990"/>
        <item m="1" x="920"/>
        <item m="1" x="1437"/>
        <item m="1" x="1124"/>
        <item m="1" x="1220"/>
        <item m="1" x="471"/>
        <item m="1" x="1016"/>
        <item m="1" x="618"/>
        <item m="1" x="885"/>
        <item m="1" x="1023"/>
        <item m="1" x="553"/>
        <item m="1" x="670"/>
        <item m="1" x="1125"/>
        <item m="1" x="1322"/>
        <item m="1" x="1592"/>
        <item m="1" x="1635"/>
        <item m="1" x="1245"/>
        <item m="1" x="593"/>
        <item m="1" x="521"/>
        <item m="1" x="1107"/>
        <item m="1" x="729"/>
        <item m="1" x="1003"/>
        <item m="1" x="631"/>
        <item m="1" x="734"/>
        <item m="1" x="1161"/>
        <item m="1" x="1517"/>
        <item m="1" x="1448"/>
        <item m="1" x="864"/>
        <item m="1" x="899"/>
        <item m="1" x="1175"/>
        <item m="1" x="1605"/>
        <item m="1" x="1331"/>
        <item m="1" x="497"/>
        <item m="1" x="1559"/>
        <item m="1" x="605"/>
        <item m="1" x="1251"/>
        <item m="1" x="1296"/>
        <item m="1" x="1299"/>
        <item m="1" x="1639"/>
        <item m="1" x="532"/>
        <item m="1" x="1310"/>
        <item m="1" x="1407"/>
        <item m="1" x="1179"/>
        <item m="1" x="1349"/>
        <item m="1" x="591"/>
        <item m="1" x="983"/>
        <item m="1" x="830"/>
        <item m="1" x="1442"/>
        <item m="1" x="1537"/>
        <item m="1" x="1066"/>
        <item m="1" x="1505"/>
        <item m="1" x="1553"/>
        <item m="1" x="906"/>
        <item m="1" x="1409"/>
        <item m="1" x="1272"/>
        <item m="1" x="1555"/>
        <item m="1" x="1599"/>
        <item m="1" x="1337"/>
        <item m="1" x="947"/>
        <item m="1" x="752"/>
        <item m="1" x="1587"/>
        <item m="1" x="1134"/>
        <item m="1" x="1108"/>
        <item m="1" x="1117"/>
        <item m="1" x="1638"/>
        <item m="1" x="1362"/>
        <item m="1" x="1057"/>
        <item m="1" x="1326"/>
        <item m="1" x="1303"/>
        <item m="1" x="919"/>
        <item m="1" x="820"/>
        <item m="1" x="1319"/>
        <item m="1" x="714"/>
        <item m="1" x="671"/>
        <item m="1" x="613"/>
        <item m="1" x="1600"/>
        <item m="1" x="1216"/>
        <item m="1" x="951"/>
        <item m="1" x="1032"/>
        <item m="1" x="513"/>
        <item m="1" x="1589"/>
        <item m="1" x="1140"/>
        <item m="1" x="1288"/>
        <item m="1" x="736"/>
        <item m="1" x="1420"/>
        <item m="1" x="923"/>
        <item m="1" x="816"/>
        <item m="1" x="1644"/>
        <item m="1" x="946"/>
        <item m="1" x="1585"/>
        <item m="1" x="1171"/>
        <item m="1" x="847"/>
        <item m="1" x="638"/>
        <item m="1" x="581"/>
        <item m="1" x="875"/>
        <item m="1" x="572"/>
        <item m="1" x="543"/>
        <item m="1" x="560"/>
        <item m="1" x="839"/>
        <item m="1" x="684"/>
        <item m="1" x="991"/>
        <item m="1" x="1048"/>
        <item m="1" x="1147"/>
        <item m="1" x="1018"/>
        <item m="1" x="1351"/>
        <item m="1" x="1415"/>
        <item m="1" x="627"/>
        <item m="1" x="637"/>
        <item m="1" x="826"/>
        <item m="1" x="968"/>
        <item m="1" x="758"/>
        <item m="1" x="1311"/>
        <item m="1" x="1061"/>
        <item m="1" x="978"/>
        <item m="1" x="1111"/>
        <item m="1" x="1417"/>
        <item m="1" x="1355"/>
        <item m="1" x="1441"/>
        <item m="1" x="1197"/>
        <item m="1" x="617"/>
        <item m="1" x="1623"/>
        <item m="1" x="1036"/>
        <item m="1" x="651"/>
        <item m="1" x="475"/>
        <item m="1" x="1620"/>
        <item m="1" x="1104"/>
        <item m="1" x="1071"/>
        <item m="1" x="843"/>
        <item m="1" x="723"/>
        <item m="1" x="807"/>
        <item m="1" x="961"/>
        <item m="1" x="1536"/>
        <item m="1" x="1455"/>
        <item m="1" x="831"/>
        <item m="1" x="904"/>
        <item m="1" x="911"/>
        <item m="1" x="1449"/>
        <item m="1" x="1052"/>
        <item m="1" x="524"/>
        <item m="1" x="1085"/>
        <item m="1" x="1364"/>
        <item m="1" x="1490"/>
        <item m="1" x="1383"/>
        <item m="1" x="1191"/>
        <item m="1" x="1489"/>
        <item m="1" x="503"/>
        <item m="1" x="1406"/>
        <item m="1" x="485"/>
        <item m="1" x="825"/>
        <item m="1" x="489"/>
        <item m="1" x="648"/>
        <item m="1" x="738"/>
        <item m="1" x="744"/>
        <item m="1" x="1162"/>
        <item m="1" x="1416"/>
        <item m="1" x="943"/>
        <item m="1" x="514"/>
        <item m="1" x="720"/>
        <item m="1" x="508"/>
        <item m="1" x="1503"/>
        <item m="1" x="728"/>
        <item m="1" x="1064"/>
        <item m="1" x="1523"/>
        <item m="1" x="850"/>
        <item m="1" x="792"/>
        <item m="1" x="1188"/>
        <item m="1" x="745"/>
        <item m="1" x="1053"/>
        <item m="1" x="1347"/>
        <item m="1" x="486"/>
        <item m="1" x="999"/>
        <item m="1" x="1118"/>
        <item m="1" x="610"/>
        <item m="1" x="952"/>
        <item m="1" x="1087"/>
        <item m="1" x="838"/>
        <item m="1" x="876"/>
        <item m="1" x="603"/>
        <item m="1" x="1009"/>
        <item m="1" x="473"/>
        <item m="1" x="1145"/>
        <item m="1" x="1538"/>
        <item m="1" x="1259"/>
        <item m="1" x="1253"/>
        <item m="1" x="1152"/>
        <item m="1" x="478"/>
        <item m="1" x="1284"/>
        <item m="1" x="1327"/>
        <item m="1" x="1133"/>
        <item m="1" x="477"/>
        <item m="1" x="1484"/>
        <item m="1" x="1451"/>
        <item m="1" x="481"/>
        <item m="1" x="760"/>
        <item m="1" x="1150"/>
        <item m="1" x="1405"/>
        <item m="1" x="602"/>
        <item m="1" x="498"/>
        <item m="1" x="657"/>
        <item m="1" x="548"/>
        <item m="1" x="956"/>
        <item m="1" x="769"/>
        <item m="1" x="767"/>
        <item m="1" x="938"/>
        <item m="1" x="1040"/>
        <item m="1" x="944"/>
        <item m="1" x="1141"/>
        <item m="1" x="993"/>
        <item m="1" x="858"/>
        <item m="1" x="973"/>
        <item m="1" x="1466"/>
        <item m="1" x="1561"/>
        <item m="1" x="818"/>
        <item m="1" x="1541"/>
        <item m="1" x="583"/>
        <item m="1" x="1530"/>
        <item m="1" x="1227"/>
        <item m="1" x="1398"/>
        <item m="1" x="1477"/>
        <item m="1" x="1157"/>
        <item m="1" x="1369"/>
        <item m="1" x="661"/>
        <item m="1" x="644"/>
        <item m="1" x="1266"/>
        <item m="1" x="1238"/>
        <item m="1" x="800"/>
        <item m="1" x="1636"/>
        <item m="1" x="1208"/>
        <item m="1" x="948"/>
        <item m="1" x="1022"/>
        <item m="1" x="981"/>
        <item m="1" x="1491"/>
        <item m="1" x="1495"/>
        <item m="1" x="491"/>
        <item m="1" x="1375"/>
        <item m="1" x="1421"/>
        <item m="1" x="540"/>
        <item m="1" x="912"/>
        <item m="1" x="903"/>
        <item m="1" x="1410"/>
        <item m="1" x="1109"/>
        <item m="1" x="1313"/>
        <item m="1" x="979"/>
        <item m="1" x="1330"/>
        <item m="1" x="518"/>
        <item m="1" x="641"/>
        <item m="1" x="1610"/>
        <item m="1" x="1230"/>
        <item m="1" x="1602"/>
        <item m="1" x="522"/>
        <item m="1" x="782"/>
        <item m="1" x="598"/>
        <item m="1" x="531"/>
        <item m="1" x="546"/>
        <item m="1" x="1098"/>
        <item m="1" x="1131"/>
        <item m="1" x="803"/>
        <item m="1" x="1221"/>
        <item m="1" x="1539"/>
        <item m="1" x="890"/>
        <item m="1" x="969"/>
        <item m="1" x="1119"/>
        <item m="1" x="1607"/>
        <item m="1" x="784"/>
        <item m="1" x="796"/>
        <item m="1" x="806"/>
        <item m="1" x="1427"/>
        <item m="1" x="1563"/>
        <item m="1" x="480"/>
        <item m="1" x="1307"/>
        <item m="1" x="1603"/>
        <item m="1" x="704"/>
        <item m="1" x="1019"/>
        <item m="1" x="1640"/>
        <item m="1" x="1546"/>
        <item m="1" x="693"/>
        <item m="1" x="805"/>
        <item m="1" x="892"/>
        <item m="1" x="1217"/>
        <item m="1" x="1414"/>
        <item m="1" x="649"/>
        <item m="1" x="1120"/>
        <item m="1" x="645"/>
        <item m="1" x="614"/>
        <item m="1" x="562"/>
        <item m="1" x="1533"/>
        <item m="1" x="1126"/>
        <item m="1" x="1574"/>
        <item m="1" x="967"/>
        <item m="1" x="1591"/>
        <item m="1" x="1343"/>
        <item m="1" x="632"/>
        <item m="1" x="1447"/>
        <item m="1" x="1461"/>
        <item m="1" x="1121"/>
        <item m="1" x="1496"/>
        <item m="1" x="1334"/>
        <item m="1" x="1199"/>
        <item m="1" x="516"/>
        <item m="1" x="1345"/>
        <item m="1" x="1077"/>
        <item m="1" x="1010"/>
        <item m="1" x="1353"/>
        <item m="1" x="937"/>
        <item m="1" x="571"/>
        <item m="1" x="743"/>
        <item m="1" x="520"/>
        <item m="1" x="869"/>
        <item m="1" x="1247"/>
        <item m="1" x="832"/>
        <item m="1" x="695"/>
        <item m="1" x="910"/>
        <item m="1" x="588"/>
        <item m="1" x="840"/>
        <item m="1" x="711"/>
        <item m="1" x="1062"/>
        <item m="1" x="1649"/>
        <item m="1" x="1103"/>
        <item m="1" x="699"/>
        <item m="1" x="976"/>
        <item m="1" x="682"/>
        <item m="1" x="735"/>
        <item m="1" x="1027"/>
        <item m="1" x="1295"/>
        <item m="1" x="1012"/>
        <item m="1" x="1462"/>
        <item m="1" x="1024"/>
        <item m="1" x="1258"/>
        <item m="1" x="573"/>
        <item m="1" x="1056"/>
        <item m="1" x="696"/>
        <item m="1" x="626"/>
        <item m="1" x="1352"/>
        <item m="1" x="667"/>
        <item m="1" x="1376"/>
        <item m="1" x="568"/>
        <item m="1" x="1193"/>
        <item m="1" x="1200"/>
        <item m="1" x="604"/>
        <item m="1" x="1122"/>
        <item m="1" x="500"/>
        <item m="1" x="1323"/>
        <item m="1" x="1028"/>
        <item m="1" x="1249"/>
        <item m="1" x="1218"/>
        <item m="1" x="1438"/>
        <item m="1" x="1211"/>
        <item m="1" x="789"/>
        <item m="1" x="1290"/>
        <item m="1" x="1424"/>
        <item m="1" x="1114"/>
        <item m="1" x="1246"/>
        <item m="1" x="579"/>
        <item m="1" x="1412"/>
        <item m="1" x="1069"/>
        <item m="1" x="934"/>
        <item m="1" x="1318"/>
        <item m="1" x="844"/>
        <item m="1" x="1167"/>
        <item m="1" x="701"/>
        <item m="1" x="797"/>
        <item m="1" x="1194"/>
        <item m="1" x="963"/>
        <item m="1" x="507"/>
        <item m="1" x="841"/>
        <item m="1" x="1321"/>
        <item m="1" x="1423"/>
        <item m="1" x="526"/>
        <item m="1" x="811"/>
        <item m="1" x="746"/>
        <item m="1" x="1079"/>
        <item m="1" x="1172"/>
        <item m="1" x="612"/>
        <item m="1" x="1594"/>
        <item m="1" x="577"/>
        <item m="1" x="650"/>
        <item m="1" x="1431"/>
        <item m="1" x="939"/>
        <item m="1" x="953"/>
        <item m="1" x="1007"/>
        <item m="1" x="582"/>
        <item m="1" x="861"/>
        <item m="1" x="1256"/>
        <item m="1" x="1168"/>
        <item m="1" x="958"/>
        <item m="1" x="905"/>
        <item m="1" x="535"/>
        <item m="1" x="773"/>
        <item m="1" x="1237"/>
        <item m="1" x="871"/>
        <item m="1" x="1034"/>
        <item m="1" x="971"/>
        <item m="1" x="1153"/>
        <item m="1" x="517"/>
        <item m="1" x="998"/>
        <item m="1" x="672"/>
        <item m="1" x="1075"/>
        <item m="1" x="1201"/>
        <item m="1" x="1277"/>
        <item m="1" x="1212"/>
        <item m="1" x="1173"/>
        <item m="1" x="1099"/>
        <item m="1" x="1510"/>
        <item m="1" x="1402"/>
        <item m="1" x="653"/>
        <item m="1" x="1394"/>
        <item m="1" x="848"/>
        <item m="1" x="1158"/>
        <item m="1" x="564"/>
        <item m="1" x="1137"/>
        <item m="1" x="1004"/>
        <item m="1" x="1436"/>
        <item m="1" x="590"/>
        <item m="1" x="1647"/>
        <item m="1" x="629"/>
        <item m="1" x="569"/>
        <item m="1" x="1139"/>
        <item m="1" x="1339"/>
        <item m="1" x="1242"/>
        <item m="1" x="528"/>
        <item m="1" x="680"/>
        <item m="1" x="1468"/>
        <item m="1" x="1408"/>
        <item m="1" x="663"/>
        <item m="1" x="636"/>
        <item m="1" x="931"/>
        <item m="1" x="552"/>
        <item m="1" x="1159"/>
        <item m="1" x="592"/>
        <item m="1" x="762"/>
        <item m="1" x="1059"/>
        <item m="1" x="1590"/>
        <item m="1" x="630"/>
        <item m="1" x="900"/>
        <item m="1" x="747"/>
        <item m="1" x="909"/>
        <item m="1" x="1463"/>
        <item m="1" x="1346"/>
        <item m="1" x="808"/>
        <item m="1" x="561"/>
        <item m="1" x="1511"/>
        <item m="1" x="674"/>
        <item m="1" x="1456"/>
        <item m="1" x="1013"/>
        <item m="1" x="1397"/>
        <item m="1" x="756"/>
        <item m="1" x="928"/>
        <item m="1" x="1413"/>
        <item m="1" x="1601"/>
        <item m="1" x="1377"/>
        <item m="1" x="776"/>
        <item m="1" x="719"/>
        <item m="1" x="1422"/>
        <item m="1" x="1186"/>
        <item m="1" x="1030"/>
        <item m="1" x="1454"/>
        <item m="1" x="502"/>
        <item m="1" x="499"/>
        <item m="1" x="1174"/>
        <item m="1" x="1314"/>
        <item m="1" x="1269"/>
        <item m="1" x="1452"/>
        <item m="1" x="977"/>
        <item m="1" x="724"/>
        <item m="1" x="798"/>
        <item m="1" x="1328"/>
        <item m="1" x="880"/>
        <item m="1" x="1110"/>
        <item m="1" x="1525"/>
        <item m="1" x="763"/>
        <item m="1" x="1100"/>
        <item m="1" x="484"/>
        <item m="1" x="81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m="1" x="801"/>
        <item m="1" x="1562"/>
        <item m="1" x="504"/>
        <item m="1" x="469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5">
    <i>
      <x/>
    </i>
    <i r="1">
      <x v="1631"/>
    </i>
    <i r="2">
      <x v="13"/>
    </i>
    <i r="1">
      <x v="1643"/>
    </i>
    <i r="2">
      <x v="3"/>
    </i>
    <i r="2">
      <x v="13"/>
    </i>
    <i r="1">
      <x v="1644"/>
    </i>
    <i r="2">
      <x v="12"/>
    </i>
    <i r="1">
      <x v="1645"/>
    </i>
    <i r="2">
      <x v="3"/>
    </i>
    <i r="2">
      <x v="11"/>
    </i>
    <i>
      <x v="1"/>
    </i>
    <i r="1">
      <x v="1580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90" totalsRowShown="0" totalsRowDxfId="23">
  <autoFilter ref="A1:C1390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115" totalsRowShown="0">
  <autoFilter ref="A1:S5115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5" totalsRowShown="0">
  <autoFilter ref="A1:B14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9"/>
  <sheetViews>
    <sheetView workbookViewId="0">
      <selection activeCell="A16" sqref="A16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254</v>
      </c>
    </row>
    <row r="5" spans="1:2">
      <c r="A5" s="111" t="s">
        <v>369</v>
      </c>
      <c r="B5" s="150">
        <v>251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>
        <v>1</v>
      </c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220</v>
      </c>
    </row>
    <row r="15" spans="1:2">
      <c r="A15" s="111" t="s">
        <v>369</v>
      </c>
      <c r="B15" s="150">
        <v>219</v>
      </c>
    </row>
    <row r="16" spans="1:2">
      <c r="A16" s="111" t="s">
        <v>375</v>
      </c>
      <c r="B16" s="150">
        <v>1</v>
      </c>
    </row>
    <row r="17" spans="1:2">
      <c r="A17" s="17" t="s">
        <v>569</v>
      </c>
      <c r="B17" s="150">
        <v>221</v>
      </c>
    </row>
    <row r="18" spans="1:2">
      <c r="A18" s="111" t="s">
        <v>369</v>
      </c>
      <c r="B18" s="150">
        <v>216</v>
      </c>
    </row>
    <row r="19" spans="1:2">
      <c r="A19" s="111" t="s">
        <v>377</v>
      </c>
      <c r="B19" s="150">
        <v>2</v>
      </c>
    </row>
    <row r="20" spans="1:2">
      <c r="A20" s="111" t="s">
        <v>692</v>
      </c>
      <c r="B20" s="150">
        <v>3</v>
      </c>
    </row>
    <row r="21" spans="1:2">
      <c r="A21" s="17" t="s">
        <v>570</v>
      </c>
      <c r="B21" s="150">
        <v>307</v>
      </c>
    </row>
    <row r="22" spans="1:2">
      <c r="A22" s="111" t="s">
        <v>369</v>
      </c>
      <c r="B22" s="150">
        <v>297</v>
      </c>
    </row>
    <row r="23" spans="1:2">
      <c r="A23" s="111" t="s">
        <v>377</v>
      </c>
      <c r="B23" s="150">
        <v>9</v>
      </c>
    </row>
    <row r="24" spans="1:2">
      <c r="A24" s="111" t="s">
        <v>692</v>
      </c>
      <c r="B24" s="150">
        <v>1</v>
      </c>
    </row>
    <row r="25" spans="1:2">
      <c r="A25" s="17" t="s">
        <v>6998</v>
      </c>
      <c r="B25" s="150">
        <v>4</v>
      </c>
    </row>
    <row r="26" spans="1:2">
      <c r="A26" s="111" t="s">
        <v>369</v>
      </c>
      <c r="B26" s="150">
        <v>4</v>
      </c>
    </row>
    <row r="27" spans="1:2">
      <c r="A27" s="17" t="s">
        <v>7194</v>
      </c>
      <c r="B27" s="150">
        <v>5</v>
      </c>
    </row>
    <row r="28" spans="1:2">
      <c r="A28" s="111" t="s">
        <v>369</v>
      </c>
      <c r="B28" s="150">
        <v>5</v>
      </c>
    </row>
    <row r="29" spans="1:2">
      <c r="A29" s="17" t="s">
        <v>381</v>
      </c>
      <c r="B29" s="150">
        <v>1011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2" sqref="D22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13</v>
      </c>
      <c r="C5"/>
      <c r="D5"/>
      <c r="E5"/>
    </row>
    <row r="6" spans="1:6">
      <c r="A6" s="111" t="s">
        <v>7343</v>
      </c>
      <c r="B6" s="150">
        <v>1</v>
      </c>
      <c r="C6" s="126"/>
      <c r="D6" s="124"/>
      <c r="E6" s="124"/>
    </row>
    <row r="7" spans="1:6">
      <c r="A7" s="112" t="s">
        <v>692</v>
      </c>
      <c r="B7" s="150">
        <v>1</v>
      </c>
      <c r="C7"/>
      <c r="D7"/>
      <c r="E7"/>
    </row>
    <row r="8" spans="1:6">
      <c r="A8" s="111" t="s">
        <v>7364</v>
      </c>
      <c r="B8" s="150">
        <v>5</v>
      </c>
      <c r="C8" s="56"/>
      <c r="D8" s="124"/>
      <c r="E8" s="124"/>
    </row>
    <row r="9" spans="1:6">
      <c r="A9" s="112" t="s">
        <v>369</v>
      </c>
      <c r="B9" s="150">
        <v>4</v>
      </c>
      <c r="C9"/>
      <c r="D9"/>
    </row>
    <row r="10" spans="1:6">
      <c r="A10" s="112" t="s">
        <v>692</v>
      </c>
      <c r="B10" s="150">
        <v>1</v>
      </c>
      <c r="C10" s="53"/>
      <c r="D10" s="124"/>
      <c r="E10" s="124"/>
    </row>
    <row r="11" spans="1:6">
      <c r="A11" s="111" t="s">
        <v>7376</v>
      </c>
      <c r="B11" s="150">
        <v>1</v>
      </c>
      <c r="C11"/>
      <c r="D11"/>
    </row>
    <row r="12" spans="1:6">
      <c r="A12" s="112" t="s">
        <v>405</v>
      </c>
      <c r="B12" s="150">
        <v>1</v>
      </c>
      <c r="C12" s="126"/>
      <c r="D12"/>
    </row>
    <row r="13" spans="1:6">
      <c r="A13" s="111" t="s">
        <v>7371</v>
      </c>
      <c r="B13" s="150">
        <v>6</v>
      </c>
      <c r="C13"/>
      <c r="D13"/>
    </row>
    <row r="14" spans="1:6">
      <c r="A14" s="112" t="s">
        <v>369</v>
      </c>
      <c r="B14" s="150">
        <v>5</v>
      </c>
      <c r="C14" s="126"/>
      <c r="D14"/>
    </row>
    <row r="15" spans="1:6">
      <c r="A15" s="112" t="s">
        <v>375</v>
      </c>
      <c r="B15" s="150">
        <v>1</v>
      </c>
      <c r="C15"/>
      <c r="D15" s="124"/>
      <c r="E15" s="124"/>
    </row>
    <row r="16" spans="1:6">
      <c r="A16" s="17" t="s">
        <v>4326</v>
      </c>
      <c r="B16" s="150">
        <v>2</v>
      </c>
      <c r="C16"/>
      <c r="D16"/>
    </row>
    <row r="17" spans="1:5">
      <c r="A17" s="111" t="s">
        <v>6639</v>
      </c>
      <c r="B17" s="150">
        <v>2</v>
      </c>
      <c r="C17"/>
      <c r="D17" s="124"/>
      <c r="E17" s="124"/>
    </row>
    <row r="18" spans="1:5">
      <c r="A18" s="112" t="s">
        <v>692</v>
      </c>
      <c r="B18" s="150">
        <v>2</v>
      </c>
      <c r="C18" s="126"/>
      <c r="D18"/>
    </row>
    <row r="19" spans="1:5">
      <c r="A19" s="17" t="s">
        <v>381</v>
      </c>
      <c r="B19" s="150">
        <v>15</v>
      </c>
      <c r="C19" s="47"/>
      <c r="D19"/>
    </row>
    <row r="20" spans="1:5"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90"/>
  <sheetViews>
    <sheetView topLeftCell="A1341" workbookViewId="0">
      <selection activeCell="C1390" sqref="C1390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  <row r="1384" spans="1:3">
      <c r="A1384" t="s">
        <v>7252</v>
      </c>
      <c r="B1384">
        <v>6</v>
      </c>
      <c r="C1384" s="149" t="s">
        <v>4</v>
      </c>
    </row>
    <row r="1385" spans="1:3">
      <c r="A1385" t="s">
        <v>7273</v>
      </c>
      <c r="B1385">
        <v>5</v>
      </c>
      <c r="C1385" s="149" t="s">
        <v>4</v>
      </c>
    </row>
    <row r="1386" spans="1:3">
      <c r="A1386" t="s">
        <v>7303</v>
      </c>
      <c r="B1386">
        <v>2</v>
      </c>
      <c r="C1386" s="149" t="s">
        <v>4</v>
      </c>
    </row>
    <row r="1387" spans="1:3">
      <c r="A1387" t="s">
        <v>7304</v>
      </c>
      <c r="B1387">
        <v>26</v>
      </c>
      <c r="C1387" s="149" t="s">
        <v>4</v>
      </c>
    </row>
    <row r="1388" spans="1:3">
      <c r="A1388" t="s">
        <v>7283</v>
      </c>
      <c r="B1388">
        <v>1</v>
      </c>
      <c r="C1388" s="149" t="s">
        <v>4</v>
      </c>
    </row>
    <row r="1389" spans="1:3">
      <c r="A1389" t="s">
        <v>7352</v>
      </c>
      <c r="B1389">
        <v>5</v>
      </c>
      <c r="C1389" s="149" t="s">
        <v>4</v>
      </c>
    </row>
    <row r="1390" spans="1:3">
      <c r="A1390" t="s">
        <v>7353</v>
      </c>
      <c r="B1390">
        <v>8</v>
      </c>
      <c r="C1390" s="149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115"/>
  <sheetViews>
    <sheetView tabSelected="1" zoomScale="105" zoomScaleNormal="105" workbookViewId="0">
      <selection activeCell="D5136" sqref="D5136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256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231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231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231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231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231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231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231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231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231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231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231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227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224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224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224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224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224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224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224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224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224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224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224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224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224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224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224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224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224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224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224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224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224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224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224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224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224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224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224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224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224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224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224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224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224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224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224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224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224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224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224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224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224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223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223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223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223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223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223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223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223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223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223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223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223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223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223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223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223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223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223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223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223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223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223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223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223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223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223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223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223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223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223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223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223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223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223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223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223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223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223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223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223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223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223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223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223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223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223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223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223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223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223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223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223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223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223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223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223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223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223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223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222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222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222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222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222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221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221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219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219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218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215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215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215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215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215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215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215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215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215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215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215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215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215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215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215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215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215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215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215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215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215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214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214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214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214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214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209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209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209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204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204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204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204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204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204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204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204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204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204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204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204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204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204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204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204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204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204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200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200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200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195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194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194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194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194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194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194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194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194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194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194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194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194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180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180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179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179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179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169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154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154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154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154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154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154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154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154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154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154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154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154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154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154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154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154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154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154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154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154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151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151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151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151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150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150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150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150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150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150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150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150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150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150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150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150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150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150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150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150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150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150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150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150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150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150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150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150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150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150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150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150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150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150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149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149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149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149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149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149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149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149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149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149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149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149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149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149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149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149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149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149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145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145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145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145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145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145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145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145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145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145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145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145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145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145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145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145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145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145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145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145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145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145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145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145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145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145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145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145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145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145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145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145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145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145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145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145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145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145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145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145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145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145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145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145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145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145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145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145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145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145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145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145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145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145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145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145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145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145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145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145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145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145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145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145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145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145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145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145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145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145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145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145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145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145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145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145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145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145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145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145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145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145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145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145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145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145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145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145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145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145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145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145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139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139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134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134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129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129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129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129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129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129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129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129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129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129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129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129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129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129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129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129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129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129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129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129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129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129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129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129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129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129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129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129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129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129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129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129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129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129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129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129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129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129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129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129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129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129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129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129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129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129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129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129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129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129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129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129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129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129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129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129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129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129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129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129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129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129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129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129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129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129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129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129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129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129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129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129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129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129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129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129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129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129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129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129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129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129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129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129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129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129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129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129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129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129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129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129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129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129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129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129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129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129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129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129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129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129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129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129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129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126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126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126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126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127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124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124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119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119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119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119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119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119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119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119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119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119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119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117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117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117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117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117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117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117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117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117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117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117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117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117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117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117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117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117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117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117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117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117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117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117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117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117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117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117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117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117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117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117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117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117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117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117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117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117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117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117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117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117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117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117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117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117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117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117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117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117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117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117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117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117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117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117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117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117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117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117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117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117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117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117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117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117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117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117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117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117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117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117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117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117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117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117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117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117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117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117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117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117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117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117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117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117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117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117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117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117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117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117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117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117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117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117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117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117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117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117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117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117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117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117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117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117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117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117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117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117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117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117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117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117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117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117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117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117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117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117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117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117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117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117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117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117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117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117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117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117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117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117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117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117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117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117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117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117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117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117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117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117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117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117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117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117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117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117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117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117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117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117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117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117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117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117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117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117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117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117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117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117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117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117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117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117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117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117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117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117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117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117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117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117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117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117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117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117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117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117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117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117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117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117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117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117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117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117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117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117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117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117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117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117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117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117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117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117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117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117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117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117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117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117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117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117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117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117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117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117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117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117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117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117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117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117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117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117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117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117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117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117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117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117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117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117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117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117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117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117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117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117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117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117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117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117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117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117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117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117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117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117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117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117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117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117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117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117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117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117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117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117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117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117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117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117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117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117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117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117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117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117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117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117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117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117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117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117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117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117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117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117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117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117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117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117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117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117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117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117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117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117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117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117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117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117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117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117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117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117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117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117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117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117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117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117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117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117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117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117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117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117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117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117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117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117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117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117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117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117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117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117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117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117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117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117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117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117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117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117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117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117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117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117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117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117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117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117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117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117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117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117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117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117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117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117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115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115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115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115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115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115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115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115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115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115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114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114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114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113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113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113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113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113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113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112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112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110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109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109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109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108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108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108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106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106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106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106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106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106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106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103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103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103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103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103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103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103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103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103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103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103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103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103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103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103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103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103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103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103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103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103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103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103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103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103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103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103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103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103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102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102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100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100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100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100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100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100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100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100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100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100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98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98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98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98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98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98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98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98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97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97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97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97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97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97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97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97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97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97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97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97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97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97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97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97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97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95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95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95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95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95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95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95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95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95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95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95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95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95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95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95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95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95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95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95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95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95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95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95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95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95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95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95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95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95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95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95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95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95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95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95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95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95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95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95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95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95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95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95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95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95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95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95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95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95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95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95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95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95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95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95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95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95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95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95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95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95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95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95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95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95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95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95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95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95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95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95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95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95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95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95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95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95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95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95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95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95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95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95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95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95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95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95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95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95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95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95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95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95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95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95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95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95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95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95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95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95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95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95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95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95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95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95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95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95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95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95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95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95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95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95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95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95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95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95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95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95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95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95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95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95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95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95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95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95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95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95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95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95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95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95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95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95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95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95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95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95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95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95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95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95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95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95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95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95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95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95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95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95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95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95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95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95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95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95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95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95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95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95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95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95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95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95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95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95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95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95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95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95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95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95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95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95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95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95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95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95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95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95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95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95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95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95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95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95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95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95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95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95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95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95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95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95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95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95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95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95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95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95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95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95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95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95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95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95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95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95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95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95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95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95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95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95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95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95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95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95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95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95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95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95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95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95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95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95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95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95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95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95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95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95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95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95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95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95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95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95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95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95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95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95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95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95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95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95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95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95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95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95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95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95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95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95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95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95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95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95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95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95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95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95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95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95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95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95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95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95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95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95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95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95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95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95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95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95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95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95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95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95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95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95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95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95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95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95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95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95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95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95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95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95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94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94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94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94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94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94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94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94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94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94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94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94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94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94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94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94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94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94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94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94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94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94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94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94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94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94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94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94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94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94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94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94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94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94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94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94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94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94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94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94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94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94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94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94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94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94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94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94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94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94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94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94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94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94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94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94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94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94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94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94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94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94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94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94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94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94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94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94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94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94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94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94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94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94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94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94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94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94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94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94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94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94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94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94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94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94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94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94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94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94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94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94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94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94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94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94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94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94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94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94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94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94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94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94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94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94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94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94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94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94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94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94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94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94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94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94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94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94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94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94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94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94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94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94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94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94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94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94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94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94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94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94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94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94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94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94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94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94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94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94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94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94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94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94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94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94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94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94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94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94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94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94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94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94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94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94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94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94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94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94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94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94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94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94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94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94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94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94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94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94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94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94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94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94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94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94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94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94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94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94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94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94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94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94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94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94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94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94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94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94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94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94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94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94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94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94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94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94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94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94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94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94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91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91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91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91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91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91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91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91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91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91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91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91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91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91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91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91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91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91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91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91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91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91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91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91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91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91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91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91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91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91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91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91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91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91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91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91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91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91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91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91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91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91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91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90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90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89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89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89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89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89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89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89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88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88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88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87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87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87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87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87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87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87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87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87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87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87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87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87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87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87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87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87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87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87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87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87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87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87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87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87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87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87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87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87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87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87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87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87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87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87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87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87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87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87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87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87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87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87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87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87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87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87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87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87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87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87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87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87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87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87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87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87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87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87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87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87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87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87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87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87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87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87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87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87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87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87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87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87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87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87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87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87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87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87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87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87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87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87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87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87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87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87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87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87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87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87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87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87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87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86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86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86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86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86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86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86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86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86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86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86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86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86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86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86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86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86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86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86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85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85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85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85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85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85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85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85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85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85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85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85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85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85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85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85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85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85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84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84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84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84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84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84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84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84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84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84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84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84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81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81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81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81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81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81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81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81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81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81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81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81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81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81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81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81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81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81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81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81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81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81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81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81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81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81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81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81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81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80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80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80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80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80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80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80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80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80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80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80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80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80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80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80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80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80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80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80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80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80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80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80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80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80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80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80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80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80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80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80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80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80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80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80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79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79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79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79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79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79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79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79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79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79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79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79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79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79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79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79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79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79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79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79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79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79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79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79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79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79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79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79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79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79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79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79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79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79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79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79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79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79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79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79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79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79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79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79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79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79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79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79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79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79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79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79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79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79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79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79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79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79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79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79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79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79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79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79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79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79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79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79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79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79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79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79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79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79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79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79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79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79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79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79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79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79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79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79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79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79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79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79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79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79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79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79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79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79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79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79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79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79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79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79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79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79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79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79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79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79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79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79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79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79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79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79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79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79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79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79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79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79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79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79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79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79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79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79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79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79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79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79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79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79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79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79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79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79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79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79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79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79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79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79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79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79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79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79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79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79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79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79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79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79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79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79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79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79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79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79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79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79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79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79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79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79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79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79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79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79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79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79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79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79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79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79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79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79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79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79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79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79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79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79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79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79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79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79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79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79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79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79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79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79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79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79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79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79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79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79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79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79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79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79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79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79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79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79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79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79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79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79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79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79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79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79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79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79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79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79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79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79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79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79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79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79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79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79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79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79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79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79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79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79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79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79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79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79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79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79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77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77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77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77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77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77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77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77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77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77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77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77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77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77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77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77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76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76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76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76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76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76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76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76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76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76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76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76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76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76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76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76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76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76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76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76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76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76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76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76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76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76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76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76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76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76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76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76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76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76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76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76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76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76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76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75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75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75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75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75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75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75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75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75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75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75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75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75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75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75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75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75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75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74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74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74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74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74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74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74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74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74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74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74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74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74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74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74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74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74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74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74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74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74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74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74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74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74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74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74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74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74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74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74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74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74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74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74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74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74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74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74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74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74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74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74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74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74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74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74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74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74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74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74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74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74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74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74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74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74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74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74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74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74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74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74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74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74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74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74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74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74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74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74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74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74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74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74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74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74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74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74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74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74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74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74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74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74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74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74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74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74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74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74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74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74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74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74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74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74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74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74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74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74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74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74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74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74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74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74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74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74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74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74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74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74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74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74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70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70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70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70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70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70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70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70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70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70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70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70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69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69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69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69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69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69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69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69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69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69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69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69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69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69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69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69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69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69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69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69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69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69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69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69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69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69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69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69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69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69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69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66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66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66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66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66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66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66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66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66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65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64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64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64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64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64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64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63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63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63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63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63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63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63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63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63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63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63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63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63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63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63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63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63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63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63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63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62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62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62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62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62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62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62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62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62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62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62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62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61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61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61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61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61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61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61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61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61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61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61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61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58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58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58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58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58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58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58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58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58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58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58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58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58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58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58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58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58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58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58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58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58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58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58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58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58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58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58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58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58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58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58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58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58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58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58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58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58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58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58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58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58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58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58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58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58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58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58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58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58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58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57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57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57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57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57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57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57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57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57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57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57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57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57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57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57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57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54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53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53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53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53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53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53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51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51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51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51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51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51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51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51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51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51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51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51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51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51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51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51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51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51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51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51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51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51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51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51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51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51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51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51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51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51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51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51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51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51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51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51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51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51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51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51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51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51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51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51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51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51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51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49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49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49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49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49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49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49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49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49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49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49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49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49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49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49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49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49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49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49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49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49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49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49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49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49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49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49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49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47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47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47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47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42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42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42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42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42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41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41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41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41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41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41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41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41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41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41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41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41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38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38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38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38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38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38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38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38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38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38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38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38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38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38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38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38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38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38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38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38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38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38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38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38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38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38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38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38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38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37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36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35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35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35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35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35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35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35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35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35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35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35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35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35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35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35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35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35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35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35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35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35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35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35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35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35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35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35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34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34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34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34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34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34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34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34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34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34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34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34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34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34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34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34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34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34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34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34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34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34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34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34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34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34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34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34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34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34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34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34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34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34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34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34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34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34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34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33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36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36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31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31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31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31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31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31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31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31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31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31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31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31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31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31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31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31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31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31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31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31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31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31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31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31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31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31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31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31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31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31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31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31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31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31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31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31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31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31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31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31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31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31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31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31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31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31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31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31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31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31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31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31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31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31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31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31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31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31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31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31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31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31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31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31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31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31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31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31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31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31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31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31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31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31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31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31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31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31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31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31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31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31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31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31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31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31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31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31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31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31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31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31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31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29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29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29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29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29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29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29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29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29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29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29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29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29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29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29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29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29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29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29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29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29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29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29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29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29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29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29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29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29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28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26</v>
      </c>
      <c r="R4615" s="168" t="s">
        <v>515</v>
      </c>
      <c r="S4615" s="150"/>
    </row>
    <row r="4616" spans="1:19" hidden="1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26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26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23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23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23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23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23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23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23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23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23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23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23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23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23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23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23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23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23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23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23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23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23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23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23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23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23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23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23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23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23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23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23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23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23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23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23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23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23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23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23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23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23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23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23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23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23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23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23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23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23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23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23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23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23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23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23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23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23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23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23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20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20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20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20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20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20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20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20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20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20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20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20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20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20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20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20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20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20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20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20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20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20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20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20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19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19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19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19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19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19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19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19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19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19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19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19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19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19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17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17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17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17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17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17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17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15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15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15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15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15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15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15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15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15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15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15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15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15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15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15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15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15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15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15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15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15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15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15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15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15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15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15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15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15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15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15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15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15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15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15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15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15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15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15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15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15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15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15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15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15</v>
      </c>
      <c r="R4766" s="172" t="s">
        <v>5709</v>
      </c>
      <c r="S4766" s="150"/>
    </row>
    <row r="4767" spans="1:19" hidden="1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15</v>
      </c>
      <c r="R4767" s="172" t="s">
        <v>5709</v>
      </c>
      <c r="S4767" s="150"/>
    </row>
    <row r="4768" spans="1:19" hidden="1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15</v>
      </c>
      <c r="R4768" s="172" t="s">
        <v>5709</v>
      </c>
      <c r="S4768" s="150"/>
    </row>
    <row r="4769" spans="1:19" hidden="1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15</v>
      </c>
      <c r="R4769" s="172" t="s">
        <v>5709</v>
      </c>
      <c r="S4769" s="150"/>
    </row>
    <row r="4770" spans="1:19" hidden="1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15</v>
      </c>
      <c r="R4770" s="172" t="s">
        <v>5709</v>
      </c>
      <c r="S4770" s="150"/>
    </row>
    <row r="4771" spans="1:19" hidden="1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15</v>
      </c>
      <c r="R4771" s="172" t="s">
        <v>5709</v>
      </c>
      <c r="S4771" s="150"/>
    </row>
    <row r="4772" spans="1:19" hidden="1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15</v>
      </c>
      <c r="R4772" s="172" t="s">
        <v>5709</v>
      </c>
      <c r="S4772" s="150"/>
    </row>
    <row r="4773" spans="1:19" hidden="1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15</v>
      </c>
      <c r="R4773" s="172" t="s">
        <v>5709</v>
      </c>
      <c r="S4773" s="150"/>
    </row>
    <row r="4774" spans="1:19" hidden="1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15</v>
      </c>
      <c r="R4774" s="172" t="s">
        <v>5709</v>
      </c>
      <c r="S4774" s="150"/>
    </row>
    <row r="4775" spans="1:19" hidden="1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15</v>
      </c>
      <c r="R4775" s="172" t="s">
        <v>5709</v>
      </c>
      <c r="S4775" s="150"/>
    </row>
    <row r="4776" spans="1:19" hidden="1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15</v>
      </c>
      <c r="R4776" s="172" t="s">
        <v>5709</v>
      </c>
      <c r="S4776" s="150"/>
    </row>
    <row r="4777" spans="1:19" hidden="1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15</v>
      </c>
      <c r="R4777" s="172" t="s">
        <v>5709</v>
      </c>
      <c r="S4777" s="150"/>
    </row>
    <row r="4778" spans="1:19" hidden="1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15</v>
      </c>
      <c r="R4778" s="172" t="s">
        <v>5709</v>
      </c>
      <c r="S4778" s="150"/>
    </row>
    <row r="4779" spans="1:19" hidden="1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15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15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15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15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15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15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15</v>
      </c>
      <c r="R4785" s="172" t="s">
        <v>6982</v>
      </c>
      <c r="S4785" s="150"/>
    </row>
    <row r="4786" spans="1:19" hidden="1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14</v>
      </c>
      <c r="R4786" s="173" t="s">
        <v>6990</v>
      </c>
      <c r="S4786" s="150"/>
    </row>
    <row r="4787" spans="1:19" hidden="1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14</v>
      </c>
      <c r="R4787" s="173" t="s">
        <v>6990</v>
      </c>
      <c r="S4787" s="150"/>
    </row>
    <row r="4788" spans="1:19" hidden="1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14</v>
      </c>
      <c r="R4788" s="173" t="s">
        <v>6990</v>
      </c>
      <c r="S4788" s="150"/>
    </row>
    <row r="4789" spans="1:19" hidden="1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14</v>
      </c>
      <c r="R4789" s="173" t="s">
        <v>6990</v>
      </c>
      <c r="S4789" s="150"/>
    </row>
    <row r="4790" spans="1:19" hidden="1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14</v>
      </c>
      <c r="R4790" s="172" t="s">
        <v>515</v>
      </c>
      <c r="S4790" s="150"/>
    </row>
    <row r="4791" spans="1:19" hidden="1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14</v>
      </c>
      <c r="R4791" s="172" t="s">
        <v>515</v>
      </c>
      <c r="S4791" s="150"/>
    </row>
    <row r="4792" spans="1:19" hidden="1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14</v>
      </c>
      <c r="R4792" s="172" t="s">
        <v>515</v>
      </c>
      <c r="S4792" s="150"/>
    </row>
    <row r="4793" spans="1:19" hidden="1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14</v>
      </c>
      <c r="R4793" s="172" t="s">
        <v>515</v>
      </c>
      <c r="S4793" s="150"/>
    </row>
    <row r="4794" spans="1:19" hidden="1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14</v>
      </c>
      <c r="R4794" s="172" t="s">
        <v>515</v>
      </c>
      <c r="S4794" s="150"/>
    </row>
    <row r="4795" spans="1:19" hidden="1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14</v>
      </c>
      <c r="R4795" s="173" t="s">
        <v>489</v>
      </c>
      <c r="S4795" s="150"/>
    </row>
    <row r="4796" spans="1:19" hidden="1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12</v>
      </c>
      <c r="R4796" s="174" t="s">
        <v>485</v>
      </c>
      <c r="S4796" s="150"/>
    </row>
    <row r="4797" spans="1:19" hidden="1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12</v>
      </c>
      <c r="R4797" s="174" t="s">
        <v>485</v>
      </c>
      <c r="S4797" s="150"/>
    </row>
    <row r="4798" spans="1:19" hidden="1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12</v>
      </c>
      <c r="R4798" s="174" t="s">
        <v>485</v>
      </c>
      <c r="S4798" s="150"/>
    </row>
    <row r="4799" spans="1:19" hidden="1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12</v>
      </c>
      <c r="R4799" s="174" t="s">
        <v>485</v>
      </c>
      <c r="S4799" s="150"/>
    </row>
    <row r="4800" spans="1:19" hidden="1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12</v>
      </c>
      <c r="R4800" s="174" t="s">
        <v>485</v>
      </c>
      <c r="S4800" s="150"/>
    </row>
    <row r="4801" spans="1:19" hidden="1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12</v>
      </c>
      <c r="R4801" s="174" t="s">
        <v>485</v>
      </c>
      <c r="S4801" s="150"/>
    </row>
    <row r="4802" spans="1:19" hidden="1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12</v>
      </c>
      <c r="R4802" s="174" t="s">
        <v>485</v>
      </c>
      <c r="S4802" s="150"/>
    </row>
    <row r="4803" spans="1:19" hidden="1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12</v>
      </c>
      <c r="R4803" s="174" t="s">
        <v>485</v>
      </c>
      <c r="S4803" s="150"/>
    </row>
    <row r="4804" spans="1:19" hidden="1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12</v>
      </c>
      <c r="R4804" s="174" t="s">
        <v>485</v>
      </c>
      <c r="S4804" s="150"/>
    </row>
    <row r="4805" spans="1:19" hidden="1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12</v>
      </c>
      <c r="R4805" s="174" t="s">
        <v>485</v>
      </c>
      <c r="S4805" s="150"/>
    </row>
    <row r="4806" spans="1:19" hidden="1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12</v>
      </c>
      <c r="R4806" s="174" t="s">
        <v>485</v>
      </c>
      <c r="S4806" s="150"/>
    </row>
    <row r="4807" spans="1:19" hidden="1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12</v>
      </c>
      <c r="R4807" s="174" t="s">
        <v>485</v>
      </c>
      <c r="S4807" s="150"/>
    </row>
    <row r="4808" spans="1:19" hidden="1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12</v>
      </c>
      <c r="R4808" s="174" t="s">
        <v>485</v>
      </c>
      <c r="S4808" s="150"/>
    </row>
    <row r="4809" spans="1:19" hidden="1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12</v>
      </c>
      <c r="R4809" s="174" t="s">
        <v>485</v>
      </c>
      <c r="S4809" s="150"/>
    </row>
    <row r="4810" spans="1:19" hidden="1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12</v>
      </c>
      <c r="R4810" s="174" t="s">
        <v>485</v>
      </c>
      <c r="S4810" s="150"/>
    </row>
    <row r="4811" spans="1:19" hidden="1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12</v>
      </c>
      <c r="R4811" s="174" t="s">
        <v>485</v>
      </c>
      <c r="S4811" s="150"/>
    </row>
    <row r="4812" spans="1:19" hidden="1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12</v>
      </c>
      <c r="R4812" s="174" t="s">
        <v>485</v>
      </c>
      <c r="S4812" s="150"/>
    </row>
    <row r="4813" spans="1:19" hidden="1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12</v>
      </c>
      <c r="R4813" s="174" t="s">
        <v>485</v>
      </c>
      <c r="S4813" s="150"/>
    </row>
    <row r="4814" spans="1:19" hidden="1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12</v>
      </c>
      <c r="R4814" s="174" t="s">
        <v>485</v>
      </c>
      <c r="S4814" s="150"/>
    </row>
    <row r="4815" spans="1:19" hidden="1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12</v>
      </c>
      <c r="R4815" s="174" t="s">
        <v>485</v>
      </c>
      <c r="S4815" s="150"/>
    </row>
    <row r="4816" spans="1:19" hidden="1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12</v>
      </c>
      <c r="R4816" s="174" t="s">
        <v>485</v>
      </c>
      <c r="S4816" s="150"/>
    </row>
    <row r="4817" spans="1:19" hidden="1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12</v>
      </c>
      <c r="R4817" s="174" t="s">
        <v>485</v>
      </c>
      <c r="S4817" s="150"/>
    </row>
    <row r="4818" spans="1:19" hidden="1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12</v>
      </c>
      <c r="R4818" s="174" t="s">
        <v>485</v>
      </c>
      <c r="S4818" s="150"/>
    </row>
    <row r="4819" spans="1:19" hidden="1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12</v>
      </c>
      <c r="R4819" s="174" t="s">
        <v>485</v>
      </c>
      <c r="S4819" s="150"/>
    </row>
    <row r="4820" spans="1:19" hidden="1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12</v>
      </c>
      <c r="R4820" s="174" t="s">
        <v>485</v>
      </c>
      <c r="S4820" s="150"/>
    </row>
    <row r="4821" spans="1:19" hidden="1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12</v>
      </c>
      <c r="R4821" s="174" t="s">
        <v>485</v>
      </c>
      <c r="S4821" s="150"/>
    </row>
    <row r="4822" spans="1:19" hidden="1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12</v>
      </c>
      <c r="R4822" s="174" t="s">
        <v>485</v>
      </c>
      <c r="S4822" s="150"/>
    </row>
    <row r="4823" spans="1:19" hidden="1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12</v>
      </c>
      <c r="R4823" s="174" t="s">
        <v>485</v>
      </c>
      <c r="S4823" s="150"/>
    </row>
    <row r="4824" spans="1:19" hidden="1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12</v>
      </c>
      <c r="R4824" s="174" t="s">
        <v>485</v>
      </c>
      <c r="S4824" s="150"/>
    </row>
    <row r="4825" spans="1:19" hidden="1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12</v>
      </c>
      <c r="R4825" s="174" t="s">
        <v>485</v>
      </c>
      <c r="S4825" s="150"/>
    </row>
    <row r="4826" spans="1:19" hidden="1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12</v>
      </c>
      <c r="R4826" s="174" t="s">
        <v>485</v>
      </c>
      <c r="S4826" s="150"/>
    </row>
    <row r="4827" spans="1:19" hidden="1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12</v>
      </c>
      <c r="R4827" s="174" t="s">
        <v>485</v>
      </c>
      <c r="S4827" s="150"/>
    </row>
    <row r="4828" spans="1:19" hidden="1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12</v>
      </c>
      <c r="R4828" s="174" t="s">
        <v>485</v>
      </c>
      <c r="S4828" s="150"/>
    </row>
    <row r="4829" spans="1:19" hidden="1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12</v>
      </c>
      <c r="R4829" s="174" t="s">
        <v>485</v>
      </c>
      <c r="S4829" s="150"/>
    </row>
    <row r="4830" spans="1:19" hidden="1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11</v>
      </c>
      <c r="R4830" s="174" t="s">
        <v>5709</v>
      </c>
      <c r="S4830" s="150"/>
    </row>
    <row r="4831" spans="1:19" hidden="1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11</v>
      </c>
      <c r="R4831" s="174" t="s">
        <v>5709</v>
      </c>
      <c r="S4831" s="150"/>
    </row>
    <row r="4832" spans="1:19" hidden="1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11</v>
      </c>
      <c r="R4832" s="174" t="s">
        <v>5709</v>
      </c>
      <c r="S4832" s="150"/>
    </row>
    <row r="4833" spans="1:19" hidden="1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11</v>
      </c>
      <c r="R4833" s="174" t="s">
        <v>5709</v>
      </c>
      <c r="S4833" s="150"/>
    </row>
    <row r="4834" spans="1:19" hidden="1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11</v>
      </c>
      <c r="R4834" s="174" t="s">
        <v>5709</v>
      </c>
      <c r="S4834" s="150"/>
    </row>
    <row r="4835" spans="1:19" hidden="1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11</v>
      </c>
      <c r="R4835" s="174" t="s">
        <v>5709</v>
      </c>
      <c r="S4835" s="150"/>
    </row>
    <row r="4836" spans="1:19" hidden="1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11</v>
      </c>
      <c r="R4836" s="174" t="s">
        <v>5709</v>
      </c>
      <c r="S4836" s="150"/>
    </row>
    <row r="4837" spans="1:19" hidden="1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11</v>
      </c>
      <c r="R4837" s="174" t="s">
        <v>5709</v>
      </c>
      <c r="S4837" s="150"/>
    </row>
    <row r="4838" spans="1:19" hidden="1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11</v>
      </c>
      <c r="R4838" s="174" t="s">
        <v>5709</v>
      </c>
      <c r="S4838" s="150"/>
    </row>
    <row r="4839" spans="1:19" hidden="1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11</v>
      </c>
      <c r="R4839" s="174" t="s">
        <v>5709</v>
      </c>
      <c r="S4839" s="150"/>
    </row>
    <row r="4840" spans="1:19" hidden="1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11</v>
      </c>
      <c r="R4840" s="174" t="s">
        <v>5709</v>
      </c>
      <c r="S4840" s="150"/>
    </row>
    <row r="4841" spans="1:19" hidden="1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11</v>
      </c>
      <c r="R4841" s="174" t="s">
        <v>5709</v>
      </c>
      <c r="S4841" s="150"/>
    </row>
    <row r="4842" spans="1:19" hidden="1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11</v>
      </c>
      <c r="R4842" s="174" t="s">
        <v>5709</v>
      </c>
      <c r="S4842" s="150"/>
    </row>
    <row r="4843" spans="1:19" hidden="1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11</v>
      </c>
      <c r="R4843" s="174" t="s">
        <v>5709</v>
      </c>
      <c r="S4843" s="150"/>
    </row>
    <row r="4844" spans="1:19" hidden="1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11</v>
      </c>
      <c r="R4844" s="174" t="s">
        <v>5709</v>
      </c>
      <c r="S4844" s="150"/>
    </row>
    <row r="4845" spans="1:19" hidden="1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11</v>
      </c>
      <c r="R4845" s="174" t="s">
        <v>5709</v>
      </c>
      <c r="S4845" s="150"/>
    </row>
    <row r="4846" spans="1:19" hidden="1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11</v>
      </c>
      <c r="R4846" s="174" t="s">
        <v>5709</v>
      </c>
      <c r="S4846" s="150"/>
    </row>
    <row r="4847" spans="1:19" hidden="1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11</v>
      </c>
      <c r="R4847" s="174" t="s">
        <v>5709</v>
      </c>
      <c r="S4847" s="150"/>
    </row>
    <row r="4848" spans="1:19" hidden="1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11</v>
      </c>
      <c r="R4848" s="174" t="s">
        <v>5709</v>
      </c>
      <c r="S4848" s="150"/>
    </row>
    <row r="4849" spans="1:19" hidden="1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11</v>
      </c>
      <c r="R4849" s="174" t="s">
        <v>5709</v>
      </c>
      <c r="S4849" s="150"/>
    </row>
    <row r="4850" spans="1:19" hidden="1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11</v>
      </c>
      <c r="R4850" s="174" t="s">
        <v>5709</v>
      </c>
      <c r="S4850" s="150"/>
    </row>
    <row r="4851" spans="1:19" hidden="1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11</v>
      </c>
      <c r="R4851" s="174" t="s">
        <v>5709</v>
      </c>
      <c r="S4851" s="150"/>
    </row>
    <row r="4852" spans="1:19" hidden="1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11</v>
      </c>
      <c r="R4852" s="174" t="s">
        <v>5709</v>
      </c>
      <c r="S4852" s="150"/>
    </row>
    <row r="4853" spans="1:19" hidden="1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11</v>
      </c>
      <c r="R4853" s="174" t="s">
        <v>5709</v>
      </c>
      <c r="S4853" s="150"/>
    </row>
    <row r="4854" spans="1:19" hidden="1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11</v>
      </c>
      <c r="R4854" s="174" t="s">
        <v>5709</v>
      </c>
      <c r="S4854" s="150"/>
    </row>
    <row r="4855" spans="1:19" hidden="1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11</v>
      </c>
      <c r="R4855" s="174" t="s">
        <v>5709</v>
      </c>
      <c r="S4855" s="150"/>
    </row>
    <row r="4856" spans="1:19" hidden="1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11</v>
      </c>
      <c r="R4856" s="174" t="s">
        <v>5709</v>
      </c>
      <c r="S4856" s="150"/>
    </row>
    <row r="4857" spans="1:19" hidden="1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11</v>
      </c>
      <c r="R4857" s="174" t="s">
        <v>5709</v>
      </c>
      <c r="S4857" s="150"/>
    </row>
    <row r="4858" spans="1:19" hidden="1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11</v>
      </c>
      <c r="R4858" s="174" t="s">
        <v>5709</v>
      </c>
      <c r="S4858" s="150"/>
    </row>
    <row r="4859" spans="1:19" hidden="1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11</v>
      </c>
      <c r="R4859" s="174" t="s">
        <v>5709</v>
      </c>
      <c r="S4859" s="150"/>
    </row>
    <row r="4860" spans="1:19" hidden="1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11</v>
      </c>
      <c r="R4860" s="174" t="s">
        <v>5709</v>
      </c>
      <c r="S4860" s="150"/>
    </row>
    <row r="4861" spans="1:19" hidden="1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11</v>
      </c>
      <c r="R4861" s="174" t="s">
        <v>5709</v>
      </c>
      <c r="S4861" s="150"/>
    </row>
    <row r="4862" spans="1:19" hidden="1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11</v>
      </c>
      <c r="R4862" s="174" t="s">
        <v>5709</v>
      </c>
      <c r="S4862" s="150"/>
    </row>
    <row r="4863" spans="1:19" hidden="1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11</v>
      </c>
      <c r="R4863" s="174" t="s">
        <v>5709</v>
      </c>
      <c r="S4863" s="150"/>
    </row>
    <row r="4864" spans="1:19" hidden="1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11</v>
      </c>
      <c r="R4864" s="174" t="s">
        <v>5709</v>
      </c>
      <c r="S4864" s="150"/>
    </row>
    <row r="4865" spans="1:19" hidden="1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11</v>
      </c>
      <c r="R4865" s="174" t="s">
        <v>5709</v>
      </c>
      <c r="S4865" s="150"/>
    </row>
    <row r="4866" spans="1:19" hidden="1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11</v>
      </c>
      <c r="R4866" s="174" t="s">
        <v>5709</v>
      </c>
      <c r="S4866" s="150"/>
    </row>
    <row r="4867" spans="1:19" hidden="1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11</v>
      </c>
      <c r="R4867" s="174" t="s">
        <v>5709</v>
      </c>
      <c r="S4867" s="150"/>
    </row>
    <row r="4868" spans="1:19" hidden="1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11</v>
      </c>
      <c r="R4868" s="174" t="s">
        <v>5709</v>
      </c>
      <c r="S4868" s="150"/>
    </row>
    <row r="4869" spans="1:19" hidden="1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11</v>
      </c>
      <c r="R4869" s="174" t="s">
        <v>5709</v>
      </c>
      <c r="S4869" s="150"/>
    </row>
    <row r="4870" spans="1:19" hidden="1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11</v>
      </c>
      <c r="R4870" s="174" t="s">
        <v>5709</v>
      </c>
      <c r="S4870" s="150"/>
    </row>
    <row r="4871" spans="1:19" hidden="1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11</v>
      </c>
      <c r="R4871" s="174" t="s">
        <v>5709</v>
      </c>
      <c r="S4871" s="150"/>
    </row>
    <row r="4872" spans="1:19" hidden="1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11</v>
      </c>
      <c r="R4872" s="174" t="s">
        <v>5709</v>
      </c>
      <c r="S4872" s="150"/>
    </row>
    <row r="4873" spans="1:19" hidden="1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11</v>
      </c>
      <c r="R4873" s="174" t="s">
        <v>5709</v>
      </c>
      <c r="S4873" s="150"/>
    </row>
    <row r="4874" spans="1:19" hidden="1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11</v>
      </c>
      <c r="R4874" s="174" t="s">
        <v>5709</v>
      </c>
      <c r="S4874" s="150"/>
    </row>
    <row r="4875" spans="1:19" hidden="1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11</v>
      </c>
      <c r="R4875" s="174" t="s">
        <v>5709</v>
      </c>
      <c r="S4875" s="150"/>
    </row>
    <row r="4876" spans="1:19" hidden="1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11</v>
      </c>
      <c r="R4876" s="174" t="s">
        <v>5709</v>
      </c>
      <c r="S4876" s="150"/>
    </row>
    <row r="4877" spans="1:19" hidden="1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11</v>
      </c>
      <c r="R4877" s="174" t="s">
        <v>5709</v>
      </c>
      <c r="S4877" s="150"/>
    </row>
    <row r="4878" spans="1:19" hidden="1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11</v>
      </c>
      <c r="R4878" s="174" t="s">
        <v>5709</v>
      </c>
      <c r="S4878" s="150"/>
    </row>
    <row r="4879" spans="1:19" hidden="1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11</v>
      </c>
      <c r="R4879" s="174" t="s">
        <v>5709</v>
      </c>
      <c r="S4879" s="150"/>
    </row>
    <row r="4880" spans="1:19" hidden="1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11</v>
      </c>
      <c r="R4880" s="174" t="s">
        <v>5709</v>
      </c>
      <c r="S4880" s="150"/>
    </row>
    <row r="4881" spans="1:19" hidden="1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11</v>
      </c>
      <c r="R4881" s="174" t="s">
        <v>5709</v>
      </c>
      <c r="S4881" s="150"/>
    </row>
    <row r="4882" spans="1:19" hidden="1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11</v>
      </c>
      <c r="R4882" s="174" t="s">
        <v>5709</v>
      </c>
      <c r="S4882" s="150"/>
    </row>
    <row r="4883" spans="1:19" hidden="1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11</v>
      </c>
      <c r="R4883" s="174" t="s">
        <v>5709</v>
      </c>
      <c r="S4883" s="150"/>
    </row>
    <row r="4884" spans="1:19" hidden="1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11</v>
      </c>
      <c r="R4884" s="174" t="s">
        <v>5709</v>
      </c>
      <c r="S4884" s="150"/>
    </row>
    <row r="4885" spans="1:19" hidden="1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11</v>
      </c>
      <c r="R4885" s="174" t="s">
        <v>5709</v>
      </c>
      <c r="S4885" s="150"/>
    </row>
    <row r="4886" spans="1:19" hidden="1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11</v>
      </c>
      <c r="R4886" s="174" t="s">
        <v>5709</v>
      </c>
      <c r="S4886" s="150"/>
    </row>
    <row r="4887" spans="1:19" hidden="1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11</v>
      </c>
      <c r="R4887" s="174" t="s">
        <v>5709</v>
      </c>
      <c r="S4887" s="150"/>
    </row>
    <row r="4888" spans="1:19" hidden="1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11</v>
      </c>
      <c r="R4888" s="174" t="s">
        <v>5709</v>
      </c>
      <c r="S4888" s="150"/>
    </row>
    <row r="4889" spans="1:19" hidden="1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11</v>
      </c>
      <c r="R4889" s="174" t="s">
        <v>5709</v>
      </c>
      <c r="S4889" s="150"/>
    </row>
    <row r="4890" spans="1:19" hidden="1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11</v>
      </c>
      <c r="R4890" s="174" t="s">
        <v>5709</v>
      </c>
      <c r="S4890" s="150"/>
    </row>
    <row r="4891" spans="1:19" hidden="1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11</v>
      </c>
      <c r="R4891" s="174" t="s">
        <v>5709</v>
      </c>
      <c r="S4891" s="150"/>
    </row>
    <row r="4892" spans="1:19" hidden="1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11</v>
      </c>
      <c r="R4892" s="174" t="s">
        <v>5709</v>
      </c>
      <c r="S4892" s="150"/>
    </row>
    <row r="4893" spans="1:19" hidden="1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11</v>
      </c>
      <c r="R4893" s="174" t="s">
        <v>5709</v>
      </c>
      <c r="S4893" s="150"/>
    </row>
    <row r="4894" spans="1:19" hidden="1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11</v>
      </c>
      <c r="R4894" s="174" t="s">
        <v>5709</v>
      </c>
      <c r="S4894" s="150"/>
    </row>
    <row r="4895" spans="1:19" hidden="1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11</v>
      </c>
      <c r="R4895" s="174" t="s">
        <v>5709</v>
      </c>
      <c r="S4895" s="150"/>
    </row>
    <row r="4896" spans="1:19" hidden="1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11</v>
      </c>
      <c r="R4896" s="174" t="s">
        <v>5709</v>
      </c>
      <c r="S4896" s="150"/>
    </row>
    <row r="4897" spans="1:19" hidden="1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11</v>
      </c>
      <c r="R4897" s="174" t="s">
        <v>5709</v>
      </c>
      <c r="S4897" s="150"/>
    </row>
    <row r="4898" spans="1:19" hidden="1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11</v>
      </c>
      <c r="R4898" s="174" t="s">
        <v>5709</v>
      </c>
      <c r="S4898" s="150"/>
    </row>
    <row r="4899" spans="1:19" hidden="1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11</v>
      </c>
      <c r="R4899" s="174" t="s">
        <v>5709</v>
      </c>
      <c r="S4899" s="150"/>
    </row>
    <row r="4900" spans="1:19" hidden="1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11</v>
      </c>
      <c r="R4900" s="174" t="s">
        <v>5709</v>
      </c>
      <c r="S4900" s="150"/>
    </row>
    <row r="4901" spans="1:19" hidden="1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11</v>
      </c>
      <c r="R4901" s="174" t="s">
        <v>5709</v>
      </c>
      <c r="S4901" s="150"/>
    </row>
    <row r="4902" spans="1:19" hidden="1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11</v>
      </c>
      <c r="R4902" s="174" t="s">
        <v>5709</v>
      </c>
      <c r="S4902" s="150"/>
    </row>
    <row r="4903" spans="1:19" hidden="1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11</v>
      </c>
      <c r="R4903" s="174" t="s">
        <v>5709</v>
      </c>
      <c r="S4903" s="150"/>
    </row>
    <row r="4904" spans="1:19" hidden="1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11</v>
      </c>
      <c r="R4904" s="174" t="s">
        <v>5709</v>
      </c>
      <c r="S4904" s="150"/>
    </row>
    <row r="4905" spans="1:19" hidden="1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11</v>
      </c>
      <c r="R4905" s="174" t="s">
        <v>5709</v>
      </c>
      <c r="S4905" s="150"/>
    </row>
    <row r="4906" spans="1:19" hidden="1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11</v>
      </c>
      <c r="R4906" s="174" t="s">
        <v>5709</v>
      </c>
      <c r="S4906" s="150"/>
    </row>
    <row r="4907" spans="1:19" hidden="1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11</v>
      </c>
      <c r="R4907" s="174" t="s">
        <v>5709</v>
      </c>
      <c r="S4907" s="150"/>
    </row>
    <row r="4908" spans="1:19" hidden="1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11</v>
      </c>
      <c r="R4908" s="174" t="s">
        <v>5709</v>
      </c>
      <c r="S4908" s="150"/>
    </row>
    <row r="4909" spans="1:19" hidden="1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11</v>
      </c>
      <c r="R4909" s="174" t="s">
        <v>5709</v>
      </c>
      <c r="S4909" s="150"/>
    </row>
    <row r="4910" spans="1:19" hidden="1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11</v>
      </c>
      <c r="R4910" s="174" t="s">
        <v>5709</v>
      </c>
      <c r="S4910" s="150"/>
    </row>
    <row r="4911" spans="1:19" hidden="1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11</v>
      </c>
      <c r="R4911" s="174" t="s">
        <v>5709</v>
      </c>
      <c r="S4911" s="150"/>
    </row>
    <row r="4912" spans="1:19" hidden="1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11</v>
      </c>
      <c r="R4912" s="174" t="s">
        <v>5709</v>
      </c>
      <c r="S4912" s="150"/>
    </row>
    <row r="4913" spans="1:19" hidden="1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11</v>
      </c>
      <c r="R4913" s="174" t="s">
        <v>5709</v>
      </c>
      <c r="S4913" s="150"/>
    </row>
    <row r="4914" spans="1:19" hidden="1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11</v>
      </c>
      <c r="R4914" s="174" t="s">
        <v>5709</v>
      </c>
      <c r="S4914" s="150"/>
    </row>
    <row r="4915" spans="1:19" hidden="1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11</v>
      </c>
      <c r="R4915" s="174" t="s">
        <v>5709</v>
      </c>
      <c r="S4915" s="150"/>
    </row>
    <row r="4916" spans="1:19" hidden="1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11</v>
      </c>
      <c r="R4916" s="174" t="s">
        <v>5709</v>
      </c>
      <c r="S4916" s="150"/>
    </row>
    <row r="4917" spans="1:19" hidden="1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11</v>
      </c>
      <c r="R4917" s="174" t="s">
        <v>5709</v>
      </c>
      <c r="S4917" s="150"/>
    </row>
    <row r="4918" spans="1:19" hidden="1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11</v>
      </c>
      <c r="R4918" s="174" t="s">
        <v>5709</v>
      </c>
      <c r="S4918" s="150"/>
    </row>
    <row r="4919" spans="1:19" hidden="1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11</v>
      </c>
      <c r="R4919" s="174" t="s">
        <v>5709</v>
      </c>
      <c r="S4919" s="150"/>
    </row>
    <row r="4920" spans="1:19" hidden="1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11</v>
      </c>
      <c r="R4920" s="174" t="s">
        <v>5709</v>
      </c>
      <c r="S4920" s="150"/>
    </row>
    <row r="4921" spans="1:19" hidden="1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11</v>
      </c>
      <c r="R4921" s="174" t="s">
        <v>5709</v>
      </c>
      <c r="S4921" s="150"/>
    </row>
    <row r="4922" spans="1:19" hidden="1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11</v>
      </c>
      <c r="R4922" s="174" t="s">
        <v>5709</v>
      </c>
      <c r="S4922" s="150"/>
    </row>
    <row r="4923" spans="1:19" hidden="1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11</v>
      </c>
      <c r="R4923" s="174" t="s">
        <v>5709</v>
      </c>
      <c r="S4923" s="150"/>
    </row>
    <row r="4924" spans="1:19" hidden="1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11</v>
      </c>
      <c r="R4924" s="174" t="s">
        <v>5709</v>
      </c>
      <c r="S4924" s="150"/>
    </row>
    <row r="4925" spans="1:19" hidden="1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11</v>
      </c>
      <c r="R4925" s="174" t="s">
        <v>5709</v>
      </c>
      <c r="S4925" s="150"/>
    </row>
    <row r="4926" spans="1:19" hidden="1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11</v>
      </c>
      <c r="R4926" s="174" t="s">
        <v>5709</v>
      </c>
      <c r="S4926" s="150"/>
    </row>
    <row r="4927" spans="1:19" hidden="1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11</v>
      </c>
      <c r="R4927" s="174" t="s">
        <v>5709</v>
      </c>
      <c r="S4927" s="150"/>
    </row>
    <row r="4928" spans="1:19" hidden="1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11</v>
      </c>
      <c r="R4928" s="174" t="s">
        <v>5709</v>
      </c>
      <c r="S4928" s="150"/>
    </row>
    <row r="4929" spans="1:19" hidden="1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11</v>
      </c>
      <c r="R4929" s="174" t="s">
        <v>5709</v>
      </c>
      <c r="S4929" s="150"/>
    </row>
    <row r="4930" spans="1:19" hidden="1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11</v>
      </c>
      <c r="R4930" s="174" t="s">
        <v>5709</v>
      </c>
      <c r="S4930" s="150"/>
    </row>
    <row r="4931" spans="1:19" hidden="1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11</v>
      </c>
      <c r="R4931" s="174" t="s">
        <v>5709</v>
      </c>
      <c r="S4931" s="150"/>
    </row>
    <row r="4932" spans="1:19" hidden="1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11</v>
      </c>
      <c r="R4932" s="174" t="s">
        <v>5709</v>
      </c>
      <c r="S4932" s="150"/>
    </row>
    <row r="4933" spans="1:19" hidden="1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11</v>
      </c>
      <c r="R4933" s="174" t="s">
        <v>5709</v>
      </c>
      <c r="S4933" s="150"/>
    </row>
    <row r="4934" spans="1:19" hidden="1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11</v>
      </c>
      <c r="R4934" s="174" t="s">
        <v>5709</v>
      </c>
      <c r="S4934" s="150"/>
    </row>
    <row r="4935" spans="1:19" hidden="1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11</v>
      </c>
      <c r="R4935" s="174" t="s">
        <v>5709</v>
      </c>
      <c r="S4935" s="150"/>
    </row>
    <row r="4936" spans="1:19" hidden="1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11</v>
      </c>
      <c r="R4936" s="174" t="s">
        <v>5709</v>
      </c>
      <c r="S4936" s="150"/>
    </row>
    <row r="4937" spans="1:19" hidden="1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11</v>
      </c>
      <c r="R4937" s="174" t="s">
        <v>5709</v>
      </c>
      <c r="S4937" s="150"/>
    </row>
    <row r="4938" spans="1:19" hidden="1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11</v>
      </c>
      <c r="R4938" s="174" t="s">
        <v>5709</v>
      </c>
      <c r="S4938" s="150"/>
    </row>
    <row r="4939" spans="1:19" hidden="1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11</v>
      </c>
      <c r="R4939" s="174" t="s">
        <v>5709</v>
      </c>
      <c r="S4939" s="150"/>
    </row>
    <row r="4940" spans="1:19" hidden="1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11</v>
      </c>
      <c r="R4940" s="174" t="s">
        <v>5709</v>
      </c>
      <c r="S4940" s="150"/>
    </row>
    <row r="4941" spans="1:19" hidden="1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11</v>
      </c>
      <c r="R4941" s="174" t="s">
        <v>5709</v>
      </c>
      <c r="S4941" s="150"/>
    </row>
    <row r="4942" spans="1:19" hidden="1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11</v>
      </c>
      <c r="R4942" s="174" t="s">
        <v>5709</v>
      </c>
      <c r="S4942" s="150"/>
    </row>
    <row r="4943" spans="1:19" hidden="1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11</v>
      </c>
      <c r="R4943" s="174" t="s">
        <v>5709</v>
      </c>
      <c r="S4943" s="150"/>
    </row>
    <row r="4944" spans="1:19" hidden="1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11</v>
      </c>
      <c r="R4944" s="174" t="s">
        <v>5709</v>
      </c>
      <c r="S4944" s="150"/>
    </row>
    <row r="4945" spans="1:19" hidden="1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11</v>
      </c>
      <c r="R4945" s="174" t="s">
        <v>5709</v>
      </c>
      <c r="S4945" s="150"/>
    </row>
    <row r="4946" spans="1:19" hidden="1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11</v>
      </c>
      <c r="R4946" s="174" t="s">
        <v>5709</v>
      </c>
      <c r="S4946" s="150"/>
    </row>
    <row r="4947" spans="1:19" hidden="1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11</v>
      </c>
      <c r="R4947" s="174" t="s">
        <v>5709</v>
      </c>
      <c r="S4947" s="150"/>
    </row>
    <row r="4948" spans="1:19" hidden="1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11</v>
      </c>
      <c r="R4948" s="174" t="s">
        <v>5709</v>
      </c>
      <c r="S4948" s="150"/>
    </row>
    <row r="4949" spans="1:19" hidden="1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11</v>
      </c>
      <c r="R4949" s="174" t="s">
        <v>5709</v>
      </c>
      <c r="S4949" s="150"/>
    </row>
    <row r="4950" spans="1:19" hidden="1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11</v>
      </c>
      <c r="R4950" s="174" t="s">
        <v>5709</v>
      </c>
      <c r="S4950" s="150"/>
    </row>
    <row r="4951" spans="1:19" hidden="1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11</v>
      </c>
      <c r="R4951" s="174" t="s">
        <v>5709</v>
      </c>
      <c r="S4951" s="150"/>
    </row>
    <row r="4952" spans="1:19" hidden="1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11</v>
      </c>
      <c r="R4952" s="174" t="s">
        <v>5709</v>
      </c>
      <c r="S4952" s="150"/>
    </row>
    <row r="4953" spans="1:19" hidden="1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11</v>
      </c>
      <c r="R4953" s="174" t="s">
        <v>5709</v>
      </c>
      <c r="S4953" s="150"/>
    </row>
    <row r="4954" spans="1:19" hidden="1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11</v>
      </c>
      <c r="R4954" s="174" t="s">
        <v>5709</v>
      </c>
      <c r="S4954" s="150"/>
    </row>
    <row r="4955" spans="1:19" hidden="1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11</v>
      </c>
      <c r="R4955" s="174" t="s">
        <v>5709</v>
      </c>
      <c r="S4955" s="150"/>
    </row>
    <row r="4956" spans="1:19" hidden="1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11</v>
      </c>
      <c r="R4956" s="174" t="s">
        <v>5709</v>
      </c>
      <c r="S4956" s="150"/>
    </row>
    <row r="4957" spans="1:19" hidden="1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11</v>
      </c>
      <c r="R4957" s="174" t="s">
        <v>5709</v>
      </c>
      <c r="S4957" s="150"/>
    </row>
    <row r="4958" spans="1:19" hidden="1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11</v>
      </c>
      <c r="R4958" s="174" t="s">
        <v>5709</v>
      </c>
      <c r="S4958" s="150"/>
    </row>
    <row r="4959" spans="1:19" hidden="1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11</v>
      </c>
      <c r="R4959" s="174" t="s">
        <v>5709</v>
      </c>
      <c r="S4959" s="150"/>
    </row>
    <row r="4960" spans="1:19" hidden="1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11</v>
      </c>
      <c r="R4960" s="174" t="s">
        <v>5709</v>
      </c>
      <c r="S4960" s="150"/>
    </row>
    <row r="4961" spans="1:19" hidden="1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11</v>
      </c>
      <c r="R4961" s="174" t="s">
        <v>5709</v>
      </c>
      <c r="S4961" s="150"/>
    </row>
    <row r="4962" spans="1:19" hidden="1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11</v>
      </c>
      <c r="R4962" s="174" t="s">
        <v>5709</v>
      </c>
      <c r="S4962" s="150"/>
    </row>
    <row r="4963" spans="1:19" hidden="1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11</v>
      </c>
      <c r="R4963" s="174" t="s">
        <v>5709</v>
      </c>
      <c r="S4963" s="150"/>
    </row>
    <row r="4964" spans="1:19" hidden="1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11</v>
      </c>
      <c r="R4964" s="174" t="s">
        <v>5709</v>
      </c>
      <c r="S4964" s="150"/>
    </row>
    <row r="4965" spans="1:19" hidden="1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11</v>
      </c>
      <c r="R4965" s="174" t="s">
        <v>5709</v>
      </c>
      <c r="S4965" s="150"/>
    </row>
    <row r="4966" spans="1:19" hidden="1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11</v>
      </c>
      <c r="R4966" s="174" t="s">
        <v>5709</v>
      </c>
      <c r="S4966" s="150"/>
    </row>
    <row r="4967" spans="1:19" hidden="1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11</v>
      </c>
      <c r="R4967" s="174" t="s">
        <v>5709</v>
      </c>
      <c r="S4967" s="150"/>
    </row>
    <row r="4968" spans="1:19" hidden="1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11</v>
      </c>
      <c r="R4968" s="174" t="s">
        <v>5709</v>
      </c>
      <c r="S4968" s="150"/>
    </row>
    <row r="4969" spans="1:19" hidden="1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11</v>
      </c>
      <c r="R4969" s="174" t="s">
        <v>5709</v>
      </c>
      <c r="S4969" s="150"/>
    </row>
    <row r="4970" spans="1:19" hidden="1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11</v>
      </c>
      <c r="R4970" s="174" t="s">
        <v>5709</v>
      </c>
      <c r="S4970" s="150"/>
    </row>
    <row r="4971" spans="1:19" hidden="1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11</v>
      </c>
      <c r="R4971" s="174" t="s">
        <v>5709</v>
      </c>
      <c r="S4971" s="150"/>
    </row>
    <row r="4972" spans="1:19" hidden="1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11</v>
      </c>
      <c r="R4972" s="174" t="s">
        <v>5709</v>
      </c>
      <c r="S4972" s="150"/>
    </row>
    <row r="4973" spans="1:19" hidden="1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11</v>
      </c>
      <c r="R4973" s="174" t="s">
        <v>5709</v>
      </c>
      <c r="S4973" s="150"/>
    </row>
    <row r="4974" spans="1:19" hidden="1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11</v>
      </c>
      <c r="R4974" s="174" t="s">
        <v>5709</v>
      </c>
      <c r="S4974" s="150"/>
    </row>
    <row r="4975" spans="1:19" hidden="1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10</v>
      </c>
      <c r="R4975" s="174" t="s">
        <v>7193</v>
      </c>
      <c r="S4975" s="150"/>
    </row>
    <row r="4976" spans="1:19" hidden="1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10</v>
      </c>
      <c r="R4976" s="174" t="s">
        <v>7193</v>
      </c>
      <c r="S4976" s="150"/>
    </row>
    <row r="4977" spans="1:19" hidden="1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10</v>
      </c>
      <c r="R4977" s="174" t="s">
        <v>7193</v>
      </c>
      <c r="S4977" s="150"/>
    </row>
    <row r="4978" spans="1:19" hidden="1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10</v>
      </c>
      <c r="R4978" s="174" t="s">
        <v>7193</v>
      </c>
      <c r="S4978" s="150"/>
    </row>
    <row r="4979" spans="1:19" hidden="1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10</v>
      </c>
      <c r="R4979" s="174" t="s">
        <v>7193</v>
      </c>
      <c r="S4979" s="150"/>
    </row>
    <row r="4980" spans="1:19" hidden="1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10</v>
      </c>
      <c r="R4980" s="174" t="s">
        <v>1013</v>
      </c>
      <c r="S4980" s="150"/>
    </row>
    <row r="4981" spans="1:19" hidden="1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10</v>
      </c>
      <c r="R4981" s="174" t="s">
        <v>1013</v>
      </c>
      <c r="S4981" s="150"/>
    </row>
    <row r="4982" spans="1:19" hidden="1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10</v>
      </c>
      <c r="R4982" s="174" t="s">
        <v>1013</v>
      </c>
      <c r="S4982" s="150"/>
    </row>
    <row r="4983" spans="1:19" hidden="1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10</v>
      </c>
      <c r="R4983" s="174" t="s">
        <v>1013</v>
      </c>
      <c r="S4983" s="150"/>
    </row>
    <row r="4984" spans="1:19" hidden="1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10</v>
      </c>
      <c r="R4984" s="174" t="s">
        <v>1013</v>
      </c>
      <c r="S4984" s="150"/>
    </row>
    <row r="4985" spans="1:19" hidden="1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10</v>
      </c>
      <c r="R4985" s="174" t="s">
        <v>1013</v>
      </c>
      <c r="S4985" s="150"/>
    </row>
    <row r="4986" spans="1:19" hidden="1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10</v>
      </c>
      <c r="R4986" s="174" t="s">
        <v>1013</v>
      </c>
      <c r="S4986" s="150"/>
    </row>
    <row r="4987" spans="1:19" hidden="1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10</v>
      </c>
      <c r="R4987" s="174" t="s">
        <v>1013</v>
      </c>
      <c r="S4987" s="150"/>
    </row>
    <row r="4988" spans="1:19" hidden="1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10</v>
      </c>
      <c r="R4988" s="174" t="s">
        <v>1013</v>
      </c>
      <c r="S4988" s="150"/>
    </row>
    <row r="4989" spans="1:19" hidden="1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10</v>
      </c>
      <c r="R4989" s="174" t="s">
        <v>1013</v>
      </c>
      <c r="S4989" s="150"/>
    </row>
    <row r="4990" spans="1:19" hidden="1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10</v>
      </c>
      <c r="R4990" s="174" t="s">
        <v>1013</v>
      </c>
      <c r="S4990" s="150"/>
    </row>
    <row r="4991" spans="1:19" hidden="1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10</v>
      </c>
      <c r="R4991" s="174" t="s">
        <v>1013</v>
      </c>
      <c r="S4991" s="150"/>
    </row>
    <row r="4992" spans="1:19" hidden="1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10</v>
      </c>
      <c r="R4992" s="174" t="s">
        <v>1013</v>
      </c>
      <c r="S4992" s="150"/>
    </row>
    <row r="4993" spans="1:19" hidden="1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10</v>
      </c>
      <c r="R4993" s="174" t="s">
        <v>1013</v>
      </c>
      <c r="S4993" s="150"/>
    </row>
    <row r="4994" spans="1:19" hidden="1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10</v>
      </c>
      <c r="R4994" s="174" t="s">
        <v>1013</v>
      </c>
      <c r="S4994" s="150"/>
    </row>
    <row r="4995" spans="1:19" hidden="1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10</v>
      </c>
      <c r="R4995" s="174" t="s">
        <v>1013</v>
      </c>
      <c r="S4995" s="150"/>
    </row>
    <row r="4996" spans="1:19" hidden="1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10</v>
      </c>
      <c r="R4996" s="174" t="s">
        <v>1013</v>
      </c>
      <c r="S4996" s="150"/>
    </row>
    <row r="4997" spans="1:19" hidden="1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10</v>
      </c>
      <c r="R4997" s="174" t="s">
        <v>1013</v>
      </c>
      <c r="S4997" s="150"/>
    </row>
    <row r="4998" spans="1:19" hidden="1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10</v>
      </c>
      <c r="R4998" s="174" t="s">
        <v>1013</v>
      </c>
      <c r="S4998" s="150"/>
    </row>
    <row r="4999" spans="1:19" hidden="1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10</v>
      </c>
      <c r="R4999" s="174" t="s">
        <v>1013</v>
      </c>
      <c r="S4999" s="150"/>
    </row>
    <row r="5000" spans="1:19" hidden="1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10</v>
      </c>
      <c r="R5000" s="174" t="s">
        <v>1013</v>
      </c>
      <c r="S5000" s="150"/>
    </row>
    <row r="5001" spans="1:19" hidden="1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10</v>
      </c>
      <c r="R5001" s="174" t="s">
        <v>1013</v>
      </c>
      <c r="S5001" s="150"/>
    </row>
    <row r="5002" spans="1:19" hidden="1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10</v>
      </c>
      <c r="R5002" s="174" t="s">
        <v>1013</v>
      </c>
      <c r="S5002" s="150"/>
    </row>
    <row r="5003" spans="1:19" hidden="1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9</v>
      </c>
      <c r="R5003" s="174" t="s">
        <v>1459</v>
      </c>
      <c r="S5003" s="150"/>
    </row>
    <row r="5004" spans="1:19" hidden="1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9</v>
      </c>
      <c r="R5004" s="174" t="s">
        <v>1459</v>
      </c>
      <c r="S5004" s="150"/>
    </row>
    <row r="5005" spans="1:19" hidden="1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9</v>
      </c>
      <c r="R5005" s="174" t="s">
        <v>1459</v>
      </c>
      <c r="S5005" s="150"/>
    </row>
    <row r="5006" spans="1:19" hidden="1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9</v>
      </c>
      <c r="R5006" s="174" t="s">
        <v>1459</v>
      </c>
      <c r="S5006" s="150"/>
    </row>
    <row r="5007" spans="1:19" hidden="1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9</v>
      </c>
      <c r="R5007" s="174" t="s">
        <v>1459</v>
      </c>
      <c r="S5007" s="150"/>
    </row>
    <row r="5008" spans="1:19" hidden="1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9</v>
      </c>
      <c r="R5008" s="174" t="s">
        <v>1459</v>
      </c>
      <c r="S5008" s="150"/>
    </row>
    <row r="5009" spans="1:19" hidden="1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9</v>
      </c>
      <c r="R5009" s="174" t="s">
        <v>1459</v>
      </c>
      <c r="S5009" s="150"/>
    </row>
    <row r="5010" spans="1:19" hidden="1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9</v>
      </c>
      <c r="R5010" s="174" t="s">
        <v>1459</v>
      </c>
      <c r="S5010" s="150"/>
    </row>
    <row r="5011" spans="1:19" hidden="1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9</v>
      </c>
      <c r="R5011" s="174" t="s">
        <v>1459</v>
      </c>
      <c r="S5011" s="150"/>
    </row>
    <row r="5012" spans="1:19" hidden="1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9</v>
      </c>
      <c r="R5012" s="174" t="s">
        <v>1459</v>
      </c>
      <c r="S5012" s="150"/>
    </row>
    <row r="5013" spans="1:19" hidden="1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9</v>
      </c>
      <c r="R5013" s="174" t="s">
        <v>1459</v>
      </c>
      <c r="S5013" s="150"/>
    </row>
    <row r="5014" spans="1:19" hidden="1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8</v>
      </c>
      <c r="R5014" s="175" t="s">
        <v>415</v>
      </c>
      <c r="S5014" s="150"/>
    </row>
    <row r="5015" spans="1:19" hidden="1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8</v>
      </c>
      <c r="R5015" s="175" t="s">
        <v>415</v>
      </c>
      <c r="S5015" s="150"/>
    </row>
    <row r="5016" spans="1:19" hidden="1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8</v>
      </c>
      <c r="R5016" s="175" t="s">
        <v>415</v>
      </c>
      <c r="S5016" s="150"/>
    </row>
    <row r="5017" spans="1:19" hidden="1">
      <c r="A5017" t="s">
        <v>7252</v>
      </c>
      <c r="B5017" s="150" t="str">
        <f>IFERROR(VLOOKUP(Proc[[#This Row],[App]],Table2[],3,0),"open")</f>
        <v>ok</v>
      </c>
      <c r="C5017" s="149" t="s">
        <v>369</v>
      </c>
      <c r="D5017" t="s">
        <v>7251</v>
      </c>
      <c r="E5017" s="149" t="s">
        <v>4939</v>
      </c>
      <c r="F5017" s="150" t="s">
        <v>4939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8</v>
      </c>
      <c r="R5017" s="175" t="s">
        <v>415</v>
      </c>
      <c r="S5017" s="150"/>
    </row>
    <row r="5018" spans="1:19" hidden="1">
      <c r="A5018" t="s">
        <v>7252</v>
      </c>
      <c r="B5018" s="150" t="str">
        <f>IFERROR(VLOOKUP(Proc[[#This Row],[App]],Table2[],3,0),"open")</f>
        <v>ok</v>
      </c>
      <c r="C5018" s="149" t="s">
        <v>369</v>
      </c>
      <c r="D5018" t="s">
        <v>7253</v>
      </c>
      <c r="E5018" s="149" t="s">
        <v>4939</v>
      </c>
      <c r="F5018" s="150" t="s">
        <v>4939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8</v>
      </c>
      <c r="R5018" s="175" t="s">
        <v>415</v>
      </c>
      <c r="S5018" s="150"/>
    </row>
    <row r="5019" spans="1:19" hidden="1">
      <c r="A5019" s="149" t="s">
        <v>7252</v>
      </c>
      <c r="B5019" s="150" t="str">
        <f>IFERROR(VLOOKUP(Proc[[#This Row],[App]],Table2[],3,0),"open")</f>
        <v>ok</v>
      </c>
      <c r="C5019" s="149" t="s">
        <v>369</v>
      </c>
      <c r="D5019" t="s">
        <v>7254</v>
      </c>
      <c r="E5019" s="149" t="s">
        <v>4939</v>
      </c>
      <c r="F5019" s="150" t="s">
        <v>4939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8</v>
      </c>
      <c r="R5019" s="175" t="s">
        <v>415</v>
      </c>
      <c r="S5019" s="150"/>
    </row>
    <row r="5020" spans="1:19" hidden="1">
      <c r="A5020" s="149" t="s">
        <v>7252</v>
      </c>
      <c r="B5020" s="150" t="str">
        <f>IFERROR(VLOOKUP(Proc[[#This Row],[App]],Table2[],3,0),"open")</f>
        <v>ok</v>
      </c>
      <c r="C5020" s="149" t="s">
        <v>369</v>
      </c>
      <c r="D5020" t="s">
        <v>7255</v>
      </c>
      <c r="E5020" s="149" t="s">
        <v>4939</v>
      </c>
      <c r="F5020" s="150" t="s">
        <v>4939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8</v>
      </c>
      <c r="R5020" s="175" t="s">
        <v>415</v>
      </c>
      <c r="S5020" s="150"/>
    </row>
    <row r="5021" spans="1:19" hidden="1">
      <c r="A5021" s="149" t="s">
        <v>7252</v>
      </c>
      <c r="B5021" s="150" t="str">
        <f>IFERROR(VLOOKUP(Proc[[#This Row],[App]],Table2[],3,0),"open")</f>
        <v>ok</v>
      </c>
      <c r="C5021" s="149" t="s">
        <v>369</v>
      </c>
      <c r="D5021" t="s">
        <v>7256</v>
      </c>
      <c r="E5021" s="149" t="s">
        <v>4939</v>
      </c>
      <c r="F5021" s="150" t="s">
        <v>4939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8</v>
      </c>
      <c r="R5021" s="175" t="s">
        <v>415</v>
      </c>
      <c r="S5021" s="150"/>
    </row>
    <row r="5022" spans="1:19" hidden="1">
      <c r="A5022" s="149" t="s">
        <v>7252</v>
      </c>
      <c r="B5022" s="150" t="str">
        <f>IFERROR(VLOOKUP(Proc[[#This Row],[App]],Table2[],3,0),"open")</f>
        <v>ok</v>
      </c>
      <c r="C5022" s="149" t="s">
        <v>369</v>
      </c>
      <c r="D5022" t="s">
        <v>7257</v>
      </c>
      <c r="E5022" s="149" t="s">
        <v>4939</v>
      </c>
      <c r="F5022" s="150" t="s">
        <v>4939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8</v>
      </c>
      <c r="R5022" s="175" t="s">
        <v>415</v>
      </c>
      <c r="S5022" s="150"/>
    </row>
    <row r="5023" spans="1:19" hidden="1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8</v>
      </c>
      <c r="R5023" s="175" t="s">
        <v>415</v>
      </c>
      <c r="S5023" s="150"/>
    </row>
    <row r="5024" spans="1:19" hidden="1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8</v>
      </c>
      <c r="R5024" s="175" t="s">
        <v>415</v>
      </c>
      <c r="S5024" s="150"/>
    </row>
    <row r="5025" spans="1:19" hidden="1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8</v>
      </c>
      <c r="R5025" s="175" t="s">
        <v>415</v>
      </c>
      <c r="S5025" s="150"/>
    </row>
    <row r="5026" spans="1:19" hidden="1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8</v>
      </c>
      <c r="R5026" s="175" t="s">
        <v>415</v>
      </c>
      <c r="S5026" s="150"/>
    </row>
    <row r="5027" spans="1:19" hidden="1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8</v>
      </c>
      <c r="R5027" s="175" t="s">
        <v>415</v>
      </c>
      <c r="S5027" s="150"/>
    </row>
    <row r="5028" spans="1:19" hidden="1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8</v>
      </c>
      <c r="R5028" s="175" t="s">
        <v>415</v>
      </c>
      <c r="S5028" s="150"/>
    </row>
    <row r="5029" spans="1:19" hidden="1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8</v>
      </c>
      <c r="R5029" s="175" t="s">
        <v>415</v>
      </c>
      <c r="S5029" s="150"/>
    </row>
    <row r="5030" spans="1:19" hidden="1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8</v>
      </c>
      <c r="R5030" s="175" t="s">
        <v>415</v>
      </c>
      <c r="S5030" s="150"/>
    </row>
    <row r="5031" spans="1:19" hidden="1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8</v>
      </c>
      <c r="R5031" s="175" t="s">
        <v>415</v>
      </c>
      <c r="S5031" s="150"/>
    </row>
    <row r="5032" spans="1:19" hidden="1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8</v>
      </c>
      <c r="R5032" s="175" t="s">
        <v>415</v>
      </c>
      <c r="S5032" s="150"/>
    </row>
    <row r="5033" spans="1:19" hidden="1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8</v>
      </c>
      <c r="R5033" s="175" t="s">
        <v>415</v>
      </c>
      <c r="S5033" s="150"/>
    </row>
    <row r="5034" spans="1:19" hidden="1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8</v>
      </c>
      <c r="R5034" s="175" t="s">
        <v>415</v>
      </c>
      <c r="S5034" s="150"/>
    </row>
    <row r="5035" spans="1:19" hidden="1">
      <c r="A5035" t="s">
        <v>7273</v>
      </c>
      <c r="B5035" s="150" t="str">
        <f>IFERROR(VLOOKUP(Proc[[#This Row],[App]],Table2[],3,0),"open")</f>
        <v>ok</v>
      </c>
      <c r="C5035" s="149" t="s">
        <v>369</v>
      </c>
      <c r="D5035" t="s">
        <v>7274</v>
      </c>
      <c r="E5035" t="s">
        <v>4939</v>
      </c>
      <c r="F5035" s="150" t="s">
        <v>4939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8</v>
      </c>
      <c r="R5035" s="175" t="s">
        <v>415</v>
      </c>
      <c r="S5035" s="150"/>
    </row>
    <row r="5036" spans="1:19" hidden="1">
      <c r="A5036" t="s">
        <v>7273</v>
      </c>
      <c r="B5036" s="150" t="str">
        <f>IFERROR(VLOOKUP(Proc[[#This Row],[App]],Table2[],3,0),"open")</f>
        <v>ok</v>
      </c>
      <c r="C5036" s="149" t="s">
        <v>369</v>
      </c>
      <c r="D5036" t="s">
        <v>7275</v>
      </c>
      <c r="E5036" t="s">
        <v>4939</v>
      </c>
      <c r="F5036" s="150" t="s">
        <v>4939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8</v>
      </c>
      <c r="R5036" s="175" t="s">
        <v>415</v>
      </c>
      <c r="S5036" s="150"/>
    </row>
    <row r="5037" spans="1:19" hidden="1">
      <c r="A5037" s="149" t="s">
        <v>7273</v>
      </c>
      <c r="B5037" s="150" t="str">
        <f>IFERROR(VLOOKUP(Proc[[#This Row],[App]],Table2[],3,0),"open")</f>
        <v>ok</v>
      </c>
      <c r="C5037" s="149" t="s">
        <v>369</v>
      </c>
      <c r="D5037" t="s">
        <v>7276</v>
      </c>
      <c r="E5037" t="s">
        <v>4939</v>
      </c>
      <c r="F5037" s="150" t="s">
        <v>4939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8</v>
      </c>
      <c r="R5037" s="175" t="s">
        <v>415</v>
      </c>
      <c r="S5037" s="150"/>
    </row>
    <row r="5038" spans="1:19" hidden="1">
      <c r="A5038" s="149" t="s">
        <v>7273</v>
      </c>
      <c r="B5038" s="150" t="str">
        <f>IFERROR(VLOOKUP(Proc[[#This Row],[App]],Table2[],3,0),"open")</f>
        <v>ok</v>
      </c>
      <c r="C5038" s="149" t="s">
        <v>369</v>
      </c>
      <c r="D5038" t="s">
        <v>7277</v>
      </c>
      <c r="E5038" t="s">
        <v>4939</v>
      </c>
      <c r="F5038" s="150" t="s">
        <v>4939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8</v>
      </c>
      <c r="R5038" s="175" t="s">
        <v>415</v>
      </c>
      <c r="S5038" s="150"/>
    </row>
    <row r="5039" spans="1:19" hidden="1">
      <c r="A5039" s="149" t="s">
        <v>7273</v>
      </c>
      <c r="B5039" s="150" t="str">
        <f>IFERROR(VLOOKUP(Proc[[#This Row],[App]],Table2[],3,0),"open")</f>
        <v>ok</v>
      </c>
      <c r="C5039" s="149" t="s">
        <v>369</v>
      </c>
      <c r="D5039" t="s">
        <v>7278</v>
      </c>
      <c r="E5039" s="149" t="s">
        <v>4939</v>
      </c>
      <c r="F5039" s="150" t="s">
        <v>4939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8</v>
      </c>
      <c r="R5039" s="175" t="s">
        <v>415</v>
      </c>
      <c r="S5039" s="150"/>
    </row>
    <row r="5040" spans="1:19" hidden="1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7</v>
      </c>
      <c r="R5040" s="175" t="s">
        <v>764</v>
      </c>
      <c r="S5040" s="150"/>
    </row>
    <row r="5041" spans="1:19" hidden="1">
      <c r="A5041" t="s">
        <v>7283</v>
      </c>
      <c r="B5041" s="150" t="str">
        <f>IFERROR(VLOOKUP(Proc[[#This Row],[App]],Table2[],3,0),"open")</f>
        <v>ok</v>
      </c>
      <c r="C5041" t="s">
        <v>369</v>
      </c>
      <c r="D5041" t="s">
        <v>7284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7</v>
      </c>
      <c r="R5041" s="175" t="s">
        <v>1459</v>
      </c>
      <c r="S5041" s="150"/>
    </row>
    <row r="5042" spans="1:19" hidden="1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6</v>
      </c>
      <c r="R5042" s="175" t="s">
        <v>415</v>
      </c>
      <c r="S5042" s="150"/>
    </row>
    <row r="5043" spans="1:19" hidden="1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6</v>
      </c>
      <c r="R5043" s="175" t="s">
        <v>415</v>
      </c>
      <c r="S5043" s="150"/>
    </row>
    <row r="5044" spans="1:19" hidden="1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6</v>
      </c>
      <c r="R5044" s="175" t="s">
        <v>415</v>
      </c>
      <c r="S5044" s="150"/>
    </row>
    <row r="5045" spans="1:19" hidden="1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6</v>
      </c>
      <c r="R5045" s="175" t="s">
        <v>415</v>
      </c>
      <c r="S5045" s="150"/>
    </row>
    <row r="5046" spans="1:19" hidden="1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6</v>
      </c>
      <c r="R5046" s="175" t="s">
        <v>415</v>
      </c>
      <c r="S5046" s="150"/>
    </row>
    <row r="5047" spans="1:19" hidden="1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6</v>
      </c>
      <c r="R5047" s="175" t="s">
        <v>415</v>
      </c>
      <c r="S5047" s="150"/>
    </row>
    <row r="5048" spans="1:19" hidden="1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6</v>
      </c>
      <c r="R5048" s="175" t="s">
        <v>415</v>
      </c>
      <c r="S5048" s="150"/>
    </row>
    <row r="5049" spans="1:19" hidden="1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6</v>
      </c>
      <c r="R5049" s="175" t="s">
        <v>415</v>
      </c>
      <c r="S5049" s="150"/>
    </row>
    <row r="5050" spans="1:19" hidden="1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6</v>
      </c>
      <c r="R5050" s="175" t="s">
        <v>415</v>
      </c>
      <c r="S5050" s="150"/>
    </row>
    <row r="5051" spans="1:19" hidden="1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6</v>
      </c>
      <c r="R5051" s="175" t="s">
        <v>415</v>
      </c>
      <c r="S5051" s="150"/>
    </row>
    <row r="5052" spans="1:19" hidden="1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6</v>
      </c>
      <c r="R5052" s="175" t="s">
        <v>415</v>
      </c>
      <c r="S5052" s="150"/>
    </row>
    <row r="5053" spans="1:19" hidden="1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6</v>
      </c>
      <c r="R5053" s="175" t="s">
        <v>415</v>
      </c>
      <c r="S5053" s="150"/>
    </row>
    <row r="5054" spans="1:19" hidden="1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6</v>
      </c>
      <c r="R5054" s="175" t="s">
        <v>415</v>
      </c>
      <c r="S5054" s="150"/>
    </row>
    <row r="5055" spans="1:19" hidden="1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6</v>
      </c>
      <c r="R5055" s="175" t="s">
        <v>415</v>
      </c>
      <c r="S5055" s="150"/>
    </row>
    <row r="5056" spans="1:19" hidden="1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6</v>
      </c>
      <c r="R5056" s="175" t="s">
        <v>415</v>
      </c>
      <c r="S5056" s="150"/>
    </row>
    <row r="5057" spans="1:19" hidden="1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6</v>
      </c>
      <c r="R5057" s="175" t="s">
        <v>415</v>
      </c>
      <c r="S5057" s="150"/>
    </row>
    <row r="5058" spans="1:19" hidden="1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6</v>
      </c>
      <c r="R5058" s="175" t="s">
        <v>415</v>
      </c>
      <c r="S5058" s="150"/>
    </row>
    <row r="5059" spans="1:19" hidden="1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6</v>
      </c>
      <c r="R5059" s="175" t="s">
        <v>415</v>
      </c>
      <c r="S5059" s="150"/>
    </row>
    <row r="5060" spans="1:19" hidden="1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6</v>
      </c>
      <c r="R5060" s="175" t="s">
        <v>415</v>
      </c>
      <c r="S5060" s="150"/>
    </row>
    <row r="5061" spans="1:19" hidden="1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6</v>
      </c>
      <c r="R5061" s="175" t="s">
        <v>415</v>
      </c>
      <c r="S5061" s="150"/>
    </row>
    <row r="5062" spans="1:19" hidden="1">
      <c r="A5062" t="s">
        <v>7303</v>
      </c>
      <c r="B5062" s="150" t="str">
        <f>IFERROR(VLOOKUP(Proc[[#This Row],[App]],Table2[],3,0),"open")</f>
        <v>ok</v>
      </c>
      <c r="C5062" s="149" t="s">
        <v>369</v>
      </c>
      <c r="D5062" t="s">
        <v>7289</v>
      </c>
      <c r="E5062" t="s">
        <v>7282</v>
      </c>
      <c r="F5062" s="150" t="s">
        <v>7282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on track</v>
      </c>
      <c r="Q5062" s="3">
        <f ca="1">IF(Proc[[#This Row],[DateClosed]]="",ABS(NETWORKDAYS(Proc[[#This Row],[DateOpened]],TODAY()))-1,ABS(NETWORKDAYS(Proc[[#This Row],[DateOpened]],Proc[[#This Row],[DateClosed]]))-1)</f>
        <v>5</v>
      </c>
      <c r="R5062" s="175" t="s">
        <v>415</v>
      </c>
      <c r="S5062" s="150"/>
    </row>
    <row r="5063" spans="1:19" hidden="1">
      <c r="A5063" s="149" t="s">
        <v>7303</v>
      </c>
      <c r="B5063" s="150" t="str">
        <f>IFERROR(VLOOKUP(Proc[[#This Row],[App]],Table2[],3,0),"open")</f>
        <v>ok</v>
      </c>
      <c r="C5063" s="149" t="s">
        <v>369</v>
      </c>
      <c r="D5063" t="s">
        <v>7290</v>
      </c>
      <c r="E5063" t="s">
        <v>7282</v>
      </c>
      <c r="F5063" s="150" t="s">
        <v>7282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on track</v>
      </c>
      <c r="Q5063" s="3">
        <f ca="1">IF(Proc[[#This Row],[DateClosed]]="",ABS(NETWORKDAYS(Proc[[#This Row],[DateOpened]],TODAY()))-1,ABS(NETWORKDAYS(Proc[[#This Row],[DateOpened]],Proc[[#This Row],[DateClosed]]))-1)</f>
        <v>5</v>
      </c>
      <c r="R5063" s="175" t="s">
        <v>415</v>
      </c>
      <c r="S5063" s="150"/>
    </row>
    <row r="5064" spans="1:19" hidden="1">
      <c r="A5064" t="s">
        <v>7304</v>
      </c>
      <c r="B5064" s="150" t="str">
        <f>IFERROR(VLOOKUP(Proc[[#This Row],[App]],Table2[],3,0),"open")</f>
        <v>ok</v>
      </c>
      <c r="C5064" s="149" t="s">
        <v>369</v>
      </c>
      <c r="D5064" t="s">
        <v>7305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on track</v>
      </c>
      <c r="Q5064" s="3">
        <f ca="1">IF(Proc[[#This Row],[DateClosed]]="",ABS(NETWORKDAYS(Proc[[#This Row],[DateOpened]],TODAY()))-1,ABS(NETWORKDAYS(Proc[[#This Row],[DateOpened]],Proc[[#This Row],[DateClosed]]))-1)</f>
        <v>5</v>
      </c>
      <c r="R5064" s="175" t="s">
        <v>489</v>
      </c>
      <c r="S5064" s="150"/>
    </row>
    <row r="5065" spans="1:19" hidden="1">
      <c r="A5065" s="149" t="s">
        <v>7304</v>
      </c>
      <c r="B5065" s="150" t="str">
        <f>IFERROR(VLOOKUP(Proc[[#This Row],[App]],Table2[],3,0),"open")</f>
        <v>ok</v>
      </c>
      <c r="C5065" s="149" t="s">
        <v>369</v>
      </c>
      <c r="D5065" t="s">
        <v>7306</v>
      </c>
      <c r="E5065" t="s">
        <v>7331</v>
      </c>
      <c r="F5065" s="150" t="s">
        <v>7331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on track</v>
      </c>
      <c r="Q5065" s="3">
        <f ca="1">IF(Proc[[#This Row],[DateClosed]]="",ABS(NETWORKDAYS(Proc[[#This Row],[DateOpened]],TODAY()))-1,ABS(NETWORKDAYS(Proc[[#This Row],[DateOpened]],Proc[[#This Row],[DateClosed]]))-1)</f>
        <v>5</v>
      </c>
      <c r="R5065" s="175" t="s">
        <v>489</v>
      </c>
      <c r="S5065" s="150"/>
    </row>
    <row r="5066" spans="1:19" hidden="1">
      <c r="A5066" s="149" t="s">
        <v>7304</v>
      </c>
      <c r="B5066" s="150" t="str">
        <f>IFERROR(VLOOKUP(Proc[[#This Row],[App]],Table2[],3,0),"open")</f>
        <v>ok</v>
      </c>
      <c r="C5066" s="149" t="s">
        <v>369</v>
      </c>
      <c r="D5066" t="s">
        <v>7307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on track</v>
      </c>
      <c r="Q5066" s="3">
        <f ca="1">IF(Proc[[#This Row],[DateClosed]]="",ABS(NETWORKDAYS(Proc[[#This Row],[DateOpened]],TODAY()))-1,ABS(NETWORKDAYS(Proc[[#This Row],[DateOpened]],Proc[[#This Row],[DateClosed]]))-1)</f>
        <v>5</v>
      </c>
      <c r="R5066" s="175" t="s">
        <v>489</v>
      </c>
      <c r="S5066" s="150"/>
    </row>
    <row r="5067" spans="1:19" hidden="1">
      <c r="A5067" s="149" t="s">
        <v>7304</v>
      </c>
      <c r="B5067" s="150" t="str">
        <f>IFERROR(VLOOKUP(Proc[[#This Row],[App]],Table2[],3,0),"open")</f>
        <v>ok</v>
      </c>
      <c r="C5067" s="149" t="s">
        <v>369</v>
      </c>
      <c r="D5067" t="s">
        <v>7308</v>
      </c>
      <c r="E5067" t="s">
        <v>4890</v>
      </c>
      <c r="F5067" s="150" t="s">
        <v>4890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on track</v>
      </c>
      <c r="Q5067" s="3">
        <f ca="1">IF(Proc[[#This Row],[DateClosed]]="",ABS(NETWORKDAYS(Proc[[#This Row],[DateOpened]],TODAY()))-1,ABS(NETWORKDAYS(Proc[[#This Row],[DateOpened]],Proc[[#This Row],[DateClosed]]))-1)</f>
        <v>5</v>
      </c>
      <c r="R5067" s="175" t="s">
        <v>489</v>
      </c>
      <c r="S5067" s="150"/>
    </row>
    <row r="5068" spans="1:19" hidden="1">
      <c r="A5068" s="149" t="s">
        <v>7304</v>
      </c>
      <c r="B5068" s="150" t="str">
        <f>IFERROR(VLOOKUP(Proc[[#This Row],[App]],Table2[],3,0),"open")</f>
        <v>ok</v>
      </c>
      <c r="C5068" s="149" t="s">
        <v>369</v>
      </c>
      <c r="D5068" t="s">
        <v>7309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on track</v>
      </c>
      <c r="Q5068" s="3">
        <f ca="1">IF(Proc[[#This Row],[DateClosed]]="",ABS(NETWORKDAYS(Proc[[#This Row],[DateOpened]],TODAY()))-1,ABS(NETWORKDAYS(Proc[[#This Row],[DateOpened]],Proc[[#This Row],[DateClosed]]))-1)</f>
        <v>5</v>
      </c>
      <c r="R5068" s="175" t="s">
        <v>489</v>
      </c>
      <c r="S5068" s="150"/>
    </row>
    <row r="5069" spans="1:19" hidden="1">
      <c r="A5069" s="149" t="s">
        <v>7304</v>
      </c>
      <c r="B5069" s="150" t="str">
        <f>IFERROR(VLOOKUP(Proc[[#This Row],[App]],Table2[],3,0),"open")</f>
        <v>ok</v>
      </c>
      <c r="C5069" s="149" t="s">
        <v>369</v>
      </c>
      <c r="D5069" t="s">
        <v>7310</v>
      </c>
      <c r="E5069" t="s">
        <v>7332</v>
      </c>
      <c r="F5069" s="150" t="s">
        <v>7332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on track</v>
      </c>
      <c r="Q5069" s="3">
        <f ca="1">IF(Proc[[#This Row],[DateClosed]]="",ABS(NETWORKDAYS(Proc[[#This Row],[DateOpened]],TODAY()))-1,ABS(NETWORKDAYS(Proc[[#This Row],[DateOpened]],Proc[[#This Row],[DateClosed]]))-1)</f>
        <v>5</v>
      </c>
      <c r="R5069" s="175" t="s">
        <v>489</v>
      </c>
      <c r="S5069" s="150"/>
    </row>
    <row r="5070" spans="1:19" hidden="1">
      <c r="A5070" s="149" t="s">
        <v>7304</v>
      </c>
      <c r="B5070" s="150" t="str">
        <f>IFERROR(VLOOKUP(Proc[[#This Row],[App]],Table2[],3,0),"open")</f>
        <v>ok</v>
      </c>
      <c r="C5070" s="149" t="s">
        <v>369</v>
      </c>
      <c r="D5070" t="s">
        <v>7311</v>
      </c>
      <c r="E5070" t="s">
        <v>7333</v>
      </c>
      <c r="F5070" s="150" t="s">
        <v>7333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on track</v>
      </c>
      <c r="Q5070" s="3">
        <f ca="1">IF(Proc[[#This Row],[DateClosed]]="",ABS(NETWORKDAYS(Proc[[#This Row],[DateOpened]],TODAY()))-1,ABS(NETWORKDAYS(Proc[[#This Row],[DateOpened]],Proc[[#This Row],[DateClosed]]))-1)</f>
        <v>5</v>
      </c>
      <c r="R5070" s="175" t="s">
        <v>489</v>
      </c>
      <c r="S5070" s="150"/>
    </row>
    <row r="5071" spans="1:19" hidden="1">
      <c r="A5071" s="149" t="s">
        <v>7304</v>
      </c>
      <c r="B5071" s="150" t="str">
        <f>IFERROR(VLOOKUP(Proc[[#This Row],[App]],Table2[],3,0),"open")</f>
        <v>ok</v>
      </c>
      <c r="C5071" s="149" t="s">
        <v>369</v>
      </c>
      <c r="D5071" t="s">
        <v>7312</v>
      </c>
      <c r="E5071" t="s">
        <v>7334</v>
      </c>
      <c r="F5071" s="150" t="s">
        <v>7334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on track</v>
      </c>
      <c r="Q5071" s="3">
        <f ca="1">IF(Proc[[#This Row],[DateClosed]]="",ABS(NETWORKDAYS(Proc[[#This Row],[DateOpened]],TODAY()))-1,ABS(NETWORKDAYS(Proc[[#This Row],[DateOpened]],Proc[[#This Row],[DateClosed]]))-1)</f>
        <v>5</v>
      </c>
      <c r="R5071" s="175" t="s">
        <v>489</v>
      </c>
      <c r="S5071" s="150"/>
    </row>
    <row r="5072" spans="1:19" hidden="1">
      <c r="A5072" s="149" t="s">
        <v>7304</v>
      </c>
      <c r="B5072" s="150" t="str">
        <f>IFERROR(VLOOKUP(Proc[[#This Row],[App]],Table2[],3,0),"open")</f>
        <v>ok</v>
      </c>
      <c r="C5072" s="149" t="s">
        <v>369</v>
      </c>
      <c r="D5072" t="s">
        <v>7313</v>
      </c>
      <c r="E5072" t="s">
        <v>7335</v>
      </c>
      <c r="F5072" s="150" t="s">
        <v>7335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on track</v>
      </c>
      <c r="Q5072" s="3">
        <f ca="1">IF(Proc[[#This Row],[DateClosed]]="",ABS(NETWORKDAYS(Proc[[#This Row],[DateOpened]],TODAY()))-1,ABS(NETWORKDAYS(Proc[[#This Row],[DateOpened]],Proc[[#This Row],[DateClosed]]))-1)</f>
        <v>5</v>
      </c>
      <c r="R5072" s="175" t="s">
        <v>489</v>
      </c>
      <c r="S5072" s="150"/>
    </row>
    <row r="5073" spans="1:19" hidden="1">
      <c r="A5073" s="149" t="s">
        <v>7304</v>
      </c>
      <c r="B5073" s="150" t="str">
        <f>IFERROR(VLOOKUP(Proc[[#This Row],[App]],Table2[],3,0),"open")</f>
        <v>ok</v>
      </c>
      <c r="C5073" s="149" t="s">
        <v>369</v>
      </c>
      <c r="D5073" t="s">
        <v>7314</v>
      </c>
      <c r="E5073" t="s">
        <v>7336</v>
      </c>
      <c r="F5073" s="150" t="s">
        <v>7336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on track</v>
      </c>
      <c r="Q5073" s="3">
        <f ca="1">IF(Proc[[#This Row],[DateClosed]]="",ABS(NETWORKDAYS(Proc[[#This Row],[DateOpened]],TODAY()))-1,ABS(NETWORKDAYS(Proc[[#This Row],[DateOpened]],Proc[[#This Row],[DateClosed]]))-1)</f>
        <v>5</v>
      </c>
      <c r="R5073" s="175" t="s">
        <v>489</v>
      </c>
      <c r="S5073" s="150"/>
    </row>
    <row r="5074" spans="1:19" hidden="1">
      <c r="A5074" s="149" t="s">
        <v>7304</v>
      </c>
      <c r="B5074" s="150" t="str">
        <f>IFERROR(VLOOKUP(Proc[[#This Row],[App]],Table2[],3,0),"open")</f>
        <v>ok</v>
      </c>
      <c r="C5074" s="149" t="s">
        <v>369</v>
      </c>
      <c r="D5074" t="s">
        <v>7315</v>
      </c>
      <c r="E5074" t="s">
        <v>7336</v>
      </c>
      <c r="F5074" s="150" t="s">
        <v>7336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on track</v>
      </c>
      <c r="Q5074" s="3">
        <f ca="1">IF(Proc[[#This Row],[DateClosed]]="",ABS(NETWORKDAYS(Proc[[#This Row],[DateOpened]],TODAY()))-1,ABS(NETWORKDAYS(Proc[[#This Row],[DateOpened]],Proc[[#This Row],[DateClosed]]))-1)</f>
        <v>5</v>
      </c>
      <c r="R5074" s="175" t="s">
        <v>489</v>
      </c>
      <c r="S5074" s="150"/>
    </row>
    <row r="5075" spans="1:19" hidden="1">
      <c r="A5075" s="149" t="s">
        <v>7304</v>
      </c>
      <c r="B5075" s="150" t="str">
        <f>IFERROR(VLOOKUP(Proc[[#This Row],[App]],Table2[],3,0),"open")</f>
        <v>ok</v>
      </c>
      <c r="C5075" s="149" t="s">
        <v>369</v>
      </c>
      <c r="D5075" t="s">
        <v>7316</v>
      </c>
      <c r="E5075" t="s">
        <v>7337</v>
      </c>
      <c r="F5075" s="150" t="s">
        <v>7337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on track</v>
      </c>
      <c r="Q5075" s="3">
        <f ca="1">IF(Proc[[#This Row],[DateClosed]]="",ABS(NETWORKDAYS(Proc[[#This Row],[DateOpened]],TODAY()))-1,ABS(NETWORKDAYS(Proc[[#This Row],[DateOpened]],Proc[[#This Row],[DateClosed]]))-1)</f>
        <v>5</v>
      </c>
      <c r="R5075" s="175" t="s">
        <v>489</v>
      </c>
      <c r="S5075" s="150"/>
    </row>
    <row r="5076" spans="1:19" hidden="1">
      <c r="A5076" s="149" t="s">
        <v>7304</v>
      </c>
      <c r="B5076" s="150" t="str">
        <f>IFERROR(VLOOKUP(Proc[[#This Row],[App]],Table2[],3,0),"open")</f>
        <v>ok</v>
      </c>
      <c r="C5076" s="149" t="s">
        <v>369</v>
      </c>
      <c r="D5076" t="s">
        <v>7317</v>
      </c>
      <c r="E5076" t="s">
        <v>7337</v>
      </c>
      <c r="F5076" s="150" t="s">
        <v>7337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on track</v>
      </c>
      <c r="Q5076" s="3">
        <f ca="1">IF(Proc[[#This Row],[DateClosed]]="",ABS(NETWORKDAYS(Proc[[#This Row],[DateOpened]],TODAY()))-1,ABS(NETWORKDAYS(Proc[[#This Row],[DateOpened]],Proc[[#This Row],[DateClosed]]))-1)</f>
        <v>5</v>
      </c>
      <c r="R5076" s="175" t="s">
        <v>489</v>
      </c>
      <c r="S5076" s="150"/>
    </row>
    <row r="5077" spans="1:19" hidden="1">
      <c r="A5077" s="149" t="s">
        <v>7304</v>
      </c>
      <c r="B5077" s="150" t="str">
        <f>IFERROR(VLOOKUP(Proc[[#This Row],[App]],Table2[],3,0),"open")</f>
        <v>ok</v>
      </c>
      <c r="C5077" s="149" t="s">
        <v>369</v>
      </c>
      <c r="D5077" t="s">
        <v>7318</v>
      </c>
      <c r="E5077" t="s">
        <v>6956</v>
      </c>
      <c r="F5077" s="150" t="s">
        <v>6956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on track</v>
      </c>
      <c r="Q5077" s="3">
        <f ca="1">IF(Proc[[#This Row],[DateClosed]]="",ABS(NETWORKDAYS(Proc[[#This Row],[DateOpened]],TODAY()))-1,ABS(NETWORKDAYS(Proc[[#This Row],[DateOpened]],Proc[[#This Row],[DateClosed]]))-1)</f>
        <v>5</v>
      </c>
      <c r="R5077" s="175" t="s">
        <v>489</v>
      </c>
      <c r="S5077" s="150"/>
    </row>
    <row r="5078" spans="1:19" hidden="1">
      <c r="A5078" s="149" t="s">
        <v>7304</v>
      </c>
      <c r="B5078" s="150" t="str">
        <f>IFERROR(VLOOKUP(Proc[[#This Row],[App]],Table2[],3,0),"open")</f>
        <v>ok</v>
      </c>
      <c r="C5078" s="149" t="s">
        <v>369</v>
      </c>
      <c r="D5078" t="s">
        <v>7319</v>
      </c>
      <c r="E5078" t="s">
        <v>7338</v>
      </c>
      <c r="F5078" s="150" t="s">
        <v>7338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on track</v>
      </c>
      <c r="Q5078" s="3">
        <f ca="1">IF(Proc[[#This Row],[DateClosed]]="",ABS(NETWORKDAYS(Proc[[#This Row],[DateOpened]],TODAY()))-1,ABS(NETWORKDAYS(Proc[[#This Row],[DateOpened]],Proc[[#This Row],[DateClosed]]))-1)</f>
        <v>5</v>
      </c>
      <c r="R5078" s="175" t="s">
        <v>489</v>
      </c>
      <c r="S5078" s="150"/>
    </row>
    <row r="5079" spans="1:19" hidden="1">
      <c r="A5079" s="149" t="s">
        <v>7304</v>
      </c>
      <c r="B5079" s="150" t="str">
        <f>IFERROR(VLOOKUP(Proc[[#This Row],[App]],Table2[],3,0),"open")</f>
        <v>ok</v>
      </c>
      <c r="C5079" s="149" t="s">
        <v>369</v>
      </c>
      <c r="D5079" t="s">
        <v>7320</v>
      </c>
      <c r="E5079" t="s">
        <v>7338</v>
      </c>
      <c r="F5079" s="150" t="s">
        <v>7338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on track</v>
      </c>
      <c r="Q5079" s="3">
        <f ca="1">IF(Proc[[#This Row],[DateClosed]]="",ABS(NETWORKDAYS(Proc[[#This Row],[DateOpened]],TODAY()))-1,ABS(NETWORKDAYS(Proc[[#This Row],[DateOpened]],Proc[[#This Row],[DateClosed]]))-1)</f>
        <v>5</v>
      </c>
      <c r="R5079" s="175" t="s">
        <v>489</v>
      </c>
      <c r="S5079" s="150"/>
    </row>
    <row r="5080" spans="1:19" hidden="1">
      <c r="A5080" s="149" t="s">
        <v>7304</v>
      </c>
      <c r="B5080" s="150" t="str">
        <f>IFERROR(VLOOKUP(Proc[[#This Row],[App]],Table2[],3,0),"open")</f>
        <v>ok</v>
      </c>
      <c r="C5080" s="149" t="s">
        <v>369</v>
      </c>
      <c r="D5080" t="s">
        <v>7321</v>
      </c>
      <c r="E5080" t="s">
        <v>7338</v>
      </c>
      <c r="F5080" s="150" t="s">
        <v>7338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on track</v>
      </c>
      <c r="Q5080" s="3">
        <f ca="1">IF(Proc[[#This Row],[DateClosed]]="",ABS(NETWORKDAYS(Proc[[#This Row],[DateOpened]],TODAY()))-1,ABS(NETWORKDAYS(Proc[[#This Row],[DateOpened]],Proc[[#This Row],[DateClosed]]))-1)</f>
        <v>5</v>
      </c>
      <c r="R5080" s="175" t="s">
        <v>489</v>
      </c>
      <c r="S5080" s="150"/>
    </row>
    <row r="5081" spans="1:19" hidden="1">
      <c r="A5081" s="149" t="s">
        <v>7304</v>
      </c>
      <c r="B5081" s="150" t="str">
        <f>IFERROR(VLOOKUP(Proc[[#This Row],[App]],Table2[],3,0),"open")</f>
        <v>ok</v>
      </c>
      <c r="C5081" s="149" t="s">
        <v>369</v>
      </c>
      <c r="D5081" t="s">
        <v>7322</v>
      </c>
      <c r="E5081" t="s">
        <v>7338</v>
      </c>
      <c r="F5081" s="150" t="s">
        <v>7338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on track</v>
      </c>
      <c r="Q5081" s="3">
        <f ca="1">IF(Proc[[#This Row],[DateClosed]]="",ABS(NETWORKDAYS(Proc[[#This Row],[DateOpened]],TODAY()))-1,ABS(NETWORKDAYS(Proc[[#This Row],[DateOpened]],Proc[[#This Row],[DateClosed]]))-1)</f>
        <v>5</v>
      </c>
      <c r="R5081" s="175" t="s">
        <v>489</v>
      </c>
      <c r="S5081" s="150"/>
    </row>
    <row r="5082" spans="1:19" hidden="1">
      <c r="A5082" s="149" t="s">
        <v>7304</v>
      </c>
      <c r="B5082" s="150" t="str">
        <f>IFERROR(VLOOKUP(Proc[[#This Row],[App]],Table2[],3,0),"open")</f>
        <v>ok</v>
      </c>
      <c r="C5082" s="149" t="s">
        <v>369</v>
      </c>
      <c r="D5082" t="s">
        <v>7323</v>
      </c>
      <c r="E5082" t="s">
        <v>7338</v>
      </c>
      <c r="F5082" s="150" t="s">
        <v>7338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on track</v>
      </c>
      <c r="Q5082" s="3">
        <f ca="1">IF(Proc[[#This Row],[DateClosed]]="",ABS(NETWORKDAYS(Proc[[#This Row],[DateOpened]],TODAY()))-1,ABS(NETWORKDAYS(Proc[[#This Row],[DateOpened]],Proc[[#This Row],[DateClosed]]))-1)</f>
        <v>5</v>
      </c>
      <c r="R5082" s="175" t="s">
        <v>489</v>
      </c>
      <c r="S5082" s="150"/>
    </row>
    <row r="5083" spans="1:19" hidden="1">
      <c r="A5083" s="149" t="s">
        <v>7304</v>
      </c>
      <c r="B5083" s="150" t="str">
        <f>IFERROR(VLOOKUP(Proc[[#This Row],[App]],Table2[],3,0),"open")</f>
        <v>ok</v>
      </c>
      <c r="C5083" s="149" t="s">
        <v>369</v>
      </c>
      <c r="D5083" t="s">
        <v>7324</v>
      </c>
      <c r="E5083" t="s">
        <v>7338</v>
      </c>
      <c r="F5083" s="150" t="s">
        <v>7338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on track</v>
      </c>
      <c r="Q5083" s="3">
        <f ca="1">IF(Proc[[#This Row],[DateClosed]]="",ABS(NETWORKDAYS(Proc[[#This Row],[DateOpened]],TODAY()))-1,ABS(NETWORKDAYS(Proc[[#This Row],[DateOpened]],Proc[[#This Row],[DateClosed]]))-1)</f>
        <v>5</v>
      </c>
      <c r="R5083" s="175" t="s">
        <v>489</v>
      </c>
      <c r="S5083" s="150"/>
    </row>
    <row r="5084" spans="1:19" hidden="1">
      <c r="A5084" s="149" t="s">
        <v>7304</v>
      </c>
      <c r="B5084" s="150" t="str">
        <f>IFERROR(VLOOKUP(Proc[[#This Row],[App]],Table2[],3,0),"open")</f>
        <v>ok</v>
      </c>
      <c r="C5084" s="149" t="s">
        <v>369</v>
      </c>
      <c r="D5084" t="s">
        <v>7325</v>
      </c>
      <c r="E5084" t="s">
        <v>7338</v>
      </c>
      <c r="F5084" s="150" t="s">
        <v>7338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on track</v>
      </c>
      <c r="Q5084" s="3">
        <f ca="1">IF(Proc[[#This Row],[DateClosed]]="",ABS(NETWORKDAYS(Proc[[#This Row],[DateOpened]],TODAY()))-1,ABS(NETWORKDAYS(Proc[[#This Row],[DateOpened]],Proc[[#This Row],[DateClosed]]))-1)</f>
        <v>5</v>
      </c>
      <c r="R5084" s="175" t="s">
        <v>489</v>
      </c>
      <c r="S5084" s="150"/>
    </row>
    <row r="5085" spans="1:19" hidden="1">
      <c r="A5085" s="149" t="s">
        <v>7304</v>
      </c>
      <c r="B5085" s="150" t="str">
        <f>IFERROR(VLOOKUP(Proc[[#This Row],[App]],Table2[],3,0),"open")</f>
        <v>ok</v>
      </c>
      <c r="C5085" s="149" t="s">
        <v>369</v>
      </c>
      <c r="D5085" t="s">
        <v>7326</v>
      </c>
      <c r="E5085" t="s">
        <v>7338</v>
      </c>
      <c r="F5085" s="150" t="s">
        <v>7338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on track</v>
      </c>
      <c r="Q5085" s="3">
        <f ca="1">IF(Proc[[#This Row],[DateClosed]]="",ABS(NETWORKDAYS(Proc[[#This Row],[DateOpened]],TODAY()))-1,ABS(NETWORKDAYS(Proc[[#This Row],[DateOpened]],Proc[[#This Row],[DateClosed]]))-1)</f>
        <v>5</v>
      </c>
      <c r="R5085" s="175" t="s">
        <v>489</v>
      </c>
      <c r="S5085" s="150"/>
    </row>
    <row r="5086" spans="1:19" hidden="1">
      <c r="A5086" s="149" t="s">
        <v>7304</v>
      </c>
      <c r="B5086" s="150" t="str">
        <f>IFERROR(VLOOKUP(Proc[[#This Row],[App]],Table2[],3,0),"open")</f>
        <v>ok</v>
      </c>
      <c r="C5086" s="149" t="s">
        <v>369</v>
      </c>
      <c r="D5086" t="s">
        <v>7327</v>
      </c>
      <c r="E5086" t="s">
        <v>7339</v>
      </c>
      <c r="F5086" s="150" t="s">
        <v>7339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on track</v>
      </c>
      <c r="Q5086" s="3">
        <f ca="1">IF(Proc[[#This Row],[DateClosed]]="",ABS(NETWORKDAYS(Proc[[#This Row],[DateOpened]],TODAY()))-1,ABS(NETWORKDAYS(Proc[[#This Row],[DateOpened]],Proc[[#This Row],[DateClosed]]))-1)</f>
        <v>5</v>
      </c>
      <c r="R5086" s="175" t="s">
        <v>489</v>
      </c>
      <c r="S5086" s="150"/>
    </row>
    <row r="5087" spans="1:19" hidden="1">
      <c r="A5087" s="149" t="s">
        <v>7304</v>
      </c>
      <c r="B5087" s="150" t="str">
        <f>IFERROR(VLOOKUP(Proc[[#This Row],[App]],Table2[],3,0),"open")</f>
        <v>ok</v>
      </c>
      <c r="C5087" s="149" t="s">
        <v>369</v>
      </c>
      <c r="D5087" t="s">
        <v>7328</v>
      </c>
      <c r="E5087" t="s">
        <v>7340</v>
      </c>
      <c r="F5087" s="150" t="s">
        <v>7340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on track</v>
      </c>
      <c r="Q5087" s="3">
        <f ca="1">IF(Proc[[#This Row],[DateClosed]]="",ABS(NETWORKDAYS(Proc[[#This Row],[DateOpened]],TODAY()))-1,ABS(NETWORKDAYS(Proc[[#This Row],[DateOpened]],Proc[[#This Row],[DateClosed]]))-1)</f>
        <v>5</v>
      </c>
      <c r="R5087" s="175" t="s">
        <v>489</v>
      </c>
      <c r="S5087" s="150"/>
    </row>
    <row r="5088" spans="1:19" hidden="1">
      <c r="A5088" s="149" t="s">
        <v>7304</v>
      </c>
      <c r="B5088" s="150" t="str">
        <f>IFERROR(VLOOKUP(Proc[[#This Row],[App]],Table2[],3,0),"open")</f>
        <v>ok</v>
      </c>
      <c r="C5088" s="149" t="s">
        <v>369</v>
      </c>
      <c r="D5088" t="s">
        <v>7329</v>
      </c>
      <c r="E5088" t="s">
        <v>7341</v>
      </c>
      <c r="F5088" s="150" t="s">
        <v>7341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on track</v>
      </c>
      <c r="Q5088" s="3">
        <f ca="1">IF(Proc[[#This Row],[DateClosed]]="",ABS(NETWORKDAYS(Proc[[#This Row],[DateOpened]],TODAY()))-1,ABS(NETWORKDAYS(Proc[[#This Row],[DateOpened]],Proc[[#This Row],[DateClosed]]))-1)</f>
        <v>5</v>
      </c>
      <c r="R5088" s="175" t="s">
        <v>489</v>
      </c>
      <c r="S5088" s="150"/>
    </row>
    <row r="5089" spans="1:19" hidden="1">
      <c r="A5089" s="149" t="s">
        <v>7304</v>
      </c>
      <c r="B5089" s="150" t="str">
        <f>IFERROR(VLOOKUP(Proc[[#This Row],[App]],Table2[],3,0),"open")</f>
        <v>ok</v>
      </c>
      <c r="C5089" s="149" t="s">
        <v>369</v>
      </c>
      <c r="D5089" t="s">
        <v>7330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on track</v>
      </c>
      <c r="Q5089" s="3">
        <f ca="1">IF(Proc[[#This Row],[DateClosed]]="",ABS(NETWORKDAYS(Proc[[#This Row],[DateOpened]],TODAY()))-1,ABS(NETWORKDAYS(Proc[[#This Row],[DateOpened]],Proc[[#This Row],[DateClosed]]))-1)</f>
        <v>5</v>
      </c>
      <c r="R5089" s="175" t="s">
        <v>489</v>
      </c>
      <c r="S5089" s="150"/>
    </row>
    <row r="5090" spans="1:19">
      <c r="A5090" t="s">
        <v>7343</v>
      </c>
      <c r="B5090" s="150" t="str">
        <f>IFERROR(VLOOKUP(Proc[[#This Row],[App]],Table2[],3,0),"open")</f>
        <v>open</v>
      </c>
      <c r="C5090" s="149" t="s">
        <v>692</v>
      </c>
      <c r="D5090" t="s">
        <v>7342</v>
      </c>
      <c r="E5090" t="s">
        <v>4829</v>
      </c>
      <c r="F5090" s="150"/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on track</v>
      </c>
      <c r="Q5090" s="3">
        <f ca="1">IF(Proc[[#This Row],[DateClosed]]="",ABS(NETWORKDAYS(Proc[[#This Row],[DateOpened]],TODAY()))-1,ABS(NETWORKDAYS(Proc[[#This Row],[DateOpened]],Proc[[#This Row],[DateClosed]]))-1)</f>
        <v>5</v>
      </c>
      <c r="R5090" s="175" t="s">
        <v>415</v>
      </c>
      <c r="S5090" s="150"/>
    </row>
    <row r="5091" spans="1:19" hidden="1">
      <c r="A5091" t="s">
        <v>7352</v>
      </c>
      <c r="B5091" s="150" t="str">
        <f>IFERROR(VLOOKUP(Proc[[#This Row],[App]],Table2[],3,0),"open")</f>
        <v>ok</v>
      </c>
      <c r="C5091" s="149" t="s">
        <v>369</v>
      </c>
      <c r="D5091" t="s">
        <v>7344</v>
      </c>
      <c r="E5091" t="s">
        <v>7349</v>
      </c>
      <c r="F5091" s="150" t="s">
        <v>7349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6435</v>
      </c>
      <c r="M5091" s="175">
        <v>45999</v>
      </c>
      <c r="N5091" s="175"/>
      <c r="O5091" s="175"/>
      <c r="P5091" s="175" t="str">
        <f ca="1">IF(Proc[[#This Row],[DaysAgeing]]&gt;5,"yep","on track")</f>
        <v>on track</v>
      </c>
      <c r="Q5091" s="3">
        <f ca="1">IF(Proc[[#This Row],[DateClosed]]="",ABS(NETWORKDAYS(Proc[[#This Row],[DateOpened]],TODAY()))-1,ABS(NETWORKDAYS(Proc[[#This Row],[DateOpened]],Proc[[#This Row],[DateClosed]]))-1)</f>
        <v>5</v>
      </c>
      <c r="R5091" s="175" t="s">
        <v>489</v>
      </c>
      <c r="S5091" s="150"/>
    </row>
    <row r="5092" spans="1:19" hidden="1">
      <c r="A5092" s="149" t="s">
        <v>7352</v>
      </c>
      <c r="B5092" s="150" t="str">
        <f>IFERROR(VLOOKUP(Proc[[#This Row],[App]],Table2[],3,0),"open")</f>
        <v>ok</v>
      </c>
      <c r="C5092" s="149" t="s">
        <v>369</v>
      </c>
      <c r="D5092" t="s">
        <v>7345</v>
      </c>
      <c r="E5092" t="s">
        <v>7350</v>
      </c>
      <c r="F5092" s="149" t="s">
        <v>7350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6435</v>
      </c>
      <c r="M5092" s="175">
        <v>45999</v>
      </c>
      <c r="N5092" s="175"/>
      <c r="O5092" s="175"/>
      <c r="P5092" s="175" t="str">
        <f ca="1">IF(Proc[[#This Row],[DaysAgeing]]&gt;5,"yep","on track")</f>
        <v>on track</v>
      </c>
      <c r="Q5092" s="3">
        <f ca="1">IF(Proc[[#This Row],[DateClosed]]="",ABS(NETWORKDAYS(Proc[[#This Row],[DateOpened]],TODAY()))-1,ABS(NETWORKDAYS(Proc[[#This Row],[DateOpened]],Proc[[#This Row],[DateClosed]]))-1)</f>
        <v>5</v>
      </c>
      <c r="R5092" s="175" t="s">
        <v>489</v>
      </c>
      <c r="S5092" s="150"/>
    </row>
    <row r="5093" spans="1:19" hidden="1">
      <c r="A5093" s="149" t="s">
        <v>7352</v>
      </c>
      <c r="B5093" s="150" t="str">
        <f>IFERROR(VLOOKUP(Proc[[#This Row],[App]],Table2[],3,0),"open")</f>
        <v>ok</v>
      </c>
      <c r="C5093" s="149" t="s">
        <v>369</v>
      </c>
      <c r="D5093" t="s">
        <v>7346</v>
      </c>
      <c r="E5093" t="s">
        <v>7350</v>
      </c>
      <c r="F5093" s="150" t="s">
        <v>7350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6435</v>
      </c>
      <c r="M5093" s="175">
        <v>45999</v>
      </c>
      <c r="N5093" s="175"/>
      <c r="O5093" s="175"/>
      <c r="P5093" s="175" t="str">
        <f ca="1">IF(Proc[[#This Row],[DaysAgeing]]&gt;5,"yep","on track")</f>
        <v>on track</v>
      </c>
      <c r="Q5093" s="3">
        <f ca="1">IF(Proc[[#This Row],[DateClosed]]="",ABS(NETWORKDAYS(Proc[[#This Row],[DateOpened]],TODAY()))-1,ABS(NETWORKDAYS(Proc[[#This Row],[DateOpened]],Proc[[#This Row],[DateClosed]]))-1)</f>
        <v>5</v>
      </c>
      <c r="R5093" s="175" t="s">
        <v>489</v>
      </c>
      <c r="S5093" s="150"/>
    </row>
    <row r="5094" spans="1:19" hidden="1">
      <c r="A5094" s="149" t="s">
        <v>7352</v>
      </c>
      <c r="B5094" s="150" t="str">
        <f>IFERROR(VLOOKUP(Proc[[#This Row],[App]],Table2[],3,0),"open")</f>
        <v>ok</v>
      </c>
      <c r="C5094" s="149" t="s">
        <v>369</v>
      </c>
      <c r="D5094" t="s">
        <v>7347</v>
      </c>
      <c r="E5094" t="s">
        <v>7350</v>
      </c>
      <c r="F5094" s="150" t="s">
        <v>7350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6435</v>
      </c>
      <c r="M5094" s="175">
        <v>45999</v>
      </c>
      <c r="N5094" s="175"/>
      <c r="O5094" s="175"/>
      <c r="P5094" s="175" t="str">
        <f ca="1">IF(Proc[[#This Row],[DaysAgeing]]&gt;5,"yep","on track")</f>
        <v>on track</v>
      </c>
      <c r="Q5094" s="3">
        <f ca="1">IF(Proc[[#This Row],[DateClosed]]="",ABS(NETWORKDAYS(Proc[[#This Row],[DateOpened]],TODAY()))-1,ABS(NETWORKDAYS(Proc[[#This Row],[DateOpened]],Proc[[#This Row],[DateClosed]]))-1)</f>
        <v>5</v>
      </c>
      <c r="R5094" s="175" t="s">
        <v>489</v>
      </c>
      <c r="S5094" s="150"/>
    </row>
    <row r="5095" spans="1:19" hidden="1">
      <c r="A5095" s="149" t="s">
        <v>7352</v>
      </c>
      <c r="B5095" s="150" t="str">
        <f>IFERROR(VLOOKUP(Proc[[#This Row],[App]],Table2[],3,0),"open")</f>
        <v>ok</v>
      </c>
      <c r="C5095" s="149" t="s">
        <v>369</v>
      </c>
      <c r="D5095" t="s">
        <v>7348</v>
      </c>
      <c r="E5095" t="s">
        <v>7351</v>
      </c>
      <c r="F5095" s="150" t="s">
        <v>7351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6435</v>
      </c>
      <c r="M5095" s="175">
        <v>45999</v>
      </c>
      <c r="N5095" s="175"/>
      <c r="O5095" s="175"/>
      <c r="P5095" s="175" t="str">
        <f ca="1">IF(Proc[[#This Row],[DaysAgeing]]&gt;5,"yep","on track")</f>
        <v>on track</v>
      </c>
      <c r="Q5095" s="3">
        <f ca="1">IF(Proc[[#This Row],[DateClosed]]="",ABS(NETWORKDAYS(Proc[[#This Row],[DateOpened]],TODAY()))-1,ABS(NETWORKDAYS(Proc[[#This Row],[DateOpened]],Proc[[#This Row],[DateClosed]]))-1)</f>
        <v>5</v>
      </c>
      <c r="R5095" s="175" t="s">
        <v>489</v>
      </c>
      <c r="S5095" s="150"/>
    </row>
    <row r="5096" spans="1:19" hidden="1">
      <c r="A5096" t="s">
        <v>7353</v>
      </c>
      <c r="B5096" s="150" t="str">
        <f>IFERROR(VLOOKUP(Proc[[#This Row],[App]],Table2[],3,0),"open")</f>
        <v>ok</v>
      </c>
      <c r="C5096" s="149" t="s">
        <v>369</v>
      </c>
      <c r="D5096" t="s">
        <v>7354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6435</v>
      </c>
      <c r="M5096" s="175">
        <v>46001</v>
      </c>
      <c r="N5096" s="175"/>
      <c r="O5096" s="175"/>
      <c r="P5096" s="175" t="str">
        <f ca="1">IF(Proc[[#This Row],[DaysAgeing]]&gt;5,"yep","on track")</f>
        <v>on track</v>
      </c>
      <c r="Q5096" s="3">
        <f ca="1">IF(Proc[[#This Row],[DateClosed]]="",ABS(NETWORKDAYS(Proc[[#This Row],[DateOpened]],TODAY()))-1,ABS(NETWORKDAYS(Proc[[#This Row],[DateOpened]],Proc[[#This Row],[DateClosed]]))-1)</f>
        <v>3</v>
      </c>
      <c r="R5096" s="175" t="s">
        <v>5709</v>
      </c>
      <c r="S5096" s="150"/>
    </row>
    <row r="5097" spans="1:19" hidden="1">
      <c r="A5097" s="149" t="s">
        <v>7353</v>
      </c>
      <c r="B5097" s="150" t="str">
        <f>IFERROR(VLOOKUP(Proc[[#This Row],[App]],Table2[],3,0),"open")</f>
        <v>ok</v>
      </c>
      <c r="C5097" s="149" t="s">
        <v>369</v>
      </c>
      <c r="D5097" t="s">
        <v>7355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6435</v>
      </c>
      <c r="M5097" s="175">
        <v>46001</v>
      </c>
      <c r="N5097" s="175"/>
      <c r="O5097" s="175"/>
      <c r="P5097" s="175" t="str">
        <f ca="1">IF(Proc[[#This Row],[DaysAgeing]]&gt;5,"yep","on track")</f>
        <v>on track</v>
      </c>
      <c r="Q5097" s="3">
        <f ca="1">IF(Proc[[#This Row],[DateClosed]]="",ABS(NETWORKDAYS(Proc[[#This Row],[DateOpened]],TODAY()))-1,ABS(NETWORKDAYS(Proc[[#This Row],[DateOpened]],Proc[[#This Row],[DateClosed]]))-1)</f>
        <v>3</v>
      </c>
      <c r="R5097" s="175" t="s">
        <v>5709</v>
      </c>
      <c r="S5097" s="150"/>
    </row>
    <row r="5098" spans="1:19" hidden="1">
      <c r="A5098" s="149" t="s">
        <v>7353</v>
      </c>
      <c r="B5098" s="150" t="str">
        <f>IFERROR(VLOOKUP(Proc[[#This Row],[App]],Table2[],3,0),"open")</f>
        <v>ok</v>
      </c>
      <c r="C5098" s="149" t="s">
        <v>369</v>
      </c>
      <c r="D5098" t="s">
        <v>7356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6435</v>
      </c>
      <c r="M5098" s="175">
        <v>46001</v>
      </c>
      <c r="N5098" s="175"/>
      <c r="O5098" s="175"/>
      <c r="P5098" s="175" t="str">
        <f ca="1">IF(Proc[[#This Row],[DaysAgeing]]&gt;5,"yep","on track")</f>
        <v>on track</v>
      </c>
      <c r="Q5098" s="3">
        <f ca="1">IF(Proc[[#This Row],[DateClosed]]="",ABS(NETWORKDAYS(Proc[[#This Row],[DateOpened]],TODAY()))-1,ABS(NETWORKDAYS(Proc[[#This Row],[DateOpened]],Proc[[#This Row],[DateClosed]]))-1)</f>
        <v>3</v>
      </c>
      <c r="R5098" s="175" t="s">
        <v>5709</v>
      </c>
      <c r="S5098" s="150"/>
    </row>
    <row r="5099" spans="1:19" hidden="1">
      <c r="A5099" s="149" t="s">
        <v>7353</v>
      </c>
      <c r="B5099" s="150" t="str">
        <f>IFERROR(VLOOKUP(Proc[[#This Row],[App]],Table2[],3,0),"open")</f>
        <v>ok</v>
      </c>
      <c r="C5099" s="149" t="s">
        <v>369</v>
      </c>
      <c r="D5099" t="s">
        <v>7357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6435</v>
      </c>
      <c r="M5099" s="175">
        <v>46001</v>
      </c>
      <c r="N5099" s="175"/>
      <c r="O5099" s="175"/>
      <c r="P5099" s="175" t="str">
        <f ca="1">IF(Proc[[#This Row],[DaysAgeing]]&gt;5,"yep","on track")</f>
        <v>on track</v>
      </c>
      <c r="Q5099" s="3">
        <f ca="1">IF(Proc[[#This Row],[DateClosed]]="",ABS(NETWORKDAYS(Proc[[#This Row],[DateOpened]],TODAY()))-1,ABS(NETWORKDAYS(Proc[[#This Row],[DateOpened]],Proc[[#This Row],[DateClosed]]))-1)</f>
        <v>3</v>
      </c>
      <c r="R5099" s="175" t="s">
        <v>5709</v>
      </c>
      <c r="S5099" s="150"/>
    </row>
    <row r="5100" spans="1:19" hidden="1">
      <c r="A5100" s="149" t="s">
        <v>7353</v>
      </c>
      <c r="B5100" s="150" t="str">
        <f>IFERROR(VLOOKUP(Proc[[#This Row],[App]],Table2[],3,0),"open")</f>
        <v>ok</v>
      </c>
      <c r="C5100" s="149" t="s">
        <v>369</v>
      </c>
      <c r="D5100" t="s">
        <v>7358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6435</v>
      </c>
      <c r="M5100" s="175">
        <v>46001</v>
      </c>
      <c r="N5100" s="175"/>
      <c r="O5100" s="175"/>
      <c r="P5100" s="175" t="str">
        <f ca="1">IF(Proc[[#This Row],[DaysAgeing]]&gt;5,"yep","on track")</f>
        <v>on track</v>
      </c>
      <c r="Q5100" s="3">
        <f ca="1">IF(Proc[[#This Row],[DateClosed]]="",ABS(NETWORKDAYS(Proc[[#This Row],[DateOpened]],TODAY()))-1,ABS(NETWORKDAYS(Proc[[#This Row],[DateOpened]],Proc[[#This Row],[DateClosed]]))-1)</f>
        <v>3</v>
      </c>
      <c r="R5100" s="175" t="s">
        <v>5709</v>
      </c>
      <c r="S5100" s="150"/>
    </row>
    <row r="5101" spans="1:19" hidden="1">
      <c r="A5101" s="149" t="s">
        <v>7353</v>
      </c>
      <c r="B5101" s="150" t="str">
        <f>IFERROR(VLOOKUP(Proc[[#This Row],[App]],Table2[],3,0),"open")</f>
        <v>ok</v>
      </c>
      <c r="C5101" s="149" t="s">
        <v>369</v>
      </c>
      <c r="D5101" t="s">
        <v>7359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6435</v>
      </c>
      <c r="M5101" s="175">
        <v>46001</v>
      </c>
      <c r="N5101" s="175"/>
      <c r="O5101" s="175"/>
      <c r="P5101" s="175" t="str">
        <f ca="1">IF(Proc[[#This Row],[DaysAgeing]]&gt;5,"yep","on track")</f>
        <v>on track</v>
      </c>
      <c r="Q5101" s="3">
        <f ca="1">IF(Proc[[#This Row],[DateClosed]]="",ABS(NETWORKDAYS(Proc[[#This Row],[DateOpened]],TODAY()))-1,ABS(NETWORKDAYS(Proc[[#This Row],[DateOpened]],Proc[[#This Row],[DateClosed]]))-1)</f>
        <v>3</v>
      </c>
      <c r="R5101" s="175" t="s">
        <v>5709</v>
      </c>
      <c r="S5101" s="150"/>
    </row>
    <row r="5102" spans="1:19" hidden="1">
      <c r="A5102" s="149" t="s">
        <v>7353</v>
      </c>
      <c r="B5102" s="150" t="str">
        <f>IFERROR(VLOOKUP(Proc[[#This Row],[App]],Table2[],3,0),"open")</f>
        <v>ok</v>
      </c>
      <c r="C5102" s="149" t="s">
        <v>369</v>
      </c>
      <c r="D5102" t="s">
        <v>7360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6435</v>
      </c>
      <c r="M5102" s="175">
        <v>46001</v>
      </c>
      <c r="N5102" s="175"/>
      <c r="O5102" s="175"/>
      <c r="P5102" s="175" t="str">
        <f ca="1">IF(Proc[[#This Row],[DaysAgeing]]&gt;5,"yep","on track")</f>
        <v>on track</v>
      </c>
      <c r="Q5102" s="3">
        <f ca="1">IF(Proc[[#This Row],[DateClosed]]="",ABS(NETWORKDAYS(Proc[[#This Row],[DateOpened]],TODAY()))-1,ABS(NETWORKDAYS(Proc[[#This Row],[DateOpened]],Proc[[#This Row],[DateClosed]]))-1)</f>
        <v>3</v>
      </c>
      <c r="R5102" s="175" t="s">
        <v>5709</v>
      </c>
      <c r="S5102" s="150"/>
    </row>
    <row r="5103" spans="1:19" hidden="1">
      <c r="A5103" s="149" t="s">
        <v>7353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6435</v>
      </c>
      <c r="M5103" s="175">
        <v>46001</v>
      </c>
      <c r="N5103" s="175"/>
      <c r="O5103" s="175"/>
      <c r="P5103" s="175" t="str">
        <f ca="1">IF(Proc[[#This Row],[DaysAgeing]]&gt;5,"yep","on track")</f>
        <v>on track</v>
      </c>
      <c r="Q5103" s="3">
        <f ca="1">IF(Proc[[#This Row],[DateClosed]]="",ABS(NETWORKDAYS(Proc[[#This Row],[DateOpened]],TODAY()))-1,ABS(NETWORKDAYS(Proc[[#This Row],[DateOpened]],Proc[[#This Row],[DateClosed]]))-1)</f>
        <v>3</v>
      </c>
      <c r="R5103" s="175" t="s">
        <v>5709</v>
      </c>
      <c r="S5103" s="150"/>
    </row>
    <row r="5104" spans="1:19">
      <c r="A5104" t="s">
        <v>7364</v>
      </c>
      <c r="B5104" s="150" t="str">
        <f>IFERROR(VLOOKUP(Proc[[#This Row],[App]],Table2[],3,0),"open")</f>
        <v>open</v>
      </c>
      <c r="C5104" t="s">
        <v>369</v>
      </c>
      <c r="D5104" t="s">
        <v>7366</v>
      </c>
      <c r="E5104" t="s">
        <v>7365</v>
      </c>
      <c r="F5104" s="150" t="s">
        <v>7365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6435</v>
      </c>
      <c r="M5104" s="176">
        <v>46003</v>
      </c>
      <c r="N5104" s="176"/>
      <c r="O5104" s="176"/>
      <c r="P5104" s="176" t="str">
        <f ca="1">IF(Proc[[#This Row],[DaysAgeing]]&gt;5,"yep","on track")</f>
        <v>on track</v>
      </c>
      <c r="Q5104" s="3">
        <f ca="1">IF(Proc[[#This Row],[DateClosed]]="",ABS(NETWORKDAYS(Proc[[#This Row],[DateOpened]],TODAY()))-1,ABS(NETWORKDAYS(Proc[[#This Row],[DateOpened]],Proc[[#This Row],[DateClosed]]))-1)</f>
        <v>1</v>
      </c>
      <c r="R5104" s="176" t="s">
        <v>780</v>
      </c>
      <c r="S5104" s="150"/>
    </row>
    <row r="5105" spans="1:19">
      <c r="A5105" t="s">
        <v>7364</v>
      </c>
      <c r="B5105" s="150" t="str">
        <f>IFERROR(VLOOKUP(Proc[[#This Row],[App]],Table2[],3,0),"open")</f>
        <v>open</v>
      </c>
      <c r="C5105" s="149" t="s">
        <v>692</v>
      </c>
      <c r="D5105" t="s">
        <v>7367</v>
      </c>
      <c r="E5105" t="s">
        <v>2467</v>
      </c>
      <c r="F5105" s="150"/>
      <c r="G5105" s="149" t="s">
        <v>400</v>
      </c>
      <c r="H5105" s="150" t="str">
        <f>IF(Proc[[#This Row],[type]]="LFF (MDG-F)",MID(Proc[[#This Row],[Obj]],13,10),"")</f>
        <v/>
      </c>
      <c r="J5105" s="150" t="b">
        <f>Proc[[#This Row],[Requested]]=Proc[[#This Row],[CurrentParent]]</f>
        <v>0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6435</v>
      </c>
      <c r="M5105" s="176">
        <v>46003</v>
      </c>
      <c r="N5105" s="176"/>
      <c r="O5105" s="176"/>
      <c r="P5105" s="176" t="str">
        <f ca="1">IF(Proc[[#This Row],[DaysAgeing]]&gt;5,"yep","on track")</f>
        <v>on track</v>
      </c>
      <c r="Q5105" s="3">
        <f ca="1">IF(Proc[[#This Row],[DateClosed]]="",ABS(NETWORKDAYS(Proc[[#This Row],[DateOpened]],TODAY()))-1,ABS(NETWORKDAYS(Proc[[#This Row],[DateOpened]],Proc[[#This Row],[DateClosed]]))-1)</f>
        <v>1</v>
      </c>
      <c r="R5105" s="176" t="s">
        <v>780</v>
      </c>
      <c r="S5105" s="150"/>
    </row>
    <row r="5106" spans="1:19">
      <c r="A5106" s="149" t="s">
        <v>7364</v>
      </c>
      <c r="B5106" s="150" t="str">
        <f>IFERROR(VLOOKUP(Proc[[#This Row],[App]],Table2[],3,0),"open")</f>
        <v>open</v>
      </c>
      <c r="C5106" s="149" t="s">
        <v>369</v>
      </c>
      <c r="D5106" t="s">
        <v>7361</v>
      </c>
      <c r="E5106" t="s">
        <v>6828</v>
      </c>
      <c r="F5106" s="150" t="s">
        <v>6828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6435</v>
      </c>
      <c r="M5106" s="176">
        <v>46003</v>
      </c>
      <c r="N5106" s="176"/>
      <c r="O5106" s="176"/>
      <c r="P5106" s="176" t="str">
        <f ca="1">IF(Proc[[#This Row],[DaysAgeing]]&gt;5,"yep","on track")</f>
        <v>on track</v>
      </c>
      <c r="Q5106" s="3">
        <f ca="1">IF(Proc[[#This Row],[DateClosed]]="",ABS(NETWORKDAYS(Proc[[#This Row],[DateOpened]],TODAY()))-1,ABS(NETWORKDAYS(Proc[[#This Row],[DateOpened]],Proc[[#This Row],[DateClosed]]))-1)</f>
        <v>1</v>
      </c>
      <c r="R5106" s="176" t="s">
        <v>780</v>
      </c>
      <c r="S5106" s="150"/>
    </row>
    <row r="5107" spans="1:19">
      <c r="A5107" s="149" t="s">
        <v>7364</v>
      </c>
      <c r="B5107" s="150" t="str">
        <f>IFERROR(VLOOKUP(Proc[[#This Row],[App]],Table2[],3,0),"open")</f>
        <v>open</v>
      </c>
      <c r="C5107" s="149" t="s">
        <v>369</v>
      </c>
      <c r="D5107" t="s">
        <v>7362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6435</v>
      </c>
      <c r="M5107" s="176">
        <v>46003</v>
      </c>
      <c r="N5107" s="176"/>
      <c r="O5107" s="176"/>
      <c r="P5107" s="176" t="str">
        <f ca="1">IF(Proc[[#This Row],[DaysAgeing]]&gt;5,"yep","on track")</f>
        <v>on track</v>
      </c>
      <c r="Q5107" s="3">
        <f ca="1">IF(Proc[[#This Row],[DateClosed]]="",ABS(NETWORKDAYS(Proc[[#This Row],[DateOpened]],TODAY()))-1,ABS(NETWORKDAYS(Proc[[#This Row],[DateOpened]],Proc[[#This Row],[DateClosed]]))-1)</f>
        <v>1</v>
      </c>
      <c r="R5107" s="176" t="s">
        <v>780</v>
      </c>
      <c r="S5107" s="150"/>
    </row>
    <row r="5108" spans="1:19">
      <c r="A5108" s="149" t="s">
        <v>7364</v>
      </c>
      <c r="B5108" s="150" t="str">
        <f>IFERROR(VLOOKUP(Proc[[#This Row],[App]],Table2[],3,0),"open")</f>
        <v>open</v>
      </c>
      <c r="C5108" s="149" t="s">
        <v>369</v>
      </c>
      <c r="D5108" t="s">
        <v>7363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6435</v>
      </c>
      <c r="M5108" s="176">
        <v>46003</v>
      </c>
      <c r="N5108" s="176"/>
      <c r="O5108" s="176"/>
      <c r="P5108" s="176" t="str">
        <f ca="1">IF(Proc[[#This Row],[DaysAgeing]]&gt;5,"yep","on track")</f>
        <v>on track</v>
      </c>
      <c r="Q5108" s="3">
        <f ca="1">IF(Proc[[#This Row],[DateClosed]]="",ABS(NETWORKDAYS(Proc[[#This Row],[DateOpened]],TODAY()))-1,ABS(NETWORKDAYS(Proc[[#This Row],[DateOpened]],Proc[[#This Row],[DateClosed]]))-1)</f>
        <v>1</v>
      </c>
      <c r="R5108" s="176" t="s">
        <v>780</v>
      </c>
      <c r="S5108" s="150"/>
    </row>
    <row r="5109" spans="1:19">
      <c r="A5109" t="s">
        <v>7371</v>
      </c>
      <c r="B5109" s="150" t="str">
        <f>IFERROR(VLOOKUP(Proc[[#This Row],[App]],Table2[],3,0),"open")</f>
        <v>open</v>
      </c>
      <c r="C5109" s="149" t="s">
        <v>369</v>
      </c>
      <c r="D5109" t="s">
        <v>7368</v>
      </c>
      <c r="E5109" t="s">
        <v>7372</v>
      </c>
      <c r="F5109" s="150" t="s">
        <v>7372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6435</v>
      </c>
      <c r="M5109" s="176">
        <v>46006</v>
      </c>
      <c r="N5109" s="177"/>
      <c r="O5109" s="177"/>
      <c r="P5109" s="177" t="str">
        <f ca="1">IF(Proc[[#This Row],[DaysAgeing]]&gt;5,"yep","on track")</f>
        <v>on track</v>
      </c>
      <c r="Q5109" s="3">
        <f ca="1">IF(Proc[[#This Row],[DateClosed]]="",ABS(NETWORKDAYS(Proc[[#This Row],[DateOpened]],TODAY()))-1,ABS(NETWORKDAYS(Proc[[#This Row],[DateOpened]],Proc[[#This Row],[DateClosed]]))-1)</f>
        <v>0</v>
      </c>
      <c r="R5109" s="177" t="s">
        <v>489</v>
      </c>
      <c r="S5109" s="150"/>
    </row>
    <row r="5110" spans="1:19">
      <c r="A5110" t="s">
        <v>7371</v>
      </c>
      <c r="B5110" s="150" t="str">
        <f>IFERROR(VLOOKUP(Proc[[#This Row],[App]],Table2[],3,0),"open")</f>
        <v>open</v>
      </c>
      <c r="C5110" s="149" t="s">
        <v>369</v>
      </c>
      <c r="D5110" t="s">
        <v>3472</v>
      </c>
      <c r="E5110" t="s">
        <v>6956</v>
      </c>
      <c r="F5110" s="150" t="s">
        <v>6956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6435</v>
      </c>
      <c r="M5110" s="176">
        <v>46006</v>
      </c>
      <c r="N5110" s="177"/>
      <c r="O5110" s="177"/>
      <c r="P5110" s="177" t="str">
        <f ca="1">IF(Proc[[#This Row],[DaysAgeing]]&gt;5,"yep","on track")</f>
        <v>on track</v>
      </c>
      <c r="Q5110" s="3">
        <f ca="1">IF(Proc[[#This Row],[DateClosed]]="",ABS(NETWORKDAYS(Proc[[#This Row],[DateOpened]],TODAY()))-1,ABS(NETWORKDAYS(Proc[[#This Row],[DateOpened]],Proc[[#This Row],[DateClosed]]))-1)</f>
        <v>0</v>
      </c>
      <c r="R5110" s="177" t="s">
        <v>489</v>
      </c>
      <c r="S5110" s="150"/>
    </row>
    <row r="5111" spans="1:19">
      <c r="A5111" s="149" t="s">
        <v>7371</v>
      </c>
      <c r="B5111" s="150" t="str">
        <f>IFERROR(VLOOKUP(Proc[[#This Row],[App]],Table2[],3,0),"open")</f>
        <v>open</v>
      </c>
      <c r="C5111" s="149" t="s">
        <v>369</v>
      </c>
      <c r="D5111" t="s">
        <v>3456</v>
      </c>
      <c r="E5111" t="s">
        <v>6956</v>
      </c>
      <c r="F5111" s="150" t="s">
        <v>6956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6435</v>
      </c>
      <c r="M5111" s="176">
        <v>46006</v>
      </c>
      <c r="N5111" s="177"/>
      <c r="O5111" s="177"/>
      <c r="P5111" s="177" t="str">
        <f ca="1">IF(Proc[[#This Row],[DaysAgeing]]&gt;5,"yep","on track")</f>
        <v>on track</v>
      </c>
      <c r="Q5111" s="3">
        <f ca="1">IF(Proc[[#This Row],[DateClosed]]="",ABS(NETWORKDAYS(Proc[[#This Row],[DateOpened]],TODAY()))-1,ABS(NETWORKDAYS(Proc[[#This Row],[DateOpened]],Proc[[#This Row],[DateClosed]]))-1)</f>
        <v>0</v>
      </c>
      <c r="R5111" s="177" t="s">
        <v>489</v>
      </c>
      <c r="S5111" s="150"/>
    </row>
    <row r="5112" spans="1:19">
      <c r="A5112" s="149" t="s">
        <v>7371</v>
      </c>
      <c r="B5112" s="150" t="str">
        <f>IFERROR(VLOOKUP(Proc[[#This Row],[App]],Table2[],3,0),"open")</f>
        <v>open</v>
      </c>
      <c r="C5112" s="149" t="s">
        <v>369</v>
      </c>
      <c r="D5112" t="s">
        <v>7369</v>
      </c>
      <c r="E5112" t="s">
        <v>7373</v>
      </c>
      <c r="F5112" s="150" t="s">
        <v>7373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6435</v>
      </c>
      <c r="M5112" s="176">
        <v>46006</v>
      </c>
      <c r="N5112" s="177"/>
      <c r="O5112" s="177"/>
      <c r="P5112" s="177" t="str">
        <f ca="1">IF(Proc[[#This Row],[DaysAgeing]]&gt;5,"yep","on track")</f>
        <v>on track</v>
      </c>
      <c r="Q5112" s="3">
        <f ca="1">IF(Proc[[#This Row],[DateClosed]]="",ABS(NETWORKDAYS(Proc[[#This Row],[DateOpened]],TODAY()))-1,ABS(NETWORKDAYS(Proc[[#This Row],[DateOpened]],Proc[[#This Row],[DateClosed]]))-1)</f>
        <v>0</v>
      </c>
      <c r="R5112" s="177" t="s">
        <v>489</v>
      </c>
      <c r="S5112" s="150"/>
    </row>
    <row r="5113" spans="1:19">
      <c r="A5113" s="149" t="s">
        <v>7371</v>
      </c>
      <c r="B5113" s="150" t="str">
        <f>IFERROR(VLOOKUP(Proc[[#This Row],[App]],Table2[],3,0),"open")</f>
        <v>open</v>
      </c>
      <c r="C5113" s="149" t="s">
        <v>369</v>
      </c>
      <c r="D5113" t="s">
        <v>7370</v>
      </c>
      <c r="E5113" t="s">
        <v>7374</v>
      </c>
      <c r="F5113" s="150" t="s">
        <v>7374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6435</v>
      </c>
      <c r="M5113" s="176">
        <v>46006</v>
      </c>
      <c r="N5113" s="177"/>
      <c r="O5113" s="177"/>
      <c r="P5113" s="177" t="str">
        <f ca="1">IF(Proc[[#This Row],[DaysAgeing]]&gt;5,"yep","on track")</f>
        <v>on track</v>
      </c>
      <c r="Q5113" s="3">
        <f ca="1">IF(Proc[[#This Row],[DateClosed]]="",ABS(NETWORKDAYS(Proc[[#This Row],[DateOpened]],TODAY()))-1,ABS(NETWORKDAYS(Proc[[#This Row],[DateOpened]],Proc[[#This Row],[DateClosed]]))-1)</f>
        <v>0</v>
      </c>
      <c r="R5113" s="177" t="s">
        <v>489</v>
      </c>
      <c r="S5113" s="150"/>
    </row>
    <row r="5114" spans="1:19">
      <c r="A5114" s="149" t="s">
        <v>7371</v>
      </c>
      <c r="B5114" s="150" t="str">
        <f>IFERROR(VLOOKUP(Proc[[#This Row],[App]],Table2[],3,0),"open")</f>
        <v>open</v>
      </c>
      <c r="C5114" s="149" t="s">
        <v>375</v>
      </c>
      <c r="D5114" t="s">
        <v>3430</v>
      </c>
      <c r="E5114" t="s">
        <v>7375</v>
      </c>
      <c r="F5114" s="150"/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0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6435</v>
      </c>
      <c r="M5114" s="176">
        <v>46006</v>
      </c>
      <c r="N5114" s="177"/>
      <c r="O5114" s="177"/>
      <c r="P5114" s="177" t="str">
        <f ca="1">IF(Proc[[#This Row],[DaysAgeing]]&gt;5,"yep","on track")</f>
        <v>on track</v>
      </c>
      <c r="Q5114" s="3">
        <f ca="1">IF(Proc[[#This Row],[DateClosed]]="",ABS(NETWORKDAYS(Proc[[#This Row],[DateOpened]],TODAY()))-1,ABS(NETWORKDAYS(Proc[[#This Row],[DateOpened]],Proc[[#This Row],[DateClosed]]))-1)</f>
        <v>0</v>
      </c>
      <c r="R5114" s="177" t="s">
        <v>489</v>
      </c>
      <c r="S5114" s="150"/>
    </row>
    <row r="5115" spans="1:19">
      <c r="A5115" t="s">
        <v>7376</v>
      </c>
      <c r="B5115" s="150" t="str">
        <f>IFERROR(VLOOKUP(Proc[[#This Row],[App]],Table2[],3,0),"open")</f>
        <v>open</v>
      </c>
      <c r="C5115" t="s">
        <v>405</v>
      </c>
      <c r="D5115" t="s">
        <v>7378</v>
      </c>
      <c r="E5115" t="s">
        <v>7377</v>
      </c>
      <c r="F5115" s="150"/>
      <c r="G5115" t="s">
        <v>400</v>
      </c>
      <c r="H5115" s="150" t="str">
        <f>IF(Proc[[#This Row],[type]]="LFF (MDG-F)",MID(Proc[[#This Row],[Obj]],13,10),"")</f>
        <v/>
      </c>
      <c r="I5115" t="s">
        <v>7379</v>
      </c>
      <c r="J5115" s="150" t="b">
        <f>Proc[[#This Row],[Requested]]=Proc[[#This Row],[CurrentParent]]</f>
        <v>0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6435</v>
      </c>
      <c r="M5115" s="177">
        <v>46006</v>
      </c>
      <c r="N5115" s="177"/>
      <c r="O5115" s="177"/>
      <c r="P5115" s="177" t="str">
        <f ca="1">IF(Proc[[#This Row],[DaysAgeing]]&gt;5,"yep","on track")</f>
        <v>on track</v>
      </c>
      <c r="Q5115" s="3">
        <f ca="1">IF(Proc[[#This Row],[DateClosed]]="",ABS(NETWORKDAYS(Proc[[#This Row],[DateOpened]],TODAY()))-1,ABS(NETWORKDAYS(Proc[[#This Row],[DateOpened]],Proc[[#This Row],[DateClosed]]))-1)</f>
        <v>0</v>
      </c>
      <c r="R5115" s="177" t="s">
        <v>485</v>
      </c>
      <c r="S5115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G2:G5115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5"/>
  <sheetViews>
    <sheetView topLeftCell="A93" workbookViewId="0">
      <selection activeCell="B148" sqref="B148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2025-12-15T12:17:18Z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