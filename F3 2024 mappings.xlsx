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OneDrive - MerckGroup\Documents\GitHub\GCOHFilesTicketsEtc\"/>
    </mc:Choice>
  </mc:AlternateContent>
  <xr:revisionPtr revIDLastSave="0" documentId="13_ncr:1_{05ADA1BB-35CB-4F43-BF6F-6C3C6E37CAB3}" xr6:coauthVersionLast="47" xr6:coauthVersionMax="47" xr10:uidLastSave="{00000000-0000-0000-0000-000000000000}"/>
  <bookViews>
    <workbookView xWindow="2250" yWindow="2250" windowWidth="21600" windowHeight="11295" firstSheet="4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33" i="1" l="1"/>
  <c r="B2834" i="1"/>
  <c r="B2835" i="1"/>
  <c r="B2836" i="1"/>
  <c r="H2833" i="1"/>
  <c r="H2834" i="1"/>
  <c r="H2835" i="1"/>
  <c r="H2836" i="1"/>
  <c r="J2833" i="1"/>
  <c r="J2834" i="1"/>
  <c r="J2835" i="1"/>
  <c r="J2836" i="1"/>
  <c r="K2833" i="1"/>
  <c r="K2834" i="1"/>
  <c r="K2835" i="1"/>
  <c r="K2836" i="1"/>
  <c r="Q2833" i="1"/>
  <c r="P2833" i="1" s="1"/>
  <c r="Q2834" i="1"/>
  <c r="P2834" i="1" s="1"/>
  <c r="Q2835" i="1"/>
  <c r="P2835" i="1" s="1"/>
  <c r="Q2836" i="1"/>
  <c r="P2836" i="1" s="1"/>
  <c r="B2822" i="1"/>
  <c r="B2823" i="1"/>
  <c r="B2824" i="1"/>
  <c r="B2825" i="1"/>
  <c r="B2826" i="1"/>
  <c r="B2827" i="1"/>
  <c r="B2828" i="1"/>
  <c r="B2829" i="1"/>
  <c r="B2830" i="1"/>
  <c r="B2831" i="1"/>
  <c r="B2832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B2821" i="1"/>
  <c r="H2821" i="1"/>
  <c r="J2821" i="1"/>
  <c r="K2821" i="1"/>
  <c r="Q2821" i="1"/>
  <c r="P2821" i="1" s="1"/>
  <c r="B2814" i="1"/>
  <c r="B2815" i="1"/>
  <c r="B2816" i="1"/>
  <c r="B2817" i="1"/>
  <c r="B2818" i="1"/>
  <c r="B2819" i="1"/>
  <c r="B2820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B2813" i="1" l="1"/>
  <c r="H2813" i="1"/>
  <c r="J2813" i="1"/>
  <c r="K2813" i="1"/>
  <c r="Q2813" i="1"/>
  <c r="P2813" i="1" s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B2502" i="1"/>
  <c r="H2502" i="1"/>
  <c r="J2502" i="1"/>
  <c r="K2502" i="1"/>
  <c r="Q2502" i="1"/>
  <c r="P2502" i="1" s="1"/>
  <c r="B2501" i="1"/>
  <c r="H2501" i="1"/>
  <c r="J2501" i="1"/>
  <c r="K2501" i="1"/>
  <c r="Q2501" i="1"/>
  <c r="P2501" i="1" s="1"/>
  <c r="B2500" i="1" l="1"/>
  <c r="H2500" i="1"/>
  <c r="J2500" i="1"/>
  <c r="K2500" i="1"/>
  <c r="Q2500" i="1"/>
  <c r="P2500" i="1" s="1"/>
  <c r="B2499" i="1" l="1"/>
  <c r="H2499" i="1"/>
  <c r="J2499" i="1"/>
  <c r="K2499" i="1"/>
  <c r="Q2499" i="1"/>
  <c r="P2499" i="1" s="1"/>
  <c r="B2488" i="1"/>
  <c r="B2489" i="1"/>
  <c r="B2490" i="1"/>
  <c r="B2491" i="1"/>
  <c r="B2492" i="1"/>
  <c r="B2493" i="1"/>
  <c r="B2494" i="1"/>
  <c r="B2495" i="1"/>
  <c r="B2496" i="1"/>
  <c r="B2497" i="1"/>
  <c r="B2498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/>
  <c r="B8" i="1" l="1"/>
  <c r="B3" i="1"/>
  <c r="B2" i="1"/>
  <c r="B4" i="1"/>
  <c r="B5" i="1"/>
  <c r="B10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<sst xmlns="http://schemas.openxmlformats.org/spreadsheetml/2006/main" count="25220" uniqueCount="4874">
  <si>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</si>
  <si>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</si>
  <si>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</si>
  <si>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</si>
  <si>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</si>
  <si>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</si>
  <si>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</si>
  <si>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</si>
  <si>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</si>
  <si>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</si>
  <si>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</si>
  <si>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</si>
  <si>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</si>
  <si>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</si>
  <si>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</si>
  <si>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</si>
  <si>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</si>
  <si>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</si>
  <si>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</si>
  <si>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</si>
  <si>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</si>
  <si>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</si>
  <si>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</si>
  <si>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</si>
  <si>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</si>
  <si>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</si>
  <si>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</si>
  <si>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</si>
  <si>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</si>
  <si>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</si>
  <si>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</si>
  <si>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</si>
  <si>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</si>
  <si>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</si>
  <si>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</si>
  <si>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</si>
  <si>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</si>
  <si>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</si>
  <si>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</si>
  <si>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</si>
  <si>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</si>
  <si>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</si>
  <si>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</si>
  <si>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</si>
  <si>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</si>
  <si>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</si>
  <si>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</si>
  <si>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</si>
  <si>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</si>
  <si>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</si>
  <si>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</si>
  <si>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</si>
  <si>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</si>
  <si>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</si>
  <si>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</si>
  <si>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</si>
  <si>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</si>
  <si>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</si>
  <si>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</si>
  <si>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</si>
  <si>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</si>
  <si>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</si>
  <si>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</si>
  <si>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</si>
  <si>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</si>
  <si>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</si>
  <si>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</si>
  <si>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</si>
  <si>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</si>
  <si>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</si>
  <si>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</si>
  <si>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</si>
  <si>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</si>
  <si>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</si>
  <si>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</si>
  <si>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</si>
  <si>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</si>
  <si>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</si>
  <si>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</si>
  <si>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</si>
  <si>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</si>
  <si>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</si>
  <si>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</si>
  <si>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</si>
  <si>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</si>
  <si>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</si>
  <si>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</si>
  <si>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</si>
  <si>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</si>
  <si>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</si>
  <si>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</si>
  <si>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</si>
  <si>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</si>
  <si>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</si>
  <si>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</si>
  <si>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</si>
  <si>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</si>
  <si>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</si>
  <si>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</si>
  <si>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</si>
  <si>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</si>
  <si>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</si>
  <si>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</si>
  <si>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</si>
  <si>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</si>
  <si>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</si>
  <si>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</si>
  <si>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</si>
  <si>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</si>
  <si>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</si>
  <si>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</si>
  <si>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</si>
  <si>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</si>
  <si>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</si>
  <si>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</si>
  <si>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</si>
  <si>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</si>
  <si>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</si>
  <si>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</si>
  <si>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</si>
  <si>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</si>
  <si>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</si>
  <si>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</si>
  <si>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</si>
  <si>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</si>
  <si>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</si>
  <si>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</si>
  <si>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</si>
  <si>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</si>
  <si>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</si>
  <si>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</si>
  <si>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</si>
  <si>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</si>
  <si>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</si>
  <si>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</si>
  <si>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</si>
  <si>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</si>
  <si>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</si>
  <si>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</si>
  <si>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</si>
  <si>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</si>
  <si>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</si>
  <si>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</si>
  <si>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</si>
  <si>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</si>
  <si>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</si>
  <si>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</si>
  <si>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</si>
  <si>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</si>
  <si>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</si>
  <si>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</si>
  <si>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</si>
  <si>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</si>
  <si>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</si>
  <si>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</si>
  <si>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</si>
  <si>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</si>
  <si>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</si>
  <si>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</si>
  <si>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</si>
  <si>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</si>
  <si>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</si>
  <si>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</si>
  <si>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</si>
  <si>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</si>
  <si>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</si>
  <si>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</si>
  <si>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</si>
  <si>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</si>
  <si>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</si>
  <si>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</si>
  <si>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</si>
  <si>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</si>
  <si>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</si>
  <si>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</si>
  <si>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</si>
  <si>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</si>
  <si>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</si>
  <si>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</si>
  <si>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</si>
  <si>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</si>
  <si>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</si>
  <si>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</si>
  <si>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</si>
  <si>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</si>
  <si>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</si>
  <si>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</si>
  <si>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</si>
  <si>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</si>
  <si>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</si>
  <si>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</si>
  <si>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</si>
  <si>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</si>
  <si>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</si>
  <si>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</si>
  <si>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</si>
  <si>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</si>
  <si>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</si>
  <si>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</si>
  <si>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</si>
  <si>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</si>
  <si>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</si>
  <si>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</si>
  <si>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</si>
  <si>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</si>
  <si>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</si>
  <si>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</si>
  <si>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</si>
  <si>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</si>
  <si>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</si>
  <si>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</si>
  <si>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</si>
  <si>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</si>
  <si>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</si>
  <si>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</si>
  <si>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</si>
  <si>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</si>
  <si>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</si>
  <si>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</si>
  <si>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</si>
  <si>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</si>
  <si>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</si>
  <si>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</si>
  <si>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</si>
  <si>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</si>
  <si>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</si>
  <si>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</si>
  <si>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</si>
  <si>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</si>
  <si>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</si>
  <si>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</si>
  <si>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</si>
  <si>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</si>
  <si>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</si>
  <si>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</si>
  <si>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</si>
  <si>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</si>
  <si>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</si>
  <si>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</si>
  <si>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</si>
  <si>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</si>
  <si>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</si>
  <si>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</si>
  <si>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</si>
  <si>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</si>
  <si>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</si>
  <si>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</si>
  <si>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</si>
  <si>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</si>
  <si>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</si>
  <si>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</si>
  <si>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</si>
  <si>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</si>
  <si>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</si>
  <si>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</si>
  <si>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</si>
  <si>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</si>
  <si>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</si>
  <si>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</si>
  <si>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</si>
  <si>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</si>
  <si>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</si>
  <si>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</si>
  <si>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</si>
  <si>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</si>
  <si>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</si>
  <si>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</si>
  <si>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</si>
  <si>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</si>
  <si>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</si>
  <si>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</si>
  <si>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</si>
  <si>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</si>
  <si>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</si>
  <si>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</si>
  <si>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</si>
  <si>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</si>
  <si>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</si>
  <si>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</si>
  <si>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</si>
  <si>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</si>
  <si>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</si>
  <si>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</si>
  <si>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</si>
  <si>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</si>
  <si>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</si>
  <si>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</si>
  <si>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</si>
  <si>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</si>
  <si>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</si>
  <si>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</si>
  <si>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</si>
  <si>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</si>
  <si>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</si>
  <si>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</si>
  <si>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</si>
  <si>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</si>
  <si>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</si>
  <si>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</si>
  <si>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</si>
  <si>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</si>
  <si>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</si>
  <si>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</si>
  <si>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</si>
  <si>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</si>
  <si>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</si>
  <si>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</si>
  <si>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</si>
  <si>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</si>
  <si>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</si>
  <si>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</si>
  <si>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</si>
  <si>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</si>
  <si>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</si>
  <si>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</si>
  <si>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</si>
  <si>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</si>
  <si>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</si>
  <si>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</si>
  <si>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</si>
  <si>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</si>
  <si>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</si>
  <si>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</si>
  <si>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</si>
  <si>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</si>
  <si>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</si>
  <si>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</si>
  <si>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</si>
  <si>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</si>
  <si>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</si>
  <si>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</si>
  <si>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</si>
  <si>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</si>
  <si>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</si>
  <si>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</si>
  <si>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</si>
  <si>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</si>
  <si>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</si>
  <si>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</si>
  <si>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</si>
  <si>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</si>
  <si>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</si>
  <si>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</si>
  <si>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</si>
  <si>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</si>
  <si>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</si>
  <si>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</si>
  <si>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</si>
  <si>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</si>
  <si>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</si>
  <si>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</si>
  <si>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</si>
  <si>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</si>
  <si>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</si>
  <si>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</si>
  <si>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</si>
  <si>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</si>
  <si>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</si>
  <si>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</si>
  <si>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</si>
  <si>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</si>
  <si>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</si>
  <si>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</si>
  <si>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</si>
  <si>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</si>
  <si>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</si>
  <si>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</si>
  <si>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</si>
  <si>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</si>
  <si>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</si>
  <si>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</si>
  <si>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</si>
  <si>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</si>
  <si>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</si>
  <si>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</si>
  <si>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</si>
  <si>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</si>
  <si>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</si>
  <si>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</si>
  <si>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</si>
  <si>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</si>
  <si>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</si>
  <si>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</si>
  <si>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</si>
  <si>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</si>
  <si>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</si>
  <si>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</si>
  <si>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</si>
  <si>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</si>
  <si>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</si>
  <si>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</si>
  <si>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</si>
  <si>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</si>
  <si>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</si>
  <si>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</si>
  <si>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</si>
  <si>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</si>
  <si>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</si>
  <si>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</si>
  <si>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</si>
  <si>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</si>
  <si>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</si>
  <si>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</si>
  <si>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</si>
  <si>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</si>
  <si>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</si>
  <si>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</si>
  <si>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</si>
  <si>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</si>
  <si>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</si>
  <si>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</si>
  <si>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</si>
  <si>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</si>
  <si>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</si>
  <si>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</si>
  <si>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</si>
  <si>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</si>
  <si>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</si>
  <si>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</si>
  <si>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</si>
  <si>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</si>
  <si>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</si>
  <si>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</si>
  <si>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</si>
  <si>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</si>
  <si>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</si>
  <si>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</si>
  <si>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</si>
  <si>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</si>
  <si>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</si>
  <si>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</si>
  <si>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</si>
  <si>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</si>
  <si>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</si>
  <si>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</si>
  <si>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</si>
  <si>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</si>
  <si>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</si>
  <si>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</si>
  <si>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</si>
  <si>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</si>
  <si>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</si>
  <si>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</si>
  <si>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</si>
  <si>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</si>
  <si>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</si>
  <si>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</si>
  <si>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</si>
  <si>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</si>
  <si>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</si>
  <si>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</si>
  <si>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</si>
  <si>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</si>
  <si>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</si>
  <si>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</si>
  <si>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</si>
  <si>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</si>
  <si>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</si>
  <si>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</si>
  <si>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</si>
  <si>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</si>
  <si>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</si>
  <si>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</si>
  <si>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</si>
  <si>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</si>
  <si>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</si>
  <si>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</si>
  <si>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</si>
  <si>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</si>
  <si>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</si>
  <si>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</si>
  <si>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</si>
  <si>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</si>
  <si>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</si>
  <si>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</si>
  <si>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</si>
  <si>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</si>
  <si>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</si>
  <si>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</si>
  <si>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</si>
  <si>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</si>
  <si>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</si>
  <si>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</si>
  <si>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</si>
  <si>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</si>
  <si>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</si>
  <si>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</si>
  <si>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</si>
  <si>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</si>
  <si>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</si>
  <si>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</si>
  <si>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</si>
  <si>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</si>
  <si>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</si>
  <si>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</si>
  <si>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</si>
  <si>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</si>
  <si>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</si>
  <si>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</si>
  <si>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</si>
  <si>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</si>
  <si>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</si>
  <si>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</si>
  <si>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</si>
  <si>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</si>
  <si>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</si>
  <si>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</si>
  <si>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</si>
  <si>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</si>
  <si>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</si>
  <si>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</si>
  <si>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</si>
  <si>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</si>
  <si>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</si>
  <si>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</si>
  <si>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</si>
  <si>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</si>
  <si>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</si>
  <si>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</si>
  <si>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</si>
  <si>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</si>
  <si>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</si>
  <si>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</si>
  <si>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</si>
  <si>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</si>
  <si>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</si>
  <si>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</si>
  <si>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</si>
  <si>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</si>
  <si>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</si>
  <si>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</si>
  <si>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</si>
  <si>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</si>
  <si>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</si>
  <si>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</si>
  <si>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</si>
  <si>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</si>
  <si>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</si>
  <si>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</si>
  <si>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</si>
  <si>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</si>
  <si>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</si>
  <si>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</si>
  <si>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</si>
  <si>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</si>
  <si>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</si>
  <si>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</si>
  <si>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</si>
  <si>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</si>
  <si>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</si>
  <si>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</si>
  <si>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</si>
  <si>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</si>
  <si>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</si>
  <si>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</si>
  <si>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</si>
  <si>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</si>
  <si>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</si>
  <si>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</si>
  <si>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</si>
  <si>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</si>
  <si>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</si>
  <si>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</si>
  <si>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</si>
  <si>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</si>
  <si>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</si>
  <si>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</si>
  <si>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</si>
  <si>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</si>
  <si>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</si>
  <si>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</si>
  <si>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</si>
  <si>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</si>
  <si>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</si>
  <si>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</si>
  <si>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</si>
  <si>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</si>
  <si>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</si>
  <si>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</si>
  <si>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</si>
  <si>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</si>
  <si>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</si>
  <si>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</si>
  <si>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</si>
  <si>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</si>
  <si>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</si>
  <si>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</si>
  <si>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</si>
  <si>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</si>
  <si>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</si>
  <si>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</si>
  <si>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</si>
  <si>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</si>
  <si>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</si>
  <si>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</si>
  <si>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</si>
  <si>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</si>
  <si>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</si>
  <si>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</si>
  <si>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</si>
  <si>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</si>
  <si>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</si>
  <si>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</si>
  <si>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</si>
  <si>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</si>
  <si>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</si>
  <si>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</si>
  <si>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</si>
  <si>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</si>
  <si>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</si>
  <si>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</si>
  <si>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</si>
  <si>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</si>
  <si>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</si>
  <si>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</si>
  <si>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</si>
  <si>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</si>
  <si>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</si>
  <si>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</si>
  <si>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</si>
  <si>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</si>
  <si>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</si>
  <si>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</si>
  <si>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</si>
  <si>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</si>
  <si>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</si>
  <si>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</si>
  <si>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</si>
  <si>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</si>
  <si>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</si>
  <si>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</si>
  <si>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</si>
  <si>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</si>
  <si>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</si>
  <si>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</si>
  <si>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</si>
  <si>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</si>
  <si>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</si>
  <si>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</si>
  <si>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</si>
  <si>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</si>
  <si>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</si>
  <si>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</si>
  <si>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</si>
  <si>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</si>
  <si>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</si>
  <si>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</si>
  <si>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</si>
  <si>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</si>
  <si>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</si>
  <si>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</si>
  <si>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</si>
  <si>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</si>
  <si>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</si>
  <si>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</si>
  <si>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</si>
  <si>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</si>
  <si>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</si>
  <si>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</si>
  <si>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</si>
  <si>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</si>
  <si>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</si>
  <si>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</si>
  <si>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</si>
  <si>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</si>
  <si>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</si>
  <si>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</si>
  <si>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</si>
  <si>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</si>
  <si>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</si>
  <si>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</si>
  <si>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</si>
  <si>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</si>
  <si>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</si>
  <si>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</si>
  <si>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</si>
  <si>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</si>
  <si>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</si>
  <si>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</si>
  <si>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</si>
  <si>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</si>
  <si>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</si>
  <si>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</si>
  <si>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</si>
  <si>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</si>
  <si>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</si>
  <si>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</si>
  <si>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</si>
  <si>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</si>
  <si>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</si>
  <si>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</si>
  <si>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</si>
  <si>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</si>
  <si>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</si>
  <si>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</si>
  <si>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</si>
  <si>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</si>
  <si>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</si>
  <si>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</si>
  <si>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</si>
  <si>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</si>
  <si>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</si>
  <si>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</si>
  <si>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</si>
  <si>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</si>
  <si>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</si>
  <si>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</si>
  <si>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</si>
  <si>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</si>
  <si>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</si>
  <si>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</si>
  <si>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</si>
  <si>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</si>
  <si>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</si>
  <si>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</si>
  <si>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</si>
  <si>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</si>
  <si>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</si>
  <si>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</si>
  <si>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</si>
  <si>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</si>
  <si>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</si>
  <si>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</si>
  <si>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</si>
  <si>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</si>
  <si>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</si>
  <si>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</si>
  <si>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</si>
  <si>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</si>
  <si>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</si>
  <si>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</si>
  <si>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</si>
  <si>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</si>
  <si>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</si>
  <si>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</si>
  <si>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</si>
  <si>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</si>
  <si>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</si>
  <si>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</si>
  <si>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</si>
  <si>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</si>
  <si>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</si>
  <si>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</si>
  <si>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</si>
  <si>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</si>
  <si>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</si>
  <si>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</si>
  <si>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</si>
  <si>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</si>
  <si>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</si>
  <si>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</si>
  <si>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</si>
  <si>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</si>
  <si>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</si>
  <si>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</si>
  <si>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</si>
  <si>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</si>
  <si>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</si>
  <si>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</si>
  <si>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</si>
  <si>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</si>
  <si>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</si>
  <si>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</si>
  <si>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</si>
  <si>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</si>
  <si>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</si>
  <si>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</si>
  <si>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</si>
  <si>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</si>
  <si>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</si>
  <si>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</si>
  <si>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</si>
  <si>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</si>
  <si>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</si>
  <si>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</si>
  <si>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</si>
  <si>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</si>
  <si>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</si>
  <si>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</si>
  <si>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</si>
  <si>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</si>
  <si>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</si>
  <si>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</si>
  <si>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</si>
  <si>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</si>
  <si>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</si>
  <si>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</si>
  <si>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</si>
  <si>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</si>
  <si>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</si>
  <si>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</si>
  <si>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</si>
  <si>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</si>
  <si>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</si>
  <si>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</si>
  <si>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</si>
  <si>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</si>
  <si>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</si>
  <si>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</si>
  <si>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</si>
  <si>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</si>
  <si>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</si>
  <si>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</si>
  <si>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</si>
  <si>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</si>
  <si>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</si>
  <si>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</si>
  <si>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</si>
  <si>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</si>
  <si>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</si>
  <si>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</si>
  <si>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</si>
  <si>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</si>
  <si>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</si>
  <si>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</si>
  <si>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</si>
  <si>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</si>
  <si>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</si>
  <si>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</si>
  <si>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</si>
  <si>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</si>
  <si>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</si>
  <si>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</si>
  <si>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</si>
  <si>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</si>
  <si>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</si>
  <si>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</si>
  <si>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</si>
  <si>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</si>
  <si>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</si>
  <si>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</si>
  <si>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</si>
  <si>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</si>
  <si>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</si>
  <si>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</si>
  <si>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</si>
  <si>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</si>
  <si>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</si>
  <si>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</si>
  <si>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</si>
  <si>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</si>
  <si>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</si>
  <si>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</si>
  <si>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</si>
  <si>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</si>
  <si>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</si>
  <si>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</si>
  <si>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</si>
  <si>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</si>
  <si>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</si>
  <si>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</si>
  <si>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</si>
  <si>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</si>
  <si>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</si>
  <si>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</si>
  <si>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</si>
  <si>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</si>
  <si>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</si>
  <si>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</si>
  <si>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</si>
  <si>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</si>
  <si>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</si>
  <si>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</si>
  <si>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</si>
  <si>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</si>
  <si>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</si>
  <si>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</si>
  <si>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</si>
  <si>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</si>
  <si>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</si>
  <si>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</si>
  <si>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</si>
  <si>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</si>
  <si>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</si>
  <si>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</si>
  <si>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</si>
  <si>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</si>
  <si>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</si>
  <si>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</si>
  <si>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</si>
  <si>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</si>
  <si>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</si>
  <si>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</si>
  <si>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</si>
  <si>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</si>
  <si>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</si>
  <si>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</si>
  <si>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</si>
  <si>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</si>
  <si>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</si>
  <si>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</si>
  <si>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</si>
  <si>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</si>
  <si>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</si>
  <si>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</si>
  <si>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</si>
  <si>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</si>
  <si>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</si>
  <si>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</si>
  <si>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</si>
  <si>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</si>
  <si>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</si>
  <si>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</si>
  <si>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</si>
  <si>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</si>
  <si>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</si>
  <si>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</si>
  <si>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</si>
  <si>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</si>
  <si>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</si>
  <si>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</si>
  <si>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</si>
  <si>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</si>
  <si>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</si>
  <si>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</si>
  <si>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</si>
  <si>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</si>
  <si>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</si>
  <si>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</si>
  <si>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</si>
  <si>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</si>
  <si>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</si>
  <si>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</si>
  <si>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</si>
  <si>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</si>
  <si>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</si>
  <si>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</si>
  <si>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</si>
  <si>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</si>
  <si>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</si>
  <si>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</si>
  <si>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</si>
  <si>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</si>
  <si>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</si>
  <si>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</si>
  <si>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</si>
  <si>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</si>
  <si>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</si>
  <si>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</si>
  <si>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</si>
  <si>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</si>
  <si>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</si>
  <si>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</si>
  <si>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</si>
  <si>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</si>
  <si>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</si>
  <si>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</si>
  <si>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</si>
  <si>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</si>
  <si>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</si>
  <si>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</si>
  <si>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</si>
  <si>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</si>
  <si>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</si>
  <si>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</si>
  <si>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</si>
  <si>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</si>
  <si>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</si>
  <si>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</si>
  <si>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</si>
  <si>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</si>
  <si>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</si>
  <si>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</si>
  <si>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</si>
  <si>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</si>
  <si>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</si>
  <si>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</si>
  <si>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</si>
  <si>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</si>
  <si>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</si>
  <si>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</si>
  <si>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</si>
  <si>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</si>
  <si>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</si>
  <si>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</si>
  <si>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</si>
  <si>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</si>
  <si>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</si>
  <si>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</si>
  <si>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</si>
  <si>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</si>
  <si>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</si>
  <si>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</si>
  <si>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</si>
  <si>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</si>
  <si>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</si>
  <si>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</si>
  <si>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</si>
  <si>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</si>
  <si>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</si>
  <si>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</si>
  <si>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</si>
  <si>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</si>
  <si>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</si>
  <si>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</si>
  <si>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</si>
  <si>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</si>
  <si>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</si>
  <si>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</si>
  <si>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</si>
  <si>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</si>
  <si>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</si>
  <si>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</si>
  <si>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</si>
  <si>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</si>
  <si>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</si>
  <si>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</si>
  <si>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</si>
  <si>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</si>
  <si>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</si>
  <si>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</si>
  <si>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</si>
  <si>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</si>
  <si>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</si>
  <si>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</si>
  <si>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</si>
  <si>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</si>
  <si>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</si>
  <si>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</si>
  <si>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</si>
  <si>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</si>
  <si>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</si>
  <si>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</si>
  <si>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</si>
  <si>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</si>
  <si>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</si>
  <si>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</si>
  <si>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</si>
  <si>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</si>
  <si>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</si>
  <si>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</si>
  <si>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</si>
  <si>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</si>
  <si>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</si>
  <si>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</si>
  <si>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</si>
  <si>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</si>
  <si>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</si>
  <si>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</si>
  <si>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</si>
  <si>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</si>
  <si>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</si>
  <si>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</si>
  <si>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</si>
  <si>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</si>
  <si>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</si>
  <si>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</si>
  <si>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</si>
  <si>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</si>
  <si>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</si>
  <si>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</si>
  <si>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</si>
  <si>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</si>
  <si>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</si>
  <si>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</si>
  <si>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</si>
  <si>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</si>
  <si>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</si>
  <si>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</si>
  <si>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</si>
  <si>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</si>
  <si>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</si>
  <si>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</si>
  <si>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</si>
  <si>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</si>
  <si>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</si>
  <si>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</si>
  <si>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</si>
  <si>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</si>
  <si>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</si>
  <si>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</si>
  <si>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</si>
  <si>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</si>
  <si>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</si>
  <si>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</si>
  <si>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</si>
  <si>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</si>
  <si>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</si>
  <si>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</si>
  <si>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</si>
  <si>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</si>
  <si>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</si>
  <si>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</si>
  <si>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</si>
  <si>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</si>
  <si>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</si>
  <si>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</si>
  <si>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</si>
  <si>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</si>
  <si>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</si>
  <si>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</si>
  <si>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</si>
  <si>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</si>
  <si>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</si>
  <si>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</si>
  <si>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</si>
  <si>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</si>
  <si>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</si>
  <si>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</si>
  <si>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</si>
  <si>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</si>
  <si>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</si>
  <si>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</si>
  <si>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</si>
  <si>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</si>
  <si>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</si>
  <si>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</si>
  <si>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</si>
  <si>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</si>
  <si>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</si>
  <si>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</si>
  <si>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</si>
  <si>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</si>
  <si>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</si>
  <si>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</si>
  <si>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</si>
  <si>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</si>
  <si>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</si>
  <si>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</si>
  <si>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</si>
  <si>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</si>
  <si>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</si>
  <si>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</si>
  <si>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</si>
  <si>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</si>
  <si>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</si>
  <si>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</si>
  <si>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</si>
  <si>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</si>
  <si>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</si>
  <si>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</si>
  <si>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</si>
  <si>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</si>
  <si>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</si>
  <si>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</si>
  <si>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</si>
  <si>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</si>
  <si>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</si>
  <si>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</si>
  <si>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</si>
  <si>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</si>
  <si>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</si>
  <si>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</si>
  <si>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</si>
  <si>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</si>
  <si>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</si>
  <si>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</si>
  <si>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</si>
  <si>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</si>
  <si>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</si>
  <si>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</si>
  <si>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</si>
  <si>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</si>
  <si>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</si>
  <si>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</si>
  <si>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</si>
  <si>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</si>
  <si>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</si>
  <si>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</si>
  <si>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</si>
  <si>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</si>
  <si>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</si>
  <si>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</si>
  <si>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</si>
  <si>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</si>
  <si>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</si>
  <si>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</si>
  <si>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</si>
  <si>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</si>
  <si>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</si>
  <si>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</si>
  <si>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</si>
  <si>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</si>
  <si>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</si>
  <si>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</si>
  <si>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</si>
  <si>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</si>
  <si>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</si>
  <si>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</si>
  <si>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</si>
  <si>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</si>
  <si>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</si>
  <si>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</si>
  <si>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</si>
  <si>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</si>
  <si>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</si>
  <si>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</si>
  <si>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</si>
  <si>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</si>
  <si>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</si>
  <si>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</si>
  <si>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</si>
  <si>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</si>
  <si>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</si>
  <si>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</si>
  <si>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</si>
  <si>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</si>
  <si>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</si>
  <si>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</si>
  <si>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</si>
  <si>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</si>
  <si>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</si>
  <si>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</si>
  <si>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</si>
  <si>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</si>
  <si>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</si>
  <si>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</si>
  <si>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</si>
  <si>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</si>
  <si>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</si>
  <si>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</si>
  <si>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</si>
  <si>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</si>
  <si>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</si>
  <si>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</si>
  <si>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</si>
  <si>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</si>
  <si>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</si>
  <si>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</si>
  <si>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</si>
  <si>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</si>
  <si>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</si>
  <si>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</si>
  <si>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</si>
  <si>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</si>
  <si>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</si>
  <si>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</si>
  <si>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</si>
  <si>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</si>
  <si>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</si>
  <si>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</si>
  <si>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</si>
  <si>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</si>
  <si>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</si>
  <si>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</si>
  <si>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</si>
  <si>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</si>
  <si>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</si>
  <si>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</si>
  <si>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</si>
  <si>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</si>
  <si>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</si>
  <si>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</si>
  <si>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</si>
  <si>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</si>
  <si>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</si>
  <si>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</si>
  <si>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</si>
  <si>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</si>
  <si>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</si>
  <si>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</si>
  <si>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</si>
  <si>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</si>
  <si>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</si>
  <si>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</si>
  <si>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</si>
  <si>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</si>
  <si>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</si>
  <si>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</si>
  <si>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</si>
  <si>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</si>
  <si>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</si>
  <si>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</si>
  <si>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</si>
  <si>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</si>
  <si>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</si>
  <si>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</si>
  <si>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</si>
  <si>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</si>
  <si>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</si>
  <si>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</si>
  <si>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</si>
  <si>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</si>
  <si>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</si>
  <si>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</si>
  <si>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</si>
  <si>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</si>
  <si>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</si>
  <si>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</si>
  <si>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</si>
  <si>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</si>
  <si>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</si>
  <si>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</si>
  <si>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</si>
  <si>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</si>
  <si>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</si>
  <si>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</si>
  <si>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</si>
  <si>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</si>
  <si>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</si>
  <si>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</si>
  <si>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</si>
  <si>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</si>
  <si>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</si>
  <si>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</si>
  <si>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</si>
  <si>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</si>
  <si>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</si>
  <si>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</si>
  <si>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</si>
  <si>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</si>
  <si>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</si>
  <si>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</si>
  <si>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</si>
  <si>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</si>
  <si>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</si>
  <si>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</si>
  <si>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</si>
  <si>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</si>
  <si>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</si>
  <si>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</si>
  <si>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</si>
  <si>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</si>
  <si>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</si>
  <si>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</si>
  <si>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</si>
  <si>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</si>
  <si>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</si>
  <si>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</si>
  <si>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</si>
  <si>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</si>
  <si>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</si>
  <si>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</si>
  <si>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</si>
  <si>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</si>
  <si>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</si>
  <si>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</si>
  <si>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</si>
  <si>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</si>
  <si>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</si>
  <si>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</si>
  <si>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</si>
  <si>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</si>
  <si>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</si>
  <si>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</si>
  <si>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</si>
  <si>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</si>
  <si>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</si>
  <si>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</si>
  <si>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</si>
  <si>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</si>
  <si>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</si>
  <si>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</si>
  <si>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</si>
  <si>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</si>
  <si>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</si>
  <si>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</si>
  <si>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</si>
  <si>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</si>
  <si>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</si>
  <si>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</si>
  <si>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</si>
  <si>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</si>
  <si>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</si>
  <si>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</si>
  <si>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</si>
  <si>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</si>
  <si>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</si>
  <si>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</si>
  <si>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</si>
  <si>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</si>
  <si>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</si>
  <si>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</si>
  <si>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</si>
  <si>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</si>
  <si>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</si>
  <si>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</si>
  <si>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</si>
  <si>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</si>
  <si>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</si>
  <si>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</si>
  <si>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</si>
  <si>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</si>
  <si>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</si>
  <si>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</si>
  <si>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</si>
  <si>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</si>
  <si>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</si>
  <si>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</si>
  <si>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</si>
  <si>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</si>
  <si>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</si>
  <si>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</si>
  <si>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</si>
  <si>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</si>
  <si>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</si>
  <si>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</si>
  <si>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</si>
  <si>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</si>
  <si>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</si>
  <si>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</si>
  <si>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</si>
  <si>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</si>
  <si>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</si>
  <si>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</si>
  <si>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</si>
  <si>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</si>
  <si>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</si>
  <si>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</si>
  <si>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</si>
  <si>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</si>
  <si>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</si>
  <si>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</si>
  <si>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</si>
  <si>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</si>
  <si>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</si>
  <si>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</si>
  <si>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</si>
  <si>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</si>
  <si>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</si>
  <si>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</si>
  <si>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</si>
  <si>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</si>
  <si>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</si>
  <si>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</si>
  <si>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</si>
  <si>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</si>
  <si>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</si>
  <si>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</si>
  <si>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</si>
  <si>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</si>
  <si>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</si>
  <si>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</si>
  <si>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</si>
  <si>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</si>
  <si>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</si>
  <si>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</si>
  <si>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</si>
  <si>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</si>
  <si>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</si>
  <si>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</si>
  <si>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</si>
  <si>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</si>
  <si>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</si>
  <si>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</si>
  <si>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</si>
  <si>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</si>
  <si>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</si>
  <si>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</si>
  <si>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</si>
  <si>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</si>
  <si>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</si>
  <si>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</si>
  <si>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</si>
  <si>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</si>
  <si>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</si>
  <si>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</si>
  <si>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</si>
  <si>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</si>
  <si>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</si>
  <si>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</si>
  <si>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</si>
  <si>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</si>
  <si>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</si>
  <si>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</si>
  <si>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</si>
  <si>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</si>
  <si>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</si>
  <si>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</si>
  <si>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</si>
  <si>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</si>
  <si>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</si>
  <si>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</si>
  <si>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</si>
  <si>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</si>
  <si>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</si>
  <si>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</si>
  <si>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</si>
  <si>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</si>
  <si>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</si>
  <si>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</si>
  <si>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</si>
  <si>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</si>
  <si>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</si>
  <si>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</si>
  <si>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</si>
  <si>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</si>
  <si>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</si>
  <si>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</si>
  <si>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</si>
  <si>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</si>
  <si>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</si>
  <si>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</si>
  <si>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</si>
  <si>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</si>
  <si>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</si>
  <si>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</si>
  <si>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</si>
  <si>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</si>
  <si>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</si>
  <si>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</si>
  <si>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</si>
  <si>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</si>
  <si>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</si>
  <si>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</si>
  <si>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</si>
  <si>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</si>
  <si>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</si>
  <si>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</si>
  <si>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</si>
  <si>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</si>
  <si>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</si>
  <si>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</si>
  <si>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</si>
  <si>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</si>
  <si>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</si>
  <si>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</si>
  <si>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</si>
  <si>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</si>
  <si>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</si>
  <si>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</si>
  <si>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</si>
  <si>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</si>
  <si>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</si>
  <si>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</si>
  <si>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</si>
  <si>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</si>
  <si>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</si>
  <si>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</si>
  <si>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</si>
  <si>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</si>
  <si>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</si>
  <si>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</si>
  <si>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</si>
  <si>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</si>
  <si>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</si>
  <si>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</si>
  <si>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</si>
  <si>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</si>
  <si>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</si>
  <si>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</si>
  <si>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</si>
  <si>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</si>
  <si>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</si>
  <si>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</si>
  <si>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</si>
  <si>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</si>
  <si>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</si>
  <si>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</si>
  <si>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</si>
  <si>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</si>
  <si>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</si>
  <si>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</si>
  <si>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</si>
  <si>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</si>
  <si>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</si>
  <si>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</si>
  <si>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</si>
  <si>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</si>
  <si>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</si>
  <si>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</si>
  <si>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</si>
  <si>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</si>
  <si>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</si>
  <si>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</si>
  <si>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</si>
  <si>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</si>
  <si>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</si>
  <si>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</si>
  <si>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</si>
  <si>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</si>
  <si>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</si>
  <si>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</si>
  <si>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</si>
  <si>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</si>
  <si>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</si>
  <si>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</si>
  <si>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</si>
  <si>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</si>
  <si>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</si>
  <si>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</si>
  <si>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</si>
  <si>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</si>
  <si>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</si>
  <si>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</si>
  <si>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</si>
  <si>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</si>
  <si>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</si>
  <si>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</si>
  <si>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</si>
  <si>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</si>
  <si>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</si>
  <si>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</si>
  <si>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</si>
  <si>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</si>
  <si>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</si>
  <si>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</si>
  <si>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</si>
  <si>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</si>
  <si>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</si>
  <si>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</si>
  <si>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</si>
  <si>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</si>
  <si>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</si>
  <si>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</si>
  <si>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</si>
  <si>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</si>
  <si>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</si>
  <si>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</si>
  <si>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</si>
  <si>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</si>
  <si>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</si>
  <si>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</si>
  <si>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</si>
  <si>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</si>
  <si>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</si>
  <si>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</si>
  <si>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</si>
  <si>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</si>
  <si>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</si>
  <si>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</si>
  <si>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</si>
  <si>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</si>
  <si>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</si>
  <si>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</si>
  <si>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</si>
  <si>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</si>
  <si>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</si>
  <si>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</si>
  <si>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</si>
  <si>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</si>
  <si>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</si>
  <si>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</si>
  <si>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</si>
  <si>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</si>
  <si>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</si>
  <si>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</si>
  <si>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</si>
  <si>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</si>
  <si>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</si>
  <si>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</si>
  <si>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</si>
  <si>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</si>
  <si>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</si>
  <si>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</si>
  <si>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</si>
  <si>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</si>
  <si>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</si>
  <si>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</si>
  <si>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</si>
  <si>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</si>
  <si>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</si>
  <si>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</si>
  <si>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</si>
  <si>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</si>
  <si>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</si>
  <si>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</si>
  <si>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</si>
  <si>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</si>
  <si>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</si>
  <si>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</si>
  <si>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</si>
  <si>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</si>
  <si>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</si>
  <si>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</si>
  <si>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</si>
  <si>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</si>
  <si>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</si>
  <si>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</si>
  <si>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</si>
  <si>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</si>
  <si>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</si>
  <si>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</si>
  <si>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</si>
  <si>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</si>
  <si>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</si>
  <si>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</si>
  <si>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</si>
  <si>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</si>
  <si>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</si>
  <si>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</si>
  <si>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</si>
  <si>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</si>
  <si>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</si>
  <si>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</si>
  <si>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</si>
  <si>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</si>
  <si>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</si>
  <si>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</si>
  <si>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</si>
  <si>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</si>
  <si>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</si>
  <si>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</si>
  <si>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</si>
  <si>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</si>
  <si>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</si>
  <si>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</si>
  <si>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</si>
  <si>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</si>
  <si>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</si>
  <si>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</si>
  <si>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</si>
  <si>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</si>
  <si>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</si>
  <si>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</si>
  <si>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</si>
  <si>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</si>
  <si>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</si>
  <si>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</si>
  <si>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</si>
  <si>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</si>
  <si>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</si>
  <si>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</si>
  <si>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</si>
  <si>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</si>
  <si>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</si>
  <si>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</si>
  <si>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</si>
  <si>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</si>
  <si>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</si>
  <si>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</si>
  <si>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</si>
  <si>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</si>
  <si>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</si>
  <si>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</si>
  <si>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</si>
  <si>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</si>
  <si>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</si>
  <si>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</si>
  <si>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</si>
  <si>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</si>
  <si>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</si>
  <si>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</si>
  <si>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</si>
  <si>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</si>
  <si>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</si>
  <si>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</si>
  <si>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</si>
  <si>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</si>
  <si>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</si>
  <si>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</si>
  <si>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</si>
  <si>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</si>
  <si>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</si>
  <si>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</si>
  <si>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</si>
  <si>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</si>
  <si>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</si>
  <si>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</si>
  <si>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</si>
  <si>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</si>
  <si>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</si>
  <si>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</si>
  <si>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</si>
  <si>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</si>
  <si>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</si>
  <si>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</si>
  <si>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</si>
  <si>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</si>
  <si>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</si>
  <si>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</si>
  <si>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</si>
  <si>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</si>
  <si>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</si>
  <si>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</si>
  <si>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</si>
  <si>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</si>
  <si>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</si>
  <si>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</si>
  <si>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</si>
  <si>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</si>
  <si>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</si>
  <si>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</si>
  <si>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</si>
  <si>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</si>
  <si>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</si>
  <si>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</si>
  <si>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</si>
  <si>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</si>
  <si>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</si>
  <si>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</si>
  <si>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</si>
  <si>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</si>
  <si>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</si>
  <si>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</si>
  <si>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</si>
  <si>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</si>
  <si>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</si>
  <si>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</si>
  <si>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</si>
  <si>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</si>
  <si>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</si>
  <si>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</si>
  <si>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</si>
  <si>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</si>
  <si>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</si>
  <si>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</si>
  <si>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</si>
  <si>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</si>
  <si>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</si>
  <si>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</si>
  <si>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</si>
  <si>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</si>
  <si>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</si>
  <si>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</si>
  <si>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</si>
  <si>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</si>
  <si>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</si>
  <si>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</si>
  <si>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</si>
  <si>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</si>
  <si>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</si>
  <si>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</si>
  <si>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</si>
  <si>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</si>
  <si>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</si>
  <si>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</si>
  <si>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</si>
  <si>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</si>
  <si>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</si>
  <si>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</si>
  <si>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</si>
  <si>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</si>
  <si>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</si>
  <si>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</si>
  <si>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</si>
  <si>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</si>
  <si>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</si>
  <si>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</si>
  <si>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</si>
  <si>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</si>
  <si>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</si>
  <si>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</si>
  <si>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</si>
  <si>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</si>
  <si>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</si>
  <si>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</si>
  <si>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</si>
  <si>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</si>
  <si>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</si>
  <si>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</si>
  <si>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</si>
  <si>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</si>
  <si>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</si>
  <si>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</si>
  <si>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</si>
  <si>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</si>
  <si>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</si>
  <si>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</si>
  <si>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</si>
  <si>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</si>
  <si>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</si>
  <si>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</si>
  <si>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</si>
  <si>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</si>
  <si>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</si>
  <si>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</si>
  <si>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</si>
  <si>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</si>
  <si>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</si>
  <si>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</si>
  <si>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</si>
  <si>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</si>
  <si>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</si>
  <si>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</si>
  <si>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</si>
  <si>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</si>
  <si>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</si>
  <si>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</si>
  <si>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</si>
  <si>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</si>
  <si>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</si>
  <si>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</si>
  <si>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</si>
  <si>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</si>
  <si>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</si>
  <si>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</si>
  <si>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</si>
  <si>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</si>
  <si>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</si>
  <si>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</si>
  <si>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</si>
  <si>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</si>
  <si>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</si>
  <si>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</si>
  <si>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</si>
  <si>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</si>
  <si>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</si>
  <si>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</si>
  <si>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</si>
  <si>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</si>
  <si>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</si>
  <si>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</si>
  <si>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</si>
  <si>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</si>
  <si>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</si>
  <si>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</si>
  <si>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</si>
  <si>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</si>
  <si>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</si>
  <si>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</si>
  <si>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</si>
  <si>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</si>
  <si>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</si>
  <si>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</si>
  <si>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</si>
  <si>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</si>
  <si>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</si>
  <si>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</si>
  <si>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</si>
  <si>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</si>
  <si>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</si>
  <si>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</si>
  <si>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</si>
  <si>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</si>
  <si>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</si>
  <si>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</si>
  <si>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</si>
  <si>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</si>
  <si>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</si>
  <si>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</si>
  <si>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</si>
  <si>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</si>
  <si>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</si>
  <si>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</si>
  <si>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</si>
  <si>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</si>
  <si>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</si>
  <si>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</si>
  <si>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</si>
  <si>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</si>
  <si>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</si>
  <si>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</si>
  <si>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</si>
  <si>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</si>
  <si>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</si>
  <si>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</si>
  <si>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</si>
  <si>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</si>
  <si>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</si>
  <si>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</si>
  <si>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</si>
  <si>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</si>
  <si>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</si>
  <si>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</si>
  <si>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</si>
  <si>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</si>
  <si>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</si>
  <si>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</si>
  <si>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</si>
  <si>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</si>
  <si>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</si>
  <si>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</si>
  <si>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</si>
  <si>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</si>
  <si>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</si>
  <si>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</si>
  <si>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</si>
  <si>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</si>
  <si>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</si>
  <si>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</si>
  <si>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</si>
  <si>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</si>
  <si>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</si>
  <si>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</si>
  <si>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</si>
  <si>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</si>
  <si>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</si>
  <si>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</si>
  <si>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</si>
  <si>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</si>
  <si>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</si>
  <si>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</si>
  <si>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</si>
  <si>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</si>
  <si>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</si>
  <si>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</si>
  <si>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</si>
  <si>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</si>
  <si>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</si>
  <si>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</si>
  <si>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</si>
  <si>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</si>
  <si>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</si>
  <si>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</si>
  <si>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</si>
  <si>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</si>
  <si>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</si>
  <si>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</si>
  <si>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</si>
  <si>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</si>
  <si>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</si>
  <si>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</si>
  <si>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</si>
  <si>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</si>
  <si>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</si>
  <si>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</si>
  <si>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</si>
  <si>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</si>
  <si>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</si>
  <si>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</si>
  <si>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</si>
  <si>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</si>
  <si>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</si>
  <si>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</si>
  <si>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</si>
  <si>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</si>
  <si>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</si>
  <si>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</si>
  <si>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</si>
  <si>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</si>
  <si>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</si>
  <si>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</si>
  <si>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</si>
  <si>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</si>
  <si>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</si>
  <si>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</si>
  <si>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</si>
  <si>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</si>
  <si>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</si>
  <si>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</si>
  <si>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</si>
  <si>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</si>
  <si>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</si>
  <si>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</si>
  <si>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</si>
  <si>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</si>
  <si>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</si>
  <si>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</si>
  <si>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</si>
  <si>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</si>
  <si>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</si>
  <si>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</si>
  <si>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</si>
  <si>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</si>
  <si>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</si>
  <si>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</si>
  <si>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</si>
  <si>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</si>
  <si>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</si>
  <si>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</si>
  <si>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</si>
  <si>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</si>
  <si>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</si>
  <si>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</si>
  <si>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</si>
  <si>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</si>
  <si>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</si>
  <si>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</si>
  <si>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</si>
  <si>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</si>
  <si>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</si>
  <si>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</si>
  <si>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</si>
  <si>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</si>
  <si>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</si>
  <si>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</si>
  <si>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</si>
  <si>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</si>
  <si>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</si>
  <si>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</si>
  <si>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</si>
  <si>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</si>
  <si>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</si>
  <si>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</si>
  <si>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</si>
  <si>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</si>
  <si>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</si>
  <si>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</si>
  <si>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</si>
  <si>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</si>
  <si>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</si>
  <si>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</si>
  <si>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</si>
  <si>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</si>
  <si>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</si>
  <si>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</si>
  <si>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</si>
  <si>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</si>
  <si>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</si>
  <si>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</si>
  <si>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</si>
  <si>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</si>
  <si>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</si>
  <si>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</si>
  <si>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</si>
  <si>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</si>
  <si>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</si>
  <si>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</si>
  <si>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</si>
  <si>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</si>
  <si>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</si>
  <si>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</si>
  <si>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</si>
  <si>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</si>
  <si>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</si>
  <si>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</si>
  <si>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</si>
  <si>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</si>
  <si>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</si>
  <si>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</si>
  <si>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</si>
  <si>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</si>
  <si>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</si>
  <si>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</si>
  <si>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</si>
  <si>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</si>
  <si>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</si>
  <si>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</si>
  <si>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</si>
  <si>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</si>
  <si>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</si>
  <si>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</si>
  <si>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</si>
  <si>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</si>
  <si>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</si>
  <si>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</si>
  <si>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</si>
  <si>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</si>
  <si>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</si>
  <si>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</si>
  <si>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</si>
  <si>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</si>
  <si>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</si>
  <si>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</si>
  <si>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</si>
  <si>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</si>
  <si>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</si>
  <si>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</si>
  <si>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</si>
  <si>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</si>
  <si>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</si>
  <si>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</si>
  <si>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</si>
  <si>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</si>
  <si>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</si>
  <si>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</si>
  <si>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</si>
  <si>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</si>
  <si>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</si>
  <si>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</si>
  <si>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</si>
  <si>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</si>
  <si>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</si>
  <si>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</si>
  <si>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</si>
  <si>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</si>
  <si>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</si>
  <si>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</si>
  <si>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</si>
  <si>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</si>
  <si>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</si>
  <si>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</si>
  <si>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</si>
  <si>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</si>
  <si>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</si>
  <si>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</si>
  <si>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</si>
  <si>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</si>
  <si>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</si>
  <si>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</si>
  <si>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</si>
  <si>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</si>
  <si>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</si>
  <si>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</si>
  <si>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</si>
  <si>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</si>
  <si>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</si>
  <si>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</si>
  <si>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</si>
  <si>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</si>
  <si>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</si>
  <si>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</si>
  <si>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</si>
  <si>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</si>
  <si>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</si>
  <si>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</si>
  <si>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</si>
  <si>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</si>
  <si>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</si>
  <si>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</si>
  <si>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</si>
  <si>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</si>
  <si>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</si>
  <si>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</si>
  <si>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</si>
  <si>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</si>
  <si>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</si>
  <si>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</si>
  <si>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</si>
  <si>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</si>
  <si>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</si>
  <si>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</si>
  <si>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</si>
  <si>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</si>
  <si>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</si>
  <si>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</si>
  <si>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</si>
  <si>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</si>
  <si>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</si>
  <si>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</si>
  <si>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</si>
  <si>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</si>
  <si>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</si>
  <si>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</si>
  <si>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</si>
  <si>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</si>
  <si>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</si>
  <si>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</si>
  <si>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</si>
  <si>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</si>
  <si>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</si>
  <si>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</si>
  <si>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</si>
  <si>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</si>
  <si>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</si>
  <si>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</si>
  <si>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</si>
  <si>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</si>
  <si>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</si>
  <si>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</si>
  <si>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</si>
  <si>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</si>
  <si>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</si>
  <si>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</si>
  <si>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</si>
  <si>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</si>
  <si>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</si>
  <si>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</si>
  <si>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</si>
  <si>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</si>
  <si>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</si>
  <si>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</si>
  <si>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</si>
  <si>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</si>
  <si>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</si>
  <si>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</si>
  <si>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</si>
  <si>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</si>
  <si>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</si>
  <si>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</si>
  <si>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</si>
  <si>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</si>
  <si>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</si>
  <si>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</si>
  <si>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</si>
  <si>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</si>
  <si>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</si>
  <si>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</si>
  <si>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</si>
  <si>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</si>
  <si>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</si>
  <si>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</si>
  <si>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</si>
  <si>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</si>
  <si>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</si>
  <si>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</si>
  <si>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</si>
  <si>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</si>
  <si>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</si>
  <si>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</si>
  <si>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</si>
  <si>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</si>
  <si>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</si>
  <si>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</si>
  <si>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</si>
  <si>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</si>
  <si>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</si>
  <si>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</si>
  <si>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</si>
  <si>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</si>
  <si>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</si>
  <si>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</si>
  <si>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</si>
  <si>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</si>
  <si>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</si>
  <si>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</si>
  <si>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</si>
  <si>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</si>
  <si>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</si>
  <si>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</si>
  <si>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</si>
  <si>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</si>
  <si>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</si>
  <si>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</si>
  <si>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</si>
  <si>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</si>
  <si>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</si>
  <si>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</si>
  <si>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</si>
  <si>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</si>
  <si>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</si>
  <si>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</si>
  <si>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</si>
  <si>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</si>
  <si>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</si>
  <si>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</si>
  <si>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</si>
  <si>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</si>
  <si>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</si>
  <si>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</si>
  <si>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</si>
  <si>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</si>
  <si>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</si>
  <si>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</si>
  <si>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</si>
  <si>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</si>
  <si>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</si>
  <si>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</si>
  <si>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</si>
  <si>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</si>
  <si>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</si>
  <si>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</si>
  <si>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</si>
  <si>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</si>
  <si>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</si>
  <si>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</si>
  <si>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</si>
  <si>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</si>
  <si>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</si>
  <si>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</si>
  <si>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</si>
  <si>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</si>
  <si>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</si>
  <si>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</si>
  <si>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</si>
  <si>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</si>
  <si>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</si>
  <si>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</si>
  <si>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</si>
  <si>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</si>
  <si>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</si>
  <si>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</si>
  <si>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</si>
  <si>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</si>
  <si>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</si>
  <si>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</si>
  <si>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</si>
  <si>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</si>
  <si>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</si>
  <si>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</si>
  <si>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</si>
  <si>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</si>
  <si>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</si>
  <si>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</si>
  <si>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</si>
  <si>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</si>
  <si>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</si>
  <si>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</si>
  <si>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</si>
  <si>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</si>
  <si>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</si>
  <si>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</si>
  <si>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</si>
  <si>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</si>
  <si>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</si>
  <si>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</si>
  <si>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</si>
  <si>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</si>
  <si>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</si>
  <si>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</si>
  <si>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</si>
  <si>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</si>
  <si>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</si>
  <si>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</si>
  <si>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</si>
  <si>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</si>
  <si>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</si>
  <si>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</si>
  <si>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</si>
  <si>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</si>
  <si>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</si>
  <si>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</si>
  <si>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</si>
  <si>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</si>
  <si>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</si>
  <si>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</si>
  <si>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</si>
  <si>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</si>
  <si>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</si>
  <si>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</si>
  <si>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</si>
  <si>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</si>
  <si>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</si>
  <si>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</si>
  <si>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</si>
  <si>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</si>
  <si>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</si>
  <si>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</si>
  <si>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</si>
  <si>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</si>
  <si>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</si>
  <si>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</si>
  <si>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</si>
  <si>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</si>
  <si>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</si>
  <si>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</si>
  <si>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</si>
  <si>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</si>
  <si>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</si>
  <si>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</si>
  <si>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</si>
  <si>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</si>
  <si>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</si>
  <si>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</si>
  <si>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</si>
  <si>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</si>
  <si>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</si>
  <si>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</si>
  <si>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</si>
  <si>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</si>
  <si>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</si>
  <si>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</si>
  <si>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</si>
  <si>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</si>
  <si>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</si>
  <si>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</si>
  <si>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</si>
  <si>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</si>
  <si>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</si>
  <si>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</si>
  <si>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</si>
  <si>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</si>
  <si>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</si>
  <si>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</si>
  <si>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</si>
  <si>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</si>
  <si>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</si>
  <si>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</si>
  <si>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</si>
  <si>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</si>
  <si>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</si>
  <si>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</si>
  <si>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</si>
  <si>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</si>
  <si>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</si>
  <si>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</si>
  <si>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</si>
  <si>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</si>
  <si>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</si>
  <si>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</si>
  <si>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</si>
  <si>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</si>
  <si>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</si>
  <si>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</si>
  <si>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</si>
  <si>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</si>
  <si>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</si>
  <si>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</si>
  <si>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</si>
  <si>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</si>
  <si>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</si>
  <si>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</si>
  <si>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</si>
  <si>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</si>
  <si>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</si>
  <si>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</si>
  <si>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</si>
  <si>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</si>
  <si>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</si>
  <si>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</si>
  <si>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</si>
  <si>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</si>
  <si>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</si>
  <si>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</si>
  <si>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</si>
  <si>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</si>
  <si>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</si>
  <si>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</si>
  <si>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</si>
  <si>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</si>
  <si>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</si>
  <si>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</si>
  <si>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</si>
  <si>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</si>
  <si>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</si>
  <si>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</si>
  <si>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</si>
  <si>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</si>
  <si>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</si>
  <si>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</si>
  <si>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</si>
  <si>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</si>
  <si>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</si>
  <si>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</si>
  <si>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</si>
  <si>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</si>
  <si>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</si>
  <si>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</si>
  <si>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</si>
  <si>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</si>
  <si>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</si>
  <si>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</si>
  <si>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</si>
  <si>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</si>
  <si>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</si>
  <si>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</si>
  <si>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</si>
  <si>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</si>
  <si>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</si>
  <si>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</si>
  <si>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</si>
  <si>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</si>
  <si>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</si>
  <si>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</si>
  <si>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</si>
  <si>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</si>
  <si>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</si>
  <si>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</si>
  <si>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</si>
  <si>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</si>
  <si>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</si>
  <si>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</si>
  <si>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</si>
  <si>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</si>
  <si>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</si>
  <si>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</si>
  <si>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</si>
  <si>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</si>
  <si>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</si>
  <si>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</si>
  <si>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</si>
  <si>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</si>
  <si>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</si>
  <si>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</si>
  <si>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</si>
  <si>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</si>
  <si>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</si>
  <si>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</si>
  <si>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</si>
  <si>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</si>
  <si>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</si>
  <si>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</si>
  <si>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</si>
  <si>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</si>
  <si>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</si>
  <si>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</si>
  <si>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</si>
  <si>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</si>
  <si>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</si>
  <si>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</si>
  <si>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</si>
  <si>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</si>
  <si>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</si>
  <si>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</si>
  <si>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</si>
  <si>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</si>
  <si>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</si>
  <si>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</si>
  <si>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</si>
  <si>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</si>
  <si>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</si>
  <si>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</si>
  <si>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</si>
  <si>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</si>
  <si>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</si>
  <si>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</si>
  <si>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</si>
  <si>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</si>
  <si>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</si>
  <si>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</si>
  <si>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</si>
  <si>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</si>
  <si>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</si>
  <si>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</si>
  <si>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</si>
  <si>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</si>
  <si>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</si>
  <si>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</si>
  <si>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</si>
  <si>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</si>
  <si>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</si>
  <si>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</si>
  <si>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</si>
  <si>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</si>
  <si>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</si>
  <si>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</si>
  <si>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</si>
  <si>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</si>
  <si>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</si>
  <si>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</si>
  <si>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</si>
  <si>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</si>
  <si>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</si>
  <si>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</si>
  <si>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</si>
  <si>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</si>
  <si>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</si>
  <si>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</si>
  <si>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</si>
  <si>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</si>
  <si>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</si>
  <si>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</si>
  <si>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</si>
  <si>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</si>
  <si>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</si>
  <si>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</si>
  <si>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</si>
  <si>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</si>
  <si>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</si>
  <si>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</si>
  <si>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</si>
  <si>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</si>
  <si>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</si>
  <si>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</si>
  <si>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</si>
  <si>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</si>
  <si>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</si>
  <si>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</si>
  <si>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</si>
  <si>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</si>
  <si>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</si>
  <si>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</si>
  <si>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</si>
  <si>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</si>
  <si>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</si>
  <si>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</si>
  <si>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</si>
  <si>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</si>
  <si>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</si>
  <si>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</si>
  <si>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</si>
  <si>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</si>
  <si>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</si>
  <si>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</si>
  <si>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</si>
  <si>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</si>
  <si>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</si>
  <si>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</si>
  <si>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</si>
  <si>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</si>
  <si>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</si>
  <si>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</si>
  <si>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</si>
  <si>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</si>
  <si>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</si>
  <si>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</si>
  <si>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</si>
  <si>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</si>
  <si>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</si>
  <si>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</si>
  <si>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</si>
  <si>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</si>
  <si>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</si>
  <si>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</si>
  <si>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</si>
  <si>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</si>
  <si>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</si>
  <si>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</si>
  <si>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</si>
  <si>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</si>
  <si>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</si>
  <si>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</si>
  <si>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</si>
  <si>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</si>
  <si>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</si>
  <si>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</si>
  <si>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</si>
  <si>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</si>
  <si>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</si>
  <si>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</si>
  <si>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</si>
  <si>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</si>
  <si>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</si>
  <si>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</si>
  <si>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</si>
  <si>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</si>
  <si>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</si>
  <si>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</si>
  <si>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</si>
  <si>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</si>
  <si>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</si>
  <si>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</si>
  <si>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</si>
  <si>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</si>
  <si>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</si>
  <si>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</si>
  <si>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</si>
  <si>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</si>
  <si>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</si>
  <si>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</si>
  <si>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</si>
  <si>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</si>
  <si>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</si>
  <si>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</si>
  <si>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</si>
  <si>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</si>
  <si>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</si>
  <si>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</si>
  <si>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</si>
  <si>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</si>
  <si>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</si>
  <si>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</si>
  <si>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</si>
  <si>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</si>
  <si>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</si>
  <si>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</si>
  <si>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</si>
  <si>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</si>
  <si>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</si>
  <si>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</si>
  <si>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</si>
  <si>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</si>
  <si>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</si>
  <si>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</si>
  <si>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</si>
  <si>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</si>
  <si>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</si>
  <si>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</si>
  <si>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</si>
  <si>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</si>
  <si>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</si>
  <si>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</si>
  <si>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</si>
  <si>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</si>
  <si>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</si>
  <si>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</si>
  <si>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</si>
  <si>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</si>
  <si>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</si>
  <si>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</si>
  <si>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</si>
  <si>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</si>
  <si>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</si>
  <si>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</si>
  <si>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</si>
  <si>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</si>
  <si>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</si>
  <si>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</si>
  <si>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</si>
  <si>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</si>
  <si>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</si>
  <si>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</si>
  <si>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</si>
  <si>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</si>
  <si>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</si>
  <si>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</si>
  <si>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</si>
  <si>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</si>
  <si>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</si>
  <si>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</si>
  <si>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</si>
  <si>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</si>
  <si>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</si>
  <si>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</si>
  <si>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</si>
  <si>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</si>
  <si>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</si>
  <si>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</si>
  <si>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</si>
  <si>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</si>
  <si>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</si>
  <si>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</si>
  <si>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</si>
  <si>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</si>
  <si>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</si>
  <si>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</si>
  <si>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</si>
  <si>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</si>
  <si>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</si>
  <si>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</si>
  <si>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</si>
  <si>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</si>
  <si>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</si>
  <si>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</si>
  <si>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</si>
  <si>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</si>
  <si>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</si>
  <si>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</si>
  <si>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</si>
  <si>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</si>
  <si>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</si>
  <si>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</si>
  <si>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</si>
  <si>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</si>
  <si>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</si>
  <si>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</si>
  <si>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</si>
  <si>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</si>
  <si>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</si>
  <si>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</si>
  <si>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</si>
  <si>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</si>
  <si>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</si>
  <si>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</si>
  <si>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</si>
  <si>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</si>
  <si>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</si>
  <si>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</si>
  <si>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</si>
  <si>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</si>
  <si>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</si>
  <si>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</si>
  <si>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</si>
  <si>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</si>
  <si>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</si>
  <si>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</si>
  <si>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</si>
  <si>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</si>
  <si>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</si>
  <si>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</si>
  <si>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</si>
  <si>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</si>
  <si>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</si>
  <si>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</si>
  <si>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</si>
  <si>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</si>
  <si>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</si>
  <si>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</si>
  <si>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</si>
  <si>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</si>
  <si>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</si>
  <si>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</si>
  <si>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</si>
  <si>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</si>
  <si>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</si>
  <si>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</si>
  <si>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</si>
  <si>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</si>
  <si>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</si>
  <si>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</si>
  <si>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</si>
  <si>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</si>
  <si>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</si>
  <si>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</si>
  <si>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</si>
  <si>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</si>
  <si>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</si>
  <si>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</si>
  <si>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</si>
  <si>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</si>
  <si>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</si>
  <si>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</si>
  <si>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</si>
  <si>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</si>
  <si>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</si>
  <si>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</si>
  <si>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</si>
  <si>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</si>
  <si>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</si>
  <si>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</si>
  <si>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</si>
  <si>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</si>
  <si>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</si>
  <si>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</si>
  <si>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</si>
  <si>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</si>
  <si>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</si>
  <si>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</si>
  <si>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</si>
  <si>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</si>
  <si>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</si>
  <si>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</si>
  <si>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</si>
  <si>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</si>
  <si>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</si>
  <si>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</si>
  <si>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</si>
  <si>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</si>
  <si>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</si>
  <si>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</si>
  <si>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</si>
  <si>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</si>
  <si>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</si>
  <si>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</si>
  <si>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</si>
  <si>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</si>
  <si>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</si>
  <si>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</si>
  <si>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</si>
  <si>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</si>
  <si>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</si>
  <si>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</si>
  <si>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</si>
  <si>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</si>
  <si>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</si>
  <si>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</si>
  <si>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</si>
  <si>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</si>
  <si>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</si>
  <si>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</si>
  <si>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</si>
  <si>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</si>
  <si>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</si>
  <si>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</si>
  <si>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</si>
  <si>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</si>
  <si>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</si>
  <si>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</si>
  <si>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</si>
  <si>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</si>
  <si>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</si>
  <si>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</si>
  <si>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</si>
  <si>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</si>
  <si>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</si>
  <si>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</si>
  <si>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</si>
  <si>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</si>
  <si>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</si>
  <si>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</si>
  <si>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</si>
  <si>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</si>
  <si>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</si>
  <si>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</si>
  <si>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</si>
  <si>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</si>
  <si>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</si>
  <si>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</si>
  <si>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</si>
  <si>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</si>
  <si>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</si>
  <si>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</si>
  <si>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</si>
  <si>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</si>
  <si>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</si>
  <si>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</si>
  <si>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</si>
  <si>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</si>
  <si>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</si>
  <si>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</si>
  <si>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</si>
  <si>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</si>
  <si>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</si>
  <si>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</si>
  <si>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</si>
  <si>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</si>
  <si>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</si>
  <si>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</si>
  <si>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</si>
  <si>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</si>
  <si>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</si>
  <si>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</si>
  <si>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</si>
  <si>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</si>
  <si>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</si>
  <si>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</si>
  <si>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</si>
  <si>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</si>
  <si>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</si>
  <si>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</si>
  <si>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</si>
  <si>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</si>
  <si>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</si>
  <si>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</si>
  <si>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</si>
  <si>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</si>
  <si>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</si>
  <si>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</si>
  <si>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</si>
  <si>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</si>
  <si>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</si>
  <si>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</si>
  <si>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</si>
  <si>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</si>
  <si>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</si>
  <si>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</si>
  <si>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</si>
  <si>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</si>
  <si>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</si>
  <si>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</si>
  <si>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</si>
  <si>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</si>
  <si>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</si>
  <si>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</si>
  <si>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</si>
  <si>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</si>
  <si>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</si>
  <si>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</si>
  <si>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</si>
  <si>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</si>
  <si>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</si>
  <si>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</si>
  <si>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</si>
  <si>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</si>
  <si>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</si>
  <si>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</si>
  <si>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</si>
  <si>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</si>
  <si>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</si>
  <si>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</si>
  <si>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</si>
  <si>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</si>
  <si>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</si>
  <si>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</si>
  <si>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</si>
  <si>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</si>
  <si>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</si>
  <si>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</si>
  <si>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</si>
  <si>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</si>
  <si>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</si>
  <si>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</si>
  <si>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</si>
  <si>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</si>
  <si>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</si>
  <si>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</si>
  <si>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</si>
  <si>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</si>
  <si>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</si>
  <si>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</si>
  <si>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</si>
  <si>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</si>
  <si>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</si>
  <si>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</si>
  <si>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</si>
  <si>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</si>
  <si>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</si>
  <si>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</si>
  <si>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</si>
  <si>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</si>
  <si>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</si>
  <si>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</si>
  <si>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</si>
  <si>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</si>
  <si>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</si>
  <si>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</si>
  <si>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</si>
  <si>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</si>
  <si>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</si>
  <si>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</si>
  <si>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</si>
  <si>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</si>
  <si>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</si>
  <si>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</si>
  <si>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</si>
  <si>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</si>
  <si>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</si>
  <si>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</si>
  <si>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</si>
  <si>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</si>
  <si>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</si>
  <si>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</si>
  <si>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</si>
  <si>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</si>
  <si>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</si>
  <si>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</si>
  <si>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</si>
  <si>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</si>
  <si>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</si>
  <si>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</si>
  <si>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</si>
  <si>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</si>
  <si>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</si>
  <si>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</si>
  <si>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</si>
  <si>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</si>
  <si>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</si>
  <si>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</si>
  <si>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</si>
  <si>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</si>
  <si>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</si>
  <si>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</si>
  <si>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</si>
  <si>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</si>
  <si>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</si>
  <si>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</si>
  <si>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</si>
  <si>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</si>
  <si>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</si>
  <si>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</si>
  <si>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</si>
  <si>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</si>
  <si>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</si>
  <si>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</si>
  <si>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</si>
  <si>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</si>
  <si>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</si>
  <si>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</si>
  <si>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</si>
  <si>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</si>
  <si>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</si>
  <si>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</si>
  <si>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</si>
  <si>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</si>
  <si>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</si>
  <si>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</si>
  <si>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</si>
  <si>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</si>
  <si>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</si>
  <si>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</si>
  <si>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</si>
  <si>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</si>
  <si>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</si>
  <si>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</si>
  <si>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</si>
  <si>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</si>
  <si>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</si>
  <si>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</si>
  <si>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</si>
  <si>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</si>
  <si>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</si>
  <si>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</si>
  <si>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</si>
  <si>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</si>
  <si>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</si>
  <si>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</si>
  <si>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</si>
  <si>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</si>
  <si>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</si>
  <si>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</si>
  <si>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</si>
  <si>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</si>
  <si>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</si>
  <si>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</si>
  <si>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</si>
  <si>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</si>
  <si>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</si>
  <si>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</si>
  <si>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</si>
  <si>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</si>
  <si>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</si>
  <si>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</si>
  <si>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</si>
  <si>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</si>
  <si>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</si>
  <si>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</si>
  <si>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</si>
  <si>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</si>
  <si>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</si>
  <si>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</si>
  <si>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</si>
  <si>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</si>
  <si>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</si>
  <si>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</si>
  <si>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</si>
  <si>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</si>
  <si>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</si>
  <si>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</si>
  <si>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</si>
  <si>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</si>
  <si>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</si>
  <si>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</si>
  <si>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</si>
  <si>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</si>
  <si>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</si>
  <si>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</si>
  <si>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</si>
  <si>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</si>
  <si>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</si>
  <si>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</si>
  <si>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</si>
  <si>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</si>
  <si>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</si>
  <si>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</si>
  <si>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</si>
  <si>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</si>
  <si>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</si>
  <si>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</si>
  <si>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</si>
  <si>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</si>
  <si>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</si>
  <si>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</si>
  <si>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</si>
  <si>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</si>
  <si>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</si>
  <si>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</si>
  <si>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</si>
  <si>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</si>
  <si>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</si>
  <si>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</si>
  <si>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</si>
  <si>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</si>
  <si>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</si>
  <si>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</si>
  <si>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</si>
  <si>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</si>
  <si>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</si>
  <si>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</si>
  <si>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</si>
  <si>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</si>
  <si>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</si>
  <si>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</si>
  <si>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</si>
  <si>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</si>
  <si>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</si>
  <si>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</si>
  <si>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</si>
  <si>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</si>
  <si>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</si>
  <si>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</si>
  <si>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</si>
  <si>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</si>
  <si>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</si>
  <si>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</si>
  <si>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</si>
  <si>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</si>
  <si>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</si>
  <si>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</si>
  <si>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</si>
  <si>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</si>
  <si>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</si>
  <si>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</si>
  <si>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</si>
  <si>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</si>
  <si>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</si>
  <si>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</si>
  <si>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</si>
  <si>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</si>
  <si>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</si>
  <si>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</si>
  <si>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</si>
  <si>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</si>
  <si>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</si>
  <si>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</si>
  <si>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</si>
  <si>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</si>
  <si>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</si>
  <si>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</si>
  <si>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</si>
  <si>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</si>
  <si>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</si>
  <si>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</si>
  <si>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</si>
  <si>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</si>
  <si>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</si>
  <si>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</si>
  <si>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</si>
  <si>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</si>
  <si>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</si>
  <si>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</si>
  <si>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</si>
  <si>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</si>
  <si>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</si>
  <si>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</si>
  <si>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</si>
  <si>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</si>
  <si>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</si>
  <si>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</si>
  <si>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</si>
  <si>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</si>
  <si>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</si>
  <si>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</si>
  <si>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</si>
  <si>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</si>
  <si>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</si>
  <si>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</si>
  <si>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</si>
  <si>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</si>
  <si>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</si>
  <si>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</si>
  <si>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</si>
  <si>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</si>
  <si>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</si>
  <si>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</si>
  <si>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</si>
  <si>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</si>
  <si>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</si>
  <si>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</si>
  <si>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</si>
  <si>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</si>
  <si>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</si>
  <si>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</si>
  <si>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</si>
  <si>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</si>
  <si>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</si>
  <si>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</si>
  <si>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</si>
  <si>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</si>
  <si>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</si>
  <si>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</si>
  <si>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</si>
  <si>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</si>
  <si>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</si>
  <si>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</si>
  <si>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</si>
  <si>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</si>
  <si>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</si>
  <si>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</si>
  <si>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</si>
  <si>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</si>
  <si>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</si>
  <si>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</si>
  <si>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</si>
  <si>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</si>
  <si>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</si>
  <si>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</si>
  <si>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</si>
  <si>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</si>
  <si>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</si>
  <si>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</si>
  <si>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</si>
  <si>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</si>
  <si>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</si>
  <si>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</si>
  <si>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</si>
  <si>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</si>
  <si>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</si>
  <si>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</si>
  <si>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</si>
  <si>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</si>
  <si>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</si>
  <si>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</si>
  <si>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</si>
  <si>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</si>
  <si>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</si>
  <si>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</si>
  <si>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</si>
  <si>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</si>
  <si>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</si>
  <si>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</si>
  <si>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</si>
  <si>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</si>
  <si>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</si>
  <si>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</si>
  <si>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</si>
  <si>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</si>
  <si>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</si>
  <si>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</si>
  <si>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</si>
  <si>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</si>
  <si>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</si>
  <si>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</si>
  <si>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</si>
  <si>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</si>
  <si>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</si>
  <si>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</si>
  <si>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</si>
  <si>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</si>
  <si>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</si>
  <si>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</si>
  <si>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</si>
  <si>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</si>
  <si>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</si>
  <si>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</si>
  <si>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</si>
  <si>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</si>
  <si>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</si>
  <si>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</si>
  <si>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</si>
  <si>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</si>
  <si>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</si>
  <si>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</si>
  <si>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</si>
  <si>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</si>
  <si>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</si>
  <si>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</si>
  <si>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</si>
  <si>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</si>
  <si>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</si>
  <si>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</si>
  <si>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</si>
  <si>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</si>
  <si>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</si>
  <si>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</si>
  <si>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</si>
  <si>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</si>
  <si>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</si>
  <si>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</si>
  <si>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</si>
  <si>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</si>
  <si>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</si>
  <si>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</si>
  <si>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</si>
  <si>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</si>
  <si>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</si>
  <si>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</si>
  <si>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</si>
  <si>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</si>
  <si>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</si>
  <si>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</si>
  <si>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</si>
  <si>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</si>
  <si>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</si>
  <si>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</si>
  <si>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</si>
  <si>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</si>
  <si>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</si>
  <si>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</si>
  <si>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</si>
  <si>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</si>
  <si>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</si>
  <si>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</si>
  <si>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</si>
  <si>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</si>
  <si>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</si>
  <si>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</si>
  <si>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</si>
  <si>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</si>
  <si>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</si>
  <si>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</si>
  <si>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</si>
  <si>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</si>
  <si>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</si>
  <si>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</si>
  <si>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</si>
  <si>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</si>
  <si>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</si>
  <si>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</si>
  <si>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</si>
  <si>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</si>
  <si>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</si>
  <si>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</si>
  <si>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</si>
  <si>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</si>
  <si>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</si>
  <si>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</si>
  <si>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</si>
  <si>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</si>
  <si>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</si>
  <si>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</si>
  <si>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</si>
  <si>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</si>
  <si>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</si>
  <si>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</si>
  <si>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</si>
  <si>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</si>
  <si>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</si>
  <si>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</si>
  <si>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</si>
  <si>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</si>
  <si>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</si>
  <si>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</si>
  <si>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</si>
  <si>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</si>
  <si>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</si>
  <si>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</si>
  <si>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</si>
  <si>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</si>
  <si>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</si>
  <si>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</si>
  <si>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</si>
  <si>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</si>
  <si>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</si>
  <si>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</si>
  <si>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</si>
  <si>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</si>
  <si>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</si>
  <si>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</si>
  <si>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</si>
  <si>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</si>
  <si>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</si>
  <si>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</si>
  <si>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</si>
  <si>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</si>
  <si>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</si>
  <si>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</si>
  <si>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</si>
  <si>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</si>
  <si>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</si>
  <si>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</si>
  <si>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</si>
  <si>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</si>
  <si>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</si>
  <si>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</si>
  <si>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</si>
  <si>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</si>
  <si>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</si>
  <si>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</si>
  <si>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</si>
  <si>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</si>
  <si>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</si>
  <si>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</si>
  <si>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</si>
  <si>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</si>
  <si>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</si>
  <si>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</si>
  <si>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</si>
  <si>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</si>
  <si>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</si>
  <si>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</si>
  <si>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</si>
  <si>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</si>
  <si>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</si>
  <si>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</si>
  <si>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</si>
  <si>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</si>
  <si>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</si>
  <si>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</si>
  <si>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</si>
  <si>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</si>
  <si>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</si>
  <si>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</si>
  <si>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</si>
  <si>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</si>
  <si>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</si>
  <si>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</si>
  <si>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</si>
  <si>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</si>
  <si>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</si>
  <si>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</si>
  <si>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</si>
  <si>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</si>
  <si>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</si>
  <si>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</si>
  <si>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</si>
  <si>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</si>
  <si>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</si>
  <si>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</si>
  <si>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</si>
  <si>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</si>
  <si>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</si>
  <si>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</si>
  <si>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</si>
  <si>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</si>
  <si>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</si>
  <si>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</si>
  <si>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</si>
  <si>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</si>
  <si>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</si>
  <si>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</si>
  <si>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</si>
  <si>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</si>
  <si>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</si>
  <si>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</si>
  <si>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</si>
  <si>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</si>
  <si>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</si>
  <si>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</si>
  <si>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</si>
  <si>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</si>
  <si>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</si>
  <si>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</si>
  <si>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</si>
  <si>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</si>
  <si>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</si>
  <si>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</si>
  <si>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</si>
  <si>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</si>
  <si>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</si>
  <si>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</si>
  <si>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</si>
  <si>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</si>
  <si>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</si>
  <si>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</si>
  <si>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</si>
  <si>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</si>
  <si>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</si>
  <si>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</si>
  <si>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</si>
  <si>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</si>
  <si>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</si>
  <si>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</si>
  <si>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</si>
  <si>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</si>
  <si>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</si>
  <si>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</si>
  <si>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</si>
  <si>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</si>
  <si>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</si>
  <si>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</si>
  <si>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</si>
  <si>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</si>
  <si>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</si>
  <si>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</si>
  <si>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</si>
  <si>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</si>
  <si>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</si>
  <si>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</si>
  <si>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</si>
  <si>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</si>
  <si>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</si>
  <si>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</si>
  <si>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</si>
  <si>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</si>
  <si>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</si>
  <si>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</si>
  <si>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</si>
  <si>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</si>
  <si>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</si>
  <si>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</si>
  <si>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</si>
  <si>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</si>
  <si>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</si>
  <si>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</si>
  <si>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</si>
  <si>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</si>
  <si>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</si>
  <si>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</si>
  <si>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</si>
  <si>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</si>
  <si>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</si>
  <si>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</si>
  <si>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</si>
  <si>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</si>
  <si>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</si>
  <si>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</si>
  <si>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</si>
  <si>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</si>
  <si>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</si>
  <si>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</si>
  <si>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</si>
  <si>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</si>
  <si>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</si>
  <si>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</si>
  <si>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</si>
  <si>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</si>
  <si>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</si>
  <si>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</si>
  <si>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</si>
  <si>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</si>
  <si>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</si>
  <si>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</si>
  <si>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</si>
  <si>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</si>
  <si>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</si>
  <si>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</si>
  <si>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</si>
  <si>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</si>
  <si>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</si>
  <si>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</si>
  <si>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</si>
  <si>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</si>
  <si>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</si>
  <si>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</si>
  <si>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</si>
  <si>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</si>
  <si>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</si>
  <si>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</si>
  <si>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</si>
  <si>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</si>
  <si>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</si>
  <si>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</si>
  <si>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</si>
  <si>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</si>
  <si>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</si>
  <si>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</si>
  <si>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</si>
  <si>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</si>
  <si>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</si>
  <si>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</si>
  <si>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</si>
  <si>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</si>
  <si>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</si>
  <si>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</si>
  <si>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</si>
  <si>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</si>
  <si>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</si>
  <si>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</si>
  <si>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</si>
  <si>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</si>
  <si>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</si>
  <si>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</si>
  <si>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</si>
  <si>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</si>
  <si>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</si>
  <si>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</si>
  <si>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</si>
  <si>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</si>
  <si>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</si>
  <si>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</si>
  <si>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</si>
  <si>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</si>
  <si>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</si>
  <si>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</si>
  <si>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</si>
  <si>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</si>
  <si>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</si>
  <si>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</si>
  <si>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</si>
  <si>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</si>
  <si>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</si>
  <si>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</si>
  <si>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</si>
  <si>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</si>
  <si>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</si>
  <si>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</si>
  <si>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</si>
  <si>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</si>
  <si>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</si>
  <si>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</si>
  <si>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</si>
  <si>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</si>
  <si>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</si>
  <si>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</si>
  <si>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</si>
  <si>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</si>
  <si>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</si>
  <si>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</si>
  <si>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</si>
  <si>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</si>
  <si>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</si>
  <si>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</si>
  <si>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</si>
  <si>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</si>
  <si>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</si>
  <si>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</si>
  <si>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</si>
  <si>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</si>
  <si>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</si>
  <si>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</si>
  <si>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</si>
  <si>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</si>
  <si>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</si>
  <si>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</si>
  <si>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</si>
  <si>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</si>
  <si>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</si>
  <si>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</si>
  <si>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</si>
  <si>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</si>
  <si>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</si>
  <si>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</si>
  <si>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</si>
  <si>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</si>
  <si>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</si>
  <si>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</si>
  <si>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</si>
  <si>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</si>
  <si>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</si>
  <si>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</si>
  <si>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</si>
  <si>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</si>
  <si>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</si>
  <si>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</si>
  <si>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</si>
  <si>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</si>
  <si>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</si>
  <si>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</si>
  <si>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</si>
  <si>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</si>
  <si>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</si>
  <si>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</si>
  <si>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</si>
  <si>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</si>
  <si>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</si>
  <si>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</si>
  <si>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</si>
  <si>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</si>
  <si>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</si>
  <si>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</si>
  <si>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</si>
  <si>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</si>
  <si>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</si>
  <si>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</si>
  <si>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</si>
  <si>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</si>
  <si>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</si>
  <si>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</si>
  <si>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</si>
  <si>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</si>
  <si>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</si>
  <si>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</si>
  <si>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</si>
  <si>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</si>
  <si>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</si>
  <si>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</si>
  <si>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</si>
  <si>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</si>
  <si>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</si>
  <si>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</si>
  <si>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</si>
  <si>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</si>
  <si>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</si>
  <si>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</si>
  <si>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</si>
  <si>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</si>
  <si>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</si>
  <si>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</si>
  <si>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</si>
  <si>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</si>
  <si>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</si>
  <si>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</si>
  <si>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</si>
  <si>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</si>
  <si>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</si>
  <si>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</si>
  <si>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</si>
  <si>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</si>
  <si>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</si>
  <si>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</si>
  <si>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</si>
  <si>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</si>
  <si>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</si>
  <si>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</si>
  <si>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</si>
  <si>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</si>
  <si>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</si>
  <si>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</si>
  <si>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</si>
  <si>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</si>
  <si>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</si>
  <si>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</si>
  <si>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</si>
  <si>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</si>
  <si>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</si>
  <si>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</si>
  <si>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</si>
  <si>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</si>
  <si>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</si>
  <si>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</si>
  <si>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</si>
  <si>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</si>
  <si>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</si>
  <si>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</si>
  <si>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</si>
  <si>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</si>
  <si>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</si>
  <si>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</si>
  <si>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</si>
  <si>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</si>
  <si>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</si>
  <si>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</si>
  <si>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</si>
  <si>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</si>
  <si>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</si>
  <si>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</si>
  <si>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</si>
  <si>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</si>
  <si>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</si>
  <si>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</si>
  <si>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</si>
  <si>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</si>
  <si>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</si>
  <si>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</si>
  <si>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</si>
  <si>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</si>
  <si>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</si>
  <si>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</si>
  <si>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</si>
  <si>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</si>
  <si>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</si>
  <si>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</si>
  <si>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</si>
  <si>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</si>
  <si>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</si>
  <si>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</si>
  <si>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</si>
  <si>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</si>
  <si>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</si>
  <si>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</si>
  <si>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</si>
  <si>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</si>
  <si>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</si>
  <si>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</si>
  <si>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</si>
  <si>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</si>
  <si>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</si>
  <si>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</si>
  <si>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</si>
  <si>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</si>
  <si>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</si>
  <si>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</si>
  <si>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</si>
  <si>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</si>
  <si>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</si>
  <si>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</si>
  <si>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</si>
  <si>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</si>
  <si>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</si>
  <si>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</si>
  <si>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</si>
  <si>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</si>
  <si>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</si>
  <si>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</si>
  <si>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</si>
  <si>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</si>
  <si>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</si>
  <si>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</si>
  <si>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</si>
  <si>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</si>
  <si>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</si>
  <si>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</si>
  <si>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</si>
  <si>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</si>
  <si>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</si>
  <si>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</si>
  <si>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</si>
  <si>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</si>
  <si>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</si>
  <si>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</si>
  <si>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</si>
  <si>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</si>
  <si>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</si>
  <si>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</si>
  <si>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</si>
  <si>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</si>
  <si>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</si>
  <si>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</si>
  <si>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</si>
  <si>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</si>
  <si>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</si>
  <si>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</si>
  <si>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</si>
  <si>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</si>
  <si>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</si>
  <si>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</si>
  <si>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</si>
  <si>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</si>
  <si>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</si>
  <si>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</si>
  <si>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</si>
  <si>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</si>
  <si>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</si>
  <si>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</si>
  <si>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</si>
  <si>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</si>
  <si>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</si>
  <si>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</si>
  <si>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</si>
  <si>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</si>
  <si>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</si>
  <si>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</si>
  <si>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</si>
  <si>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</si>
  <si>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</si>
  <si>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</si>
  <si>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</si>
  <si>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</si>
  <si>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</si>
  <si>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</si>
  <si>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</si>
  <si>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</si>
  <si>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</si>
  <si>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</si>
  <si>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</si>
  <si>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</si>
  <si>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</si>
  <si>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</si>
  <si>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</si>
  <si>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</si>
  <si>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</si>
  <si>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</si>
  <si>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</si>
  <si>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</si>
  <si>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</si>
  <si>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</si>
  <si>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</si>
  <si>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</si>
  <si>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</si>
  <si>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</si>
  <si>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</si>
  <si>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</si>
  <si>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</si>
  <si>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</si>
  <si>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</si>
  <si>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</si>
  <si>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</si>
  <si>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</si>
  <si>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</si>
  <si>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</si>
  <si>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</si>
  <si>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</si>
  <si>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</si>
  <si>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</si>
  <si>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</si>
  <si>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</si>
  <si>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</si>
  <si>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</si>
  <si>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</si>
  <si>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</si>
  <si>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</si>
  <si>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</si>
  <si>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</si>
  <si>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</si>
  <si>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</si>
  <si>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</si>
  <si>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</si>
  <si>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</si>
  <si>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</si>
  <si>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</si>
  <si>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</si>
  <si>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</si>
  <si>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</si>
  <si>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</si>
  <si>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</si>
  <si>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</si>
  <si>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</si>
  <si>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</si>
  <si>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</si>
  <si>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</si>
  <si>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</si>
  <si>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</si>
  <si>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</si>
  <si>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</si>
  <si>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</si>
  <si>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</si>
  <si>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</si>
  <si>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</si>
  <si>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</si>
  <si>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</si>
  <si>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</si>
  <si>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</si>
  <si>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</si>
  <si>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</si>
  <si>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</si>
  <si>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</si>
  <si>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</si>
  <si>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</si>
  <si>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</si>
  <si>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</si>
  <si>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</si>
  <si>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</si>
  <si>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</si>
  <si>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</si>
  <si>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</si>
  <si>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</si>
  <si>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</si>
  <si>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</si>
  <si>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</si>
  <si>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</si>
  <si>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</si>
  <si>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</si>
  <si>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</si>
  <si>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</si>
  <si>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</si>
  <si>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</si>
  <si>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</si>
  <si>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</si>
  <si>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</si>
  <si>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</si>
  <si>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</si>
  <si>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</si>
  <si>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</si>
  <si>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</si>
  <si>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</si>
  <si>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</si>
  <si>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</si>
  <si>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</si>
  <si>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</si>
  <si>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</si>
  <si>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</si>
  <si>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</si>
  <si>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</si>
  <si>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</si>
  <si>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</si>
  <si>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</si>
  <si>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</si>
  <si>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</si>
  <si>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</si>
  <si>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</si>
  <si>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</si>
  <si>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</si>
  <si>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</si>
  <si>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</si>
  <si>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</si>
  <si>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</si>
  <si>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</si>
  <si>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</si>
  <si>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</si>
  <si>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</si>
  <si>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</si>
  <si>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</si>
  <si>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</si>
  <si>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</si>
  <si>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</si>
  <si>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</si>
  <si>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</si>
  <si>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</si>
  <si>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</si>
  <si>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</si>
  <si>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</si>
  <si>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</si>
  <si>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</si>
  <si>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</si>
  <si>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</si>
  <si>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</si>
  <si>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</si>
  <si>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</si>
  <si>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</si>
  <si>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</si>
  <si>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</si>
  <si>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</si>
  <si>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</si>
  <si>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</si>
  <si>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</si>
  <si>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</si>
  <si>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</si>
  <si>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</si>
  <si>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</si>
  <si>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</si>
  <si>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</si>
  <si>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</si>
  <si>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</si>
  <si>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</si>
  <si>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</si>
  <si>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</si>
  <si>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</si>
  <si>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</si>
  <si>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</si>
  <si>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</si>
  <si>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</si>
  <si>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</si>
  <si>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</si>
  <si>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</si>
  <si>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</si>
  <si>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</si>
  <si>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</si>
  <si>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</si>
  <si>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</si>
  <si>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</si>
  <si>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</si>
  <si>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</si>
  <si>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</si>
  <si>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</si>
  <si>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</si>
  <si>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</si>
  <si>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</si>
  <si>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</si>
  <si>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</si>
  <si>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</si>
  <si>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</si>
  <si>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</si>
  <si>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</si>
  <si>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</si>
  <si>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</si>
  <si>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</si>
  <si>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</si>
  <si>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</si>
  <si>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</si>
  <si>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</si>
  <si>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</si>
  <si>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</si>
  <si>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</si>
  <si>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</si>
  <si>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</si>
  <si>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</si>
  <si>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</si>
  <si>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</si>
  <si>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</si>
  <si>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</si>
  <si>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</si>
  <si>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</si>
  <si>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</si>
  <si>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</si>
  <si>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</si>
  <si>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</si>
  <si>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</si>
  <si>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</si>
  <si>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</si>
  <si>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</si>
  <si>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</si>
  <si>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</si>
  <si>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</si>
  <si>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</si>
  <si>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</si>
  <si>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</si>
  <si>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</si>
  <si>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</si>
  <si>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</si>
  <si>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</si>
  <si>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</si>
  <si>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</si>
  <si>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</si>
  <si>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</si>
  <si>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</si>
  <si>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</si>
  <si>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</si>
  <si>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</si>
  <si>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</si>
  <si>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</si>
  <si>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</si>
  <si>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</si>
  <si>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</si>
  <si>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</si>
  <si>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</si>
  <si>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</si>
  <si>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</si>
  <si>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</si>
  <si>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</si>
  <si>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</si>
  <si>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</si>
  <si>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</si>
  <si>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</si>
  <si>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</si>
  <si>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</si>
  <si>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</si>
  <si>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</si>
  <si>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</si>
  <si>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</si>
  <si>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</si>
  <si>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</si>
  <si>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</si>
  <si>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</si>
  <si>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</si>
  <si>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</si>
  <si>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</si>
  <si>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</si>
  <si>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</si>
  <si>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</si>
  <si>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</si>
  <si>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</si>
  <si>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</si>
  <si>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</si>
  <si>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</si>
  <si>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</si>
  <si>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</si>
  <si>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</si>
  <si>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</si>
  <si>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</si>
  <si>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</si>
  <si>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</si>
  <si>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</si>
  <si>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</si>
  <si>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</si>
  <si>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</si>
  <si>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</si>
  <si>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</si>
  <si>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</si>
  <si>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</si>
  <si>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</si>
  <si>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</si>
  <si>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</si>
  <si>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</si>
  <si>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</si>
  <si>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</si>
  <si>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</si>
  <si>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</si>
  <si>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</si>
  <si>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</si>
  <si>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</si>
  <si>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</si>
  <si>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</si>
  <si>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</si>
  <si>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</si>
  <si>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</si>
  <si>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</si>
  <si>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</si>
  <si>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</si>
  <si>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</si>
  <si>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</si>
  <si>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</si>
  <si>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</si>
  <si>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</si>
  <si>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</si>
  <si>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</si>
  <si>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</si>
  <si>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</si>
  <si>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</si>
  <si>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</si>
  <si>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</si>
  <si>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</si>
  <si>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</si>
  <si>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</si>
  <si>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</si>
  <si>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</si>
  <si>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</si>
  <si>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</si>
  <si>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</si>
  <si>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</si>
  <si>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</si>
  <si>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</si>
  <si>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</si>
  <si>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</si>
  <si>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</si>
  <si>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</si>
  <si>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</si>
  <si>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</si>
  <si>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</si>
  <si>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</si>
  <si>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</si>
  <si>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</si>
  <si>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</si>
  <si>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</si>
  <si>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</si>
  <si>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</si>
  <si>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</si>
  <si>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</si>
  <si>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</si>
  <si>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</si>
  <si>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</si>
  <si>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</si>
  <si>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</si>
  <si>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</si>
  <si>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</si>
  <si>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</si>
  <si>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</si>
  <si>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</si>
  <si>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</si>
  <si>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</si>
  <si>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</si>
  <si>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</si>
  <si>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</si>
  <si>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</si>
  <si>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</si>
  <si>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</si>
  <si>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</si>
  <si>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</si>
  <si>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</si>
  <si>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</si>
  <si>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</si>
  <si>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</si>
  <si>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</si>
  <si>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</si>
  <si>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</si>
  <si>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</si>
  <si>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</si>
  <si>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</si>
  <si>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</si>
  <si>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</si>
  <si>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</si>
  <si>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</si>
  <si>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</si>
  <si>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</si>
  <si>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</si>
  <si>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</si>
  <si>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</si>
  <si>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</si>
  <si>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</si>
  <si>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</si>
  <si>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</si>
  <si>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</si>
  <si>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</si>
  <si>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</si>
  <si>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</si>
  <si>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</si>
  <si>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</si>
  <si>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</si>
  <si>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</si>
  <si>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</si>
  <si>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</si>
  <si>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</si>
  <si>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</si>
  <si>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</si>
  <si>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</si>
  <si>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</si>
  <si>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DFLTPGCOH_SDV-LP5_002245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</si>
  <si>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</si>
  <si>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</si>
  <si>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</si>
  <si>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</si>
  <si>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</si>
  <si>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</si>
  <si>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</si>
  <si>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</si>
  <si>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</si>
  <si>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</si>
  <si>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</si>
  <si>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</si>
  <si>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</si>
  <si>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</si>
  <si>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</si>
  <si>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CLFF_7210$$$2123OF0033 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</si>
  <si>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</si>
  <si>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</si>
  <si>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</si>
  <si>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</si>
  <si>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</si>
  <si>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</si>
  <si>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</si>
  <si>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</si>
  <si>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</si>
  <si>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</si>
  <si>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</si>
  <si>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</si>
  <si>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</si>
  <si>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</si>
  <si>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</si>
  <si>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</si>
  <si>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</si>
  <si>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</si>
  <si>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</si>
  <si>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</si>
  <si>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</si>
  <si>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</si>
  <si>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</si>
  <si>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</si>
  <si>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</si>
  <si>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G000000634</t>
  </si>
  <si>
    <t>FR7457278</t>
  </si>
  <si>
    <t>FR7453635</t>
  </si>
  <si>
    <t>CFLTFLE_23940000000115</t>
  </si>
  <si>
    <t>DFLTPGCOH_002394 HUB Organoids Holding B.V., Netherlands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</si>
  <si>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</si>
  <si>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</si>
  <si>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</si>
  <si>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</si>
  <si>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</si>
  <si>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</si>
  <si>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</si>
  <si>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</si>
  <si>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</si>
  <si>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</si>
  <si>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</si>
  <si>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</si>
  <si>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</si>
  <si>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</si>
  <si>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</si>
  <si>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</si>
  <si>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</si>
  <si>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</si>
  <si>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DFLTPGCOH_002395 HUB Organoids IP B.V., Netherlands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</si>
  <si>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</si>
  <si>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</si>
  <si>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</si>
  <si>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</si>
  <si>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</si>
  <si>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</si>
  <si>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</si>
  <si>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</si>
  <si>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</si>
  <si>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</si>
  <si>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</si>
  <si>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</si>
  <si>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</si>
  <si>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</si>
  <si>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</si>
  <si>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</si>
  <si>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</si>
  <si>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</si>
  <si>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</si>
  <si>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</si>
  <si>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DFLTPGCOH_002396 HUB Organoids B.V., Netherlands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</si>
  <si>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</si>
  <si>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</si>
  <si>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</si>
  <si>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</si>
  <si>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</si>
  <si>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</si>
  <si>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</si>
  <si>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</si>
  <si>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</si>
  <si>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</si>
  <si>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DFLTPGCOH_002098 Sigma-Aldrich Corporation, USA</t>
  </si>
  <si>
    <t>CNOW_7210$$$0000015207</t>
  </si>
  <si>
    <t>DFLTPGCOH_002004 Sigma-Aldrich Grundstücks GmbH &amp; Co. KG, Germany</t>
  </si>
  <si>
    <t>CNOW_7210$$$0000015561</t>
  </si>
  <si>
    <t>L000007673</t>
  </si>
  <si>
    <t>DFLTPGCOH_002002 Sigma-Aldrich Chemie GmbH, Germany</t>
  </si>
  <si>
    <t>CNOW_7210$$$0000020048</t>
  </si>
  <si>
    <t>L000007835</t>
  </si>
  <si>
    <t>DFLTPGCOH_002097 Sigma-Aldrich Co.LLC, USA</t>
  </si>
  <si>
    <t>CNOW_7210$$$0000040054</t>
  </si>
  <si>
    <t>L000009807</t>
  </si>
  <si>
    <t>CNOW_7210$$$0000052117</t>
  </si>
  <si>
    <t>DFLTPGCOH_002061 Sigma-Aldrich International GmbH, Switzerland</t>
  </si>
  <si>
    <t>CNOW_7210$$$0000052118</t>
  </si>
  <si>
    <t>CNOW_7210$$$0000052356</t>
  </si>
  <si>
    <t>L000011665</t>
  </si>
  <si>
    <t>DFLTPGCOH_002119 Sigma-Aldrich (Wuxi) Life Science &amp; Technology, China</t>
  </si>
  <si>
    <t>CNOW_7210$$$0000265236</t>
  </si>
  <si>
    <t>DFLTPGCOH_002072 BioReliance Corporation, USA</t>
  </si>
  <si>
    <t>CNOW_7210$$$0024065237</t>
  </si>
  <si>
    <t>DFLTPGCOH_002037 BioReliance Ltd., UK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</si>
  <si>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</si>
  <si>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</si>
  <si>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</si>
  <si>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</si>
  <si>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</si>
  <si>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</si>
  <si>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</si>
  <si>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</si>
  <si>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</si>
  <si>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</si>
  <si>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</si>
  <si>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</si>
  <si>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</si>
  <si>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</si>
  <si>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P000001319</t>
  </si>
  <si>
    <t>DFLTPGCOH_BF-C2_001242</t>
  </si>
  <si>
    <t>DFLTPGCOH_002075</t>
  </si>
  <si>
    <t>DFLTPGCOH_002002</t>
  </si>
  <si>
    <t>DFLTPGCOH_002108</t>
  </si>
  <si>
    <t>DFLTPGCOH_002142</t>
  </si>
  <si>
    <t>DFLTPGCOH_001042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</si>
  <si>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</si>
  <si>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</si>
  <si>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</si>
  <si>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</si>
  <si>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</si>
  <si>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</si>
  <si>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 xml:space="preserve">L000013786 </t>
  </si>
  <si>
    <t>L000013153</t>
  </si>
  <si>
    <t>FR7465457</t>
  </si>
  <si>
    <t>CEMERAL_70007001586020 REG Glob Dist Sust &amp; Enhance</t>
  </si>
  <si>
    <t>FR7465429</t>
  </si>
  <si>
    <t>L000013796</t>
  </si>
  <si>
    <t xml:space="preserve">L000009969 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</si>
  <si>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</si>
  <si>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</si>
  <si>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</si>
  <si>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</si>
  <si>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</si>
  <si>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</si>
  <si>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</si>
  <si>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</si>
  <si>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</si>
  <si>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</si>
  <si>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</si>
  <si>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</si>
  <si>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</si>
  <si>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</si>
  <si>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</si>
  <si>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</si>
  <si>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</si>
  <si>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</si>
  <si>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</si>
  <si>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</si>
  <si>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</si>
  <si>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</si>
  <si>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</si>
  <si>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</si>
  <si>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</si>
  <si>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</si>
  <si>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</si>
  <si>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</si>
  <si>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</si>
  <si>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</si>
  <si>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</si>
  <si>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</si>
  <si>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</si>
  <si>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</si>
  <si>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</si>
  <si>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</si>
  <si>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</si>
  <si>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</si>
  <si>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</si>
  <si>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</si>
  <si>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</si>
  <si>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</si>
  <si>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</si>
  <si>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</si>
  <si>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</si>
  <si>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</si>
  <si>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</si>
  <si>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</si>
  <si>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</si>
  <si>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</si>
  <si>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</si>
  <si>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</si>
  <si>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</si>
  <si>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</si>
  <si>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</si>
  <si>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</si>
  <si>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</si>
  <si>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</si>
  <si>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</si>
  <si>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</si>
  <si>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</si>
  <si>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</si>
  <si>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</si>
  <si>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</si>
  <si>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</si>
  <si>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</si>
  <si>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</si>
  <si>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</si>
  <si>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</si>
  <si>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</si>
  <si>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</si>
  <si>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</si>
  <si>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</si>
  <si>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</si>
  <si>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</si>
  <si>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</si>
  <si>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</si>
  <si>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</si>
  <si>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</si>
  <si>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</si>
  <si>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</si>
  <si>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</si>
  <si>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</si>
  <si>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</si>
  <si>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</si>
  <si>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</si>
  <si>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</si>
  <si>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</si>
  <si>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</si>
  <si>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</si>
  <si>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</si>
  <si>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</si>
  <si>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</si>
  <si>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</si>
  <si>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</si>
  <si>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</si>
  <si>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</si>
  <si>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</si>
  <si>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</si>
  <si>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</si>
  <si>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</si>
  <si>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</si>
  <si>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</si>
  <si>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</si>
  <si>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</si>
  <si>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</si>
  <si>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</si>
  <si>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</si>
  <si>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</si>
  <si>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</si>
  <si>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</si>
  <si>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</si>
  <si>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</si>
  <si>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</si>
  <si>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</si>
  <si>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</si>
  <si>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</si>
  <si>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</si>
  <si>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</si>
  <si>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</si>
  <si>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</si>
  <si>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</si>
  <si>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</si>
  <si>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</si>
  <si>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</si>
  <si>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</si>
  <si>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</si>
  <si>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</si>
  <si>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</si>
  <si>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</si>
  <si>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</si>
  <si>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</si>
  <si>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</si>
  <si>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</si>
  <si>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</si>
  <si>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</si>
  <si>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</si>
  <si>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</si>
  <si>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</si>
  <si>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</si>
  <si>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</si>
  <si>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</si>
  <si>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</si>
  <si>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</si>
  <si>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</si>
  <si>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</si>
  <si>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</si>
  <si>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</si>
  <si>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</si>
  <si>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</si>
  <si>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</si>
  <si>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</si>
  <si>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</si>
  <si>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</si>
  <si>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</si>
  <si>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</si>
  <si>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</si>
  <si>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</si>
  <si>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</si>
  <si>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</si>
  <si>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</si>
  <si>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</si>
  <si>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</si>
  <si>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</si>
  <si>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</si>
  <si>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</si>
  <si>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</si>
  <si>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</si>
  <si>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</si>
  <si>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</si>
  <si>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</si>
  <si>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</si>
  <si>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</si>
  <si>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</si>
  <si>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</si>
  <si>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</si>
  <si>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</si>
  <si>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</si>
  <si>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</si>
  <si>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</si>
  <si>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</si>
  <si>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</si>
  <si>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</si>
  <si>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</si>
  <si>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</si>
  <si>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</si>
  <si>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</si>
  <si>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</si>
  <si>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</si>
  <si>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</si>
  <si>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</si>
  <si>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</si>
  <si>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</si>
  <si>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</si>
  <si>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</si>
  <si>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</si>
  <si>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</si>
  <si>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</si>
  <si>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</si>
  <si>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</si>
  <si>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</si>
  <si>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</si>
  <si>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</si>
  <si>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</si>
  <si>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</si>
  <si>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</si>
  <si>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</si>
  <si>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</si>
  <si>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</si>
  <si>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</si>
  <si>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</si>
  <si>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</si>
  <si>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</si>
  <si>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</si>
  <si>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</si>
  <si>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</si>
  <si>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</si>
  <si>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</si>
  <si>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</si>
  <si>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</si>
  <si>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</si>
  <si>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</si>
  <si>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</si>
  <si>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</si>
  <si>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</si>
  <si>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</si>
  <si>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</si>
  <si>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</si>
  <si>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</si>
  <si>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</si>
  <si>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</si>
  <si>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</si>
  <si>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</si>
  <si>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</si>
  <si>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</si>
  <si>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</si>
  <si>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</si>
  <si>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</si>
  <si>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</si>
  <si>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</si>
  <si>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</si>
  <si>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</si>
  <si>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</si>
  <si>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</si>
  <si>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</si>
  <si>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</si>
  <si>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</si>
  <si>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</si>
  <si>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</si>
  <si>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</si>
  <si>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</si>
  <si>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</si>
  <si>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</si>
  <si>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</si>
  <si>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</si>
  <si>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</si>
  <si>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</si>
  <si>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</si>
  <si>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</si>
  <si>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</si>
  <si>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</si>
  <si>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</si>
  <si>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</si>
  <si>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</si>
  <si>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</si>
  <si>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</si>
  <si>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</si>
  <si>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</si>
  <si>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</si>
  <si>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</si>
  <si>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</si>
  <si>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</si>
  <si>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</si>
  <si>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</si>
  <si>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</si>
  <si>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</si>
  <si>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</si>
  <si>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</si>
  <si>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</si>
  <si>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</si>
  <si>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</si>
  <si>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</si>
  <si>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</si>
  <si>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</si>
  <si>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</si>
  <si>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</si>
  <si>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</si>
  <si>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</si>
  <si>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</si>
  <si>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</si>
  <si>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</si>
  <si>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</si>
  <si>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</si>
  <si>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</si>
  <si>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</si>
  <si>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</si>
  <si>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</si>
  <si>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</si>
  <si>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</si>
  <si>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</si>
  <si>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</si>
  <si>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</si>
  <si>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</si>
  <si>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</si>
  <si>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</si>
  <si>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</si>
  <si>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</si>
  <si>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</si>
  <si>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</si>
  <si>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</si>
  <si>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</si>
  <si>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</si>
  <si>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</si>
  <si>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</si>
  <si>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</si>
  <si>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</si>
  <si>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</si>
  <si>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</si>
  <si>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</si>
  <si>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</si>
  <si>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</si>
  <si>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</si>
  <si>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</si>
  <si>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</si>
  <si>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</si>
  <si>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</si>
  <si>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</si>
  <si>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</si>
  <si>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</si>
  <si>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</si>
  <si>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</si>
  <si>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</si>
  <si>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</si>
  <si>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G000000502</t>
  </si>
  <si>
    <t>G000000850</t>
  </si>
  <si>
    <t>G000001068</t>
  </si>
  <si>
    <t>G000001032</t>
  </si>
  <si>
    <t>G000001071</t>
  </si>
  <si>
    <t>G000001073</t>
  </si>
  <si>
    <t>G000001054</t>
  </si>
  <si>
    <t>G000001053</t>
  </si>
  <si>
    <t>G000001072</t>
  </si>
  <si>
    <t>G000001057</t>
  </si>
  <si>
    <t>G000001058</t>
  </si>
  <si>
    <t>G000001043</t>
  </si>
  <si>
    <t>G000001042</t>
  </si>
  <si>
    <t>G000001039</t>
  </si>
  <si>
    <t>G000001056</t>
  </si>
  <si>
    <t>G000001046</t>
  </si>
  <si>
    <t>G000001060</t>
  </si>
  <si>
    <t>G000001047</t>
  </si>
  <si>
    <t>G000001040</t>
  </si>
  <si>
    <t>G000001041</t>
  </si>
  <si>
    <t>G000001061</t>
  </si>
  <si>
    <t>G000001062</t>
  </si>
  <si>
    <t>G000001063</t>
  </si>
  <si>
    <t>G000001051</t>
  </si>
  <si>
    <t>G000001050</t>
  </si>
  <si>
    <t>G000001044</t>
  </si>
  <si>
    <t>G000001064</t>
  </si>
  <si>
    <t>G000001038</t>
  </si>
  <si>
    <t>G000000510</t>
  </si>
  <si>
    <t>G000000508</t>
  </si>
  <si>
    <t>G000000988</t>
  </si>
  <si>
    <t>G000000990</t>
  </si>
  <si>
    <t>G000000976</t>
  </si>
  <si>
    <t>G000000975</t>
  </si>
  <si>
    <t>G000000989</t>
  </si>
  <si>
    <t>G000000979</t>
  </si>
  <si>
    <t>G000000980</t>
  </si>
  <si>
    <t>G000000965</t>
  </si>
  <si>
    <t>G000000964</t>
  </si>
  <si>
    <t>G000000961</t>
  </si>
  <si>
    <t>G000000978</t>
  </si>
  <si>
    <t>G000000968</t>
  </si>
  <si>
    <t>G000000969</t>
  </si>
  <si>
    <t>G000000962</t>
  </si>
  <si>
    <t>G000000963</t>
  </si>
  <si>
    <t>G000000983</t>
  </si>
  <si>
    <t>G000000984</t>
  </si>
  <si>
    <t>G000000982</t>
  </si>
  <si>
    <t>G000000985</t>
  </si>
  <si>
    <t>G000000973</t>
  </si>
  <si>
    <t>G000000972</t>
  </si>
  <si>
    <t>G000000966</t>
  </si>
  <si>
    <t>G000000986</t>
  </si>
  <si>
    <t>G000000960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</si>
  <si>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</si>
  <si>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</si>
  <si>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</si>
  <si>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</si>
  <si>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</si>
  <si>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</si>
  <si>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</si>
  <si>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</si>
  <si>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</si>
  <si>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</si>
  <si>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G000000776</t>
  </si>
  <si>
    <t>G000000777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</si>
  <si>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</si>
  <si>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</si>
  <si>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</si>
  <si>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</si>
  <si>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</si>
  <si>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</si>
  <si>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</si>
  <si>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</si>
  <si>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</si>
  <si>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</si>
  <si>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</si>
  <si>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CLFF_KR00$$$KR03GHR119 MBS RPO</t>
  </si>
  <si>
    <t>CORAERP_MMOR1945.9153 Fertility reimbursement purposes</t>
  </si>
  <si>
    <t>G000001227</t>
  </si>
  <si>
    <t>G000000119</t>
  </si>
  <si>
    <t>G000000589</t>
  </si>
  <si>
    <t>G000000113</t>
  </si>
  <si>
    <t>CLFF_7210$$$2068TAUA01 Urbana Equipment CC</t>
  </si>
  <si>
    <t>FLFF_7210$$$2068TAUA01_IO Urbana Equipment CC (IO)</t>
  </si>
  <si>
    <t>P000000188 SRF-US-UB Other</t>
  </si>
  <si>
    <t>P000000333 SRF-US-UB Quality (T2)</t>
  </si>
  <si>
    <t>Duplicate request FR7449455. This was already processed and mapped to its requested parent node.</t>
  </si>
  <si>
    <t>FR7468738</t>
  </si>
  <si>
    <t>Changes were saved for change request 25523738</t>
  </si>
  <si>
    <t>3rd batch</t>
  </si>
  <si>
    <t>2nd 100</t>
  </si>
  <si>
    <t>Changes were saved for change request 25524013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</si>
</sst>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11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0" fontId="0" fillId="0" borderId="0" xfId="0" applyNumberFormat="1"/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841.638015277778" createdVersion="7" refreshedVersion="8" minRefreshableVersion="3" recordCount="2500" xr:uid="{11839AE3-6158-4318-87AD-2C711D0BF451}">
  <cacheSource type="worksheet">
    <worksheetSource name="Proc"/>
  </cacheSource>
  <cacheFields count="19">
    <cacheField name="App" numFmtId="0">
      <sharedItems containsBlank="1" count="145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/>
        <s v="F3" u="1"/>
      </sharedItems>
    </cacheField>
    <cacheField name="DateOpened" numFmtId="14">
      <sharedItems containsSemiMixedTypes="0" containsNonDate="0" containsDate="1" containsString="0" minDate="2023-09-01T00:00:00" maxDate="2025-07-03T05:48:53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39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0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39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14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14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14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14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14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14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14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14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14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14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14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10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07"/>
    <s v="Francesco Ricioppo"/>
    <m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07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07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07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07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07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07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07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07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07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07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07"/>
    <s v="Francesco Ricioppo"/>
    <m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07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07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07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07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07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07"/>
    <s v="Francesco Ricioppo"/>
    <m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07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07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07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07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07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07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07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07"/>
    <s v="Francesco Ricioppo"/>
    <m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07"/>
    <s v="Francesco Ricioppo"/>
    <m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07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07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07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07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07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07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07"/>
    <s v="Francesco Ricioppo"/>
    <m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07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07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07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07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07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07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07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06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06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06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06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05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05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05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05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05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04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04"/>
    <s v="Jojeff Tagnong"/>
    <m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02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02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01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98"/>
    <s v="Eivy Denine Cruz"/>
    <m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98"/>
    <s v="Eivy Denine Cruz"/>
    <m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98"/>
    <s v="Eivy Denine Cruz"/>
    <m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98"/>
    <s v="Eivy Denine Cruz"/>
    <m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98"/>
    <s v="Eivy Denine Cruz"/>
    <m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98"/>
    <s v="Eivy Denine Cruz"/>
    <m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98"/>
    <s v="Eivy Denine Cruz"/>
    <m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98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98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98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98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98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98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98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98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98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98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98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98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98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98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97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97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97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97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97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92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92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92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87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87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87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87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87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87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87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87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87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87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87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87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87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87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87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87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87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87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83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83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83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78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77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77"/>
    <s v="Jayson Martinez"/>
    <m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77"/>
    <s v="Jayson Martinez"/>
    <m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77"/>
    <s v="Jayson Martinez"/>
    <m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77"/>
    <s v="Jayson Martinez"/>
    <m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77"/>
    <s v="Jayson Martinez"/>
    <m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77"/>
    <s v="Jayson Martinez"/>
    <m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77"/>
    <s v="Jayson Martinez"/>
    <m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77"/>
    <s v="Jayson Martinez"/>
    <m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77"/>
    <s v="Jayson Martinez"/>
    <m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77"/>
    <s v="Jayson Martinez"/>
    <m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77"/>
    <s v="Jayson Martinez"/>
    <m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63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63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62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62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62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52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37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37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37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37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37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37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37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37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37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37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37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37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37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37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37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37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37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37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37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37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34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34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34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34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33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33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33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32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32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32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32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32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32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32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32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32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32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32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32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32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32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32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32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32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32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28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28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28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28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28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28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3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3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3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3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3"/>
    <d v="2025-05-30T16:16:50"/>
    <m/>
    <d v="2025-06-02T00:00:00"/>
    <x v="0"/>
    <n v="1"/>
    <s v="Rayneil Reas"/>
    <m/>
  </r>
  <r>
    <x v="243"/>
    <x v="0"/>
    <x v="2"/>
    <s v="PLEAN_X310181CZ5010201 Bavenci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3"/>
    <d v="2025-05-30T16:16:50"/>
    <m/>
    <d v="2025-06-02T00:00:00"/>
    <x v="0"/>
    <n v="1"/>
    <s v="Rayneil Reas"/>
    <m/>
  </r>
  <r>
    <x v="244"/>
    <x v="0"/>
    <x v="2"/>
    <s v="CSCALA_1086$4901_504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3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3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3"/>
    <d v="2025-06-03T11:02:55"/>
    <m/>
    <m/>
    <x v="1"/>
    <n v="22"/>
    <s v="Gay Geanuza del Mundo"/>
    <m/>
  </r>
  <r>
    <x v="249"/>
    <x v="0"/>
    <x v="2"/>
    <s v="CSCALA_1042$EDP_P52"/>
    <s v="G000000635 "/>
    <s v="G000000635 "/>
    <s v="Non-LFF"/>
    <s v=""/>
    <m/>
    <b v="1"/>
    <x v="0"/>
    <x v="3"/>
    <d v="2025-06-03T11:02:55"/>
    <m/>
    <m/>
    <x v="1"/>
    <n v="22"/>
    <s v="Jojeff Tagnong"/>
    <m/>
  </r>
  <r>
    <x v="250"/>
    <x v="0"/>
    <x v="2"/>
    <s v="PNEXT_D300119210201000000"/>
    <s v="L000011451"/>
    <s v="L000011451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3"/>
    <d v="2025-06-03T11:02:55"/>
    <m/>
    <d v="2025-06-11T00:00:00"/>
    <x v="1"/>
    <n v="6"/>
    <s v="Ruby Grace Garcia"/>
    <m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7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7"/>
    <s v="Jojeff Tagnong"/>
    <m/>
  </r>
  <r>
    <x v="255"/>
    <x v="0"/>
    <x v="2"/>
    <s v="CNOW_7210$$$PC00011060"/>
    <s v="L000012168"/>
    <s v="L000012168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2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2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2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2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2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2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2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2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2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2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2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2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2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2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2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2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2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2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2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2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2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2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2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2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2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2"/>
    <s v="Rizza Tolentino"/>
    <m/>
  </r>
  <r>
    <x v="263"/>
    <x v="0"/>
    <x v="4"/>
    <s v="PC00011842"/>
    <s v="L000013495"/>
    <n v="0"/>
    <s v="Non-LFF"/>
    <s v=""/>
    <m/>
    <b v="0"/>
    <x v="2"/>
    <x v="3"/>
    <d v="2025-06-20T12:12:54"/>
    <m/>
    <d v="2025-06-23T00:00:00"/>
    <x v="0"/>
    <n v="1"/>
    <s v="Joan Rose Pena"/>
    <m/>
  </r>
  <r>
    <x v="264"/>
    <x v="0"/>
    <x v="2"/>
    <s v="CFLTFLE_22450000002743"/>
    <s v="L000011444"/>
    <s v="DFLTPGCOH_SDV-LP5_002245"/>
    <s v="Non-LFF"/>
    <s v=""/>
    <m/>
    <b v="0"/>
    <x v="2"/>
    <x v="3"/>
    <d v="2025-06-20T12:12:54"/>
    <d v="2025-06-23T00:00:00"/>
    <d v="2025-06-23T00:00:00"/>
    <x v="0"/>
    <n v="1"/>
    <s v="Pilar Laurido"/>
    <m/>
  </r>
  <r>
    <x v="265"/>
    <x v="1"/>
    <x v="4"/>
    <s v="PEMERAL_6403H2018040201__1001 SI_Project Chronos/H.20180402.01.1001"/>
    <s v="H201804020"/>
    <m/>
    <s v="Non-LFF"/>
    <s v=""/>
    <s v="PCB doesn't recognize the object."/>
    <b v="0"/>
    <x v="1"/>
    <x v="3"/>
    <d v="2025-06-20T09:13:19"/>
    <m/>
    <m/>
    <x v="1"/>
    <n v="9"/>
    <s v="Erjo Miguel Tagle"/>
    <m/>
  </r>
  <r>
    <x v="265"/>
    <x v="1"/>
    <x v="2"/>
    <s v="ITEMPNA_009004000840 CA20IC1881SE3122112000"/>
    <s v="H000000974"/>
    <m/>
    <s v="Non-LFF"/>
    <s v=""/>
    <m/>
    <b v="0"/>
    <x v="1"/>
    <x v="3"/>
    <d v="2025-06-20T09:13:19"/>
    <m/>
    <m/>
    <x v="1"/>
    <n v="9"/>
    <s v="Erjo Miguel Tagle"/>
    <m/>
  </r>
  <r>
    <x v="265"/>
    <x v="1"/>
    <x v="2"/>
    <s v="ITEMPNA_009004001045 CA20IC1881SE3110250000A4"/>
    <s v="H000000974"/>
    <m/>
    <s v="Non-LFF"/>
    <s v=""/>
    <m/>
    <b v="0"/>
    <x v="1"/>
    <x v="3"/>
    <d v="2025-06-20T09:13:19"/>
    <m/>
    <m/>
    <x v="1"/>
    <n v="9"/>
    <s v="Erjo Miguel Tagle"/>
    <m/>
  </r>
  <r>
    <x v="265"/>
    <x v="1"/>
    <x v="5"/>
    <s v="ITEMPNA_001040000036"/>
    <s v="H000000974"/>
    <m/>
    <s v="Non-LFF"/>
    <s v=""/>
    <m/>
    <b v="0"/>
    <x v="1"/>
    <x v="3"/>
    <d v="2025-06-20T09:13:19"/>
    <m/>
    <m/>
    <x v="1"/>
    <n v="9"/>
    <s v="Erjo Miguel Tagle"/>
    <m/>
  </r>
  <r>
    <x v="263"/>
    <x v="0"/>
    <x v="2"/>
    <s v="CNOW_7210$$$PC00011842"/>
    <s v="L000013495"/>
    <m/>
    <s v="Non-LFF"/>
    <s v=""/>
    <m/>
    <b v="0"/>
    <x v="2"/>
    <x v="3"/>
    <d v="2025-06-19T09:13:19"/>
    <m/>
    <m/>
    <x v="1"/>
    <n v="10"/>
    <s v="Joan Rose Pena"/>
    <m/>
  </r>
  <r>
    <x v="266"/>
    <x v="0"/>
    <x v="2"/>
    <s v="CPHOENX_01010000538989"/>
    <s v="L000013259"/>
    <m/>
    <s v="Non-LFF"/>
    <s v=""/>
    <m/>
    <b v="0"/>
    <x v="2"/>
    <x v="3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m/>
    <s v="LFF (MDG-F)"/>
    <s v="DE10B20210"/>
    <m/>
    <b v="0"/>
    <x v="2"/>
    <x v="3"/>
    <d v="2025-06-24T09:13:19"/>
    <d v="2025-07-01T00:00:00"/>
    <d v="2025-07-01T00:00:00"/>
    <x v="0"/>
    <n v="5"/>
    <s v="Joan Rose Pena"/>
    <m/>
  </r>
  <r>
    <x v="267"/>
    <x v="1"/>
    <x v="6"/>
    <s v="CLFF_7210$$$2123OF0033 "/>
    <s v="G000001325"/>
    <s v="G000001290"/>
    <s v="LFF (MDG-F)"/>
    <s v="2123OF0033"/>
    <s v="Changes were saved for change request 25497069"/>
    <b v="0"/>
    <x v="0"/>
    <x v="3"/>
    <d v="2025-06-24T15:59:23"/>
    <m/>
    <m/>
    <x v="1"/>
    <n v="7"/>
    <s v="Jojeff Tagnong"/>
    <m/>
  </r>
  <r>
    <x v="267"/>
    <x v="1"/>
    <x v="6"/>
    <s v="CLFF_1000$$$CH75GM8300 "/>
    <s v="G000000218"/>
    <s v="G000000630"/>
    <s v="LFF (MDG-F)"/>
    <s v="CH75GM8300"/>
    <s v="Changes were saved for change request 25497069"/>
    <b v="0"/>
    <x v="0"/>
    <x v="3"/>
    <d v="2025-06-24T15:59:23"/>
    <m/>
    <m/>
    <x v="1"/>
    <n v="7"/>
    <s v="Jojeff Tagnong"/>
    <m/>
  </r>
  <r>
    <x v="268"/>
    <x v="0"/>
    <x v="2"/>
    <s v="CLFF_7210$$$2068TAUA00 Urbana Operations Main CC"/>
    <s v="L000013447"/>
    <s v="P000000179 EL-PS-OU Site Urbana, USA"/>
    <s v="LFF (MDG-F)"/>
    <s v="2068TAUA00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P000000179 EL-PS-OU Site Urbana, USA"/>
    <s v="LFF (MDG-F)"/>
    <s v="2068TAUA99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P000000179 EL-PS-OU Site Urbana, USA"/>
    <s v="LFF (MDG-F)"/>
    <s v="2068TBUZ21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P000000179 EL-PS-OU Site Urbana, USA"/>
    <s v="LFF (MDG-F)"/>
    <s v="2068TFUZ61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P000000179 EL-PS-OU Site Urbana, USA"/>
    <s v="LFF (MDG-F)"/>
    <s v="2068TKUZ70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P000000179 EL-PS-OU Site Urbana, USA"/>
    <s v="LFF (MDG-F)"/>
    <s v="2068TQUZ90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P000000179 EL-PS-OU Site Urbana, USA"/>
    <s v="LFF (MDG-F)"/>
    <s v="2068TAUA01"/>
    <s v="Changes were saved for change request 25506375"/>
    <b v="0"/>
    <x v="3"/>
    <x v="3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3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3"/>
    <d v="2025-06-27T14:36:58"/>
    <m/>
    <d v="2025-07-01T00:00:00"/>
    <x v="0"/>
    <n v="2"/>
    <s v="Roselle Delos Angeles"/>
    <m/>
  </r>
  <r>
    <x v="269"/>
    <x v="0"/>
    <x v="2"/>
    <s v="CFLTFLE_17710000514000"/>
    <s v="H000002268"/>
    <m/>
    <s v="Non-LFF"/>
    <s v=""/>
    <m/>
    <b v="0"/>
    <x v="0"/>
    <x v="3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m/>
    <s v="Non-LFF"/>
    <s v=""/>
    <m/>
    <b v="0"/>
    <x v="0"/>
    <x v="3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G000000634"/>
    <s v="Non-LFF"/>
    <s v=""/>
    <m/>
    <b v="0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DFLTPGCOH_002394 HUB Organoids Holding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DFLTPGCOH_002395 HUB Organoids IP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DFLTPGCOH_002396 HUB Organoids B.V., Netherlands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DFLTPGCOH_002098 Sigma-Aldrich Corporation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DFLTPGCOH_002004 Sigma-Aldrich Grundstücks GmbH &amp; Co. KG, Germany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DFLTPGCOH_002002 Sigma-Aldrich Chemie GmbH, Germany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DFLTPGCOH_002097 Sigma-Aldrich Co.LLC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DFLTPGCOH_002097 Sigma-Aldrich Co.LLC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DFLTPGCOH_002061 Sigma-Aldrich International GmbH, Switzerland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DFLTPGCOH_002061 Sigma-Aldrich International GmbH, Switzerland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DFLTPGCOH_002119 Sigma-Aldrich (Wuxi) Life Science &amp; Technology, Chin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DFLTPGCOH_002072 BioReliance Corporation, USA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DFLTPGCOH_002037 BioReliance Ltd., UK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DFLTPGCOH_002037 BioReliance Ltd., UK"/>
    <s v="Non-LFF"/>
    <s v=""/>
    <m/>
    <b v="0"/>
    <x v="2"/>
    <x v="3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1319"/>
    <s v="LFF (MDG-F)"/>
    <s v="DE10677800"/>
    <s v="Changes were saved for change request 25518301"/>
    <b v="0"/>
    <x v="0"/>
    <x v="3"/>
    <d v="2025-07-01T12:24:11"/>
    <d v="2025-07-03T00:00:00"/>
    <d v="2025-07-03T00:00:00"/>
    <x v="0"/>
    <n v="2"/>
    <s v="Jay-R Lizardo"/>
    <m/>
  </r>
  <r>
    <x v="272"/>
    <x v="1"/>
    <x v="6"/>
    <s v="CLFF_1000$$$DE65GIT032"/>
    <s v="G000000256"/>
    <s v="DFLTPGCOH_BF-C2_001242"/>
    <s v="LFF (MDG-F)"/>
    <s v="DE65GIT032"/>
    <s v="Changes were saved for change request 25518301"/>
    <b v="0"/>
    <x v="0"/>
    <x v="3"/>
    <d v="2025-07-01T12:24:11"/>
    <m/>
    <m/>
    <x v="0"/>
    <n v="2"/>
    <s v="Jay-R Lizardo"/>
    <m/>
  </r>
  <r>
    <x v="272"/>
    <x v="1"/>
    <x v="2"/>
    <s v="CLFF_1000$$$ES50GIT40L"/>
    <s v="P000000765"/>
    <s v="P000001319"/>
    <s v="LFF (MDG-F)"/>
    <s v="ES50GIT40L"/>
    <s v="Changes were saved for change request 25518301"/>
    <b v="0"/>
    <x v="0"/>
    <x v="3"/>
    <d v="2025-07-01T12:24:11"/>
    <d v="2025-07-03T00:00:00"/>
    <d v="2025-07-03T00:00:00"/>
    <x v="0"/>
    <n v="2"/>
    <s v="Jay-R Lizardo"/>
    <m/>
  </r>
  <r>
    <x v="272"/>
    <x v="1"/>
    <x v="2"/>
    <s v="CLFF_1000$$$IT50GIT025"/>
    <s v="G000000339"/>
    <s v="G000000279"/>
    <s v="LFF (MDG-F)"/>
    <s v="IT50GIT025"/>
    <s v="Changes were saved for change request 25518301"/>
    <b v="0"/>
    <x v="0"/>
    <x v="3"/>
    <d v="2025-07-01T12:24:11"/>
    <d v="2025-07-03T00:00:00"/>
    <d v="2025-07-03T00:00:00"/>
    <x v="0"/>
    <n v="2"/>
    <s v="Jay-R Lizardo"/>
    <m/>
  </r>
  <r>
    <x v="272"/>
    <x v="1"/>
    <x v="2"/>
    <s v="CNOW_7210$$$0000008047"/>
    <s v="G000000279"/>
    <s v="DFLTPGCOH_002075"/>
    <s v="Non-LFF"/>
    <s v=""/>
    <m/>
    <b v="0"/>
    <x v="0"/>
    <x v="3"/>
    <d v="2025-07-01T12:24:11"/>
    <d v="2025-07-03T00:00:00"/>
    <d v="2025-07-03T00:00:00"/>
    <x v="0"/>
    <n v="2"/>
    <s v="Jay-R Lizardo"/>
    <m/>
  </r>
  <r>
    <x v="272"/>
    <x v="1"/>
    <x v="2"/>
    <s v="CNOW_7210$$$0000015701"/>
    <s v="G000000282"/>
    <s v="DFLTPGCOH_002002"/>
    <s v="Non-LFF"/>
    <s v=""/>
    <m/>
    <b v="0"/>
    <x v="0"/>
    <x v="3"/>
    <d v="2025-07-01T12:24:11"/>
    <d v="2025-07-03T00:00:00"/>
    <d v="2025-07-03T00:00:00"/>
    <x v="0"/>
    <n v="2"/>
    <s v="Jay-R Lizardo"/>
    <m/>
  </r>
  <r>
    <x v="272"/>
    <x v="1"/>
    <x v="2"/>
    <s v="CNOW_7210$$$0000496755"/>
    <s v="G000000279"/>
    <s v="DFLTPGCOH_002108"/>
    <s v="Non-LFF"/>
    <s v=""/>
    <m/>
    <b v="0"/>
    <x v="0"/>
    <x v="3"/>
    <d v="2025-07-01T12:24:11"/>
    <d v="2025-07-03T00:00:00"/>
    <d v="2025-07-03T00:00:00"/>
    <x v="0"/>
    <n v="2"/>
    <s v="Jay-R Lizardo"/>
    <m/>
  </r>
  <r>
    <x v="272"/>
    <x v="1"/>
    <x v="2"/>
    <s v="CNOW_AUS0$$$0000092061"/>
    <s v="G000000282"/>
    <s v="DFLTPGCOH_002142"/>
    <s v="Non-LFF"/>
    <s v=""/>
    <m/>
    <b v="0"/>
    <x v="0"/>
    <x v="3"/>
    <d v="2025-07-01T12:24:11"/>
    <d v="2025-07-03T00:00:00"/>
    <d v="2025-07-03T00:00:00"/>
    <x v="0"/>
    <n v="2"/>
    <s v="Jay-R Lizardo"/>
    <m/>
  </r>
  <r>
    <x v="272"/>
    <x v="1"/>
    <x v="2"/>
    <s v="CSCALA_1042$ITIW"/>
    <s v="G000000282"/>
    <s v="DFLTPGCOH_001042"/>
    <s v="Non-LFF"/>
    <s v=""/>
    <m/>
    <b v="0"/>
    <x v="0"/>
    <x v="3"/>
    <d v="2025-07-01T12:24:11"/>
    <d v="2025-07-03T00:00:00"/>
    <d v="2025-07-03T00:00:00"/>
    <x v="0"/>
    <n v="2"/>
    <s v="Jay-R Lizardo"/>
    <m/>
  </r>
  <r>
    <x v="272"/>
    <x v="1"/>
    <x v="2"/>
    <s v="CTEMPEU_1000PL10D05003"/>
    <s v="G000000895"/>
    <s v="G000001356"/>
    <s v="Non-LFF"/>
    <s v=""/>
    <m/>
    <b v="0"/>
    <x v="0"/>
    <x v="3"/>
    <d v="2025-07-01T12:24:11"/>
    <d v="2025-07-03T00:00:00"/>
    <d v="2025-07-03T00:00:00"/>
    <x v="0"/>
    <n v="2"/>
    <s v="Jay-R Lizardo"/>
    <m/>
  </r>
  <r>
    <x v="272"/>
    <x v="1"/>
    <x v="2"/>
    <s v="CTEMPEU_1000PL80GIT01B"/>
    <s v="G000000339"/>
    <s v="G000000279"/>
    <s v="Non-LFF"/>
    <s v=""/>
    <m/>
    <b v="0"/>
    <x v="0"/>
    <x v="3"/>
    <d v="2025-07-01T12:24:11"/>
    <d v="2025-07-03T00:00:00"/>
    <d v="2025-07-03T00:00:00"/>
    <x v="0"/>
    <n v="2"/>
    <s v="Jay-R Lizardo"/>
    <m/>
  </r>
  <r>
    <x v="273"/>
    <x v="0"/>
    <x v="2"/>
    <s v="CSCALA_1248$GM00 Quality Assurance"/>
    <s v="H000000000"/>
    <m/>
    <s v="Non-LFF"/>
    <s v=""/>
    <m/>
    <b v="0"/>
    <x v="1"/>
    <x v="3"/>
    <d v="2025-07-02T09:13:57"/>
    <d v="2025-07-03T00:00:00"/>
    <d v="2025-07-03T00:00:00"/>
    <x v="0"/>
    <n v="1"/>
    <s v="Nikolaos Antonopoulos"/>
    <m/>
  </r>
  <r>
    <x v="274"/>
    <x v="1"/>
    <x v="5"/>
    <s v="CFLTFLE_22450000002707 EXL - Mfg Admin"/>
    <s v="L000013786 "/>
    <s v="L000013153"/>
    <s v="Non-LFF"/>
    <s v=""/>
    <m/>
    <b v="0"/>
    <x v="2"/>
    <x v="3"/>
    <d v="2025-07-03T05:48:53"/>
    <m/>
    <m/>
    <x v="0"/>
    <n v="0"/>
    <s v="Ruby Grace Garcia"/>
    <m/>
  </r>
  <r>
    <x v="275"/>
    <x v="1"/>
    <x v="5"/>
    <s v="CEMERAL_70007001586020 REG Glob Dist Sust &amp; Enhance"/>
    <s v="L000013796"/>
    <s v="L000009969 "/>
    <s v="Non-LFF"/>
    <s v=""/>
    <m/>
    <b v="0"/>
    <x v="2"/>
    <x v="3"/>
    <d v="2025-07-03T05:23:33"/>
    <m/>
    <m/>
    <x v="0"/>
    <n v="0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x="3"/>
        <item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3"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20" firstHeaderRow="1" firstDataRow="1" firstDataCol="1" rowPageCount="1" colPageCount="1"/>
  <pivotFields count="19">
    <pivotField axis="axisRow" showAll="0" sortType="ascending">
      <items count="1458">
        <item sd="0" m="1" x="842"/>
        <item sd="0" x="0"/>
        <item sd="0" m="1" x="912"/>
        <item sd="0" m="1" x="1333"/>
        <item sd="0" m="1" x="495"/>
        <item sd="0" m="1" x="1350"/>
        <item sd="0" m="1" x="872"/>
        <item sd="0" m="1" x="962"/>
        <item sd="0" m="1" x="1383"/>
        <item sd="0" m="1" x="1177"/>
        <item sd="0" m="1" x="865"/>
        <item sd="0" m="1" x="1449"/>
        <item sd="0" m="1" x="1195"/>
        <item sd="0" m="1" x="1439"/>
        <item sd="0" m="1" x="813"/>
        <item sd="0" m="1" x="714"/>
        <item sd="0" m="1" x="418"/>
        <item sd="0" m="1" x="679"/>
        <item sd="0" m="1" x="1403"/>
        <item sd="0" m="1" x="471"/>
        <item sd="0" m="1" x="779"/>
        <item sd="0" m="1" x="1147"/>
        <item sd="0" m="1" x="862"/>
        <item sd="0" m="1" x="955"/>
        <item sd="0" m="1" x="1251"/>
        <item sd="0" m="1" x="1436"/>
        <item sd="0" m="1" x="897"/>
        <item sd="0" m="1" x="919"/>
        <item sd="0" m="1" x="684"/>
        <item sd="0" m="1" x="1085"/>
        <item sd="0" m="1" x="844"/>
        <item sd="0" m="1" x="1390"/>
        <item sd="0" m="1" x="1047"/>
        <item sd="0" m="1" x="480"/>
        <item sd="0" m="1" x="588"/>
        <item sd="0" m="1" x="1375"/>
        <item sd="0" m="1" x="1139"/>
        <item sd="0" m="1" x="393"/>
        <item sd="0" m="1" x="1225"/>
        <item sd="0" m="1" x="891"/>
        <item sd="0" m="1" x="1186"/>
        <item sd="0" m="1" x="772"/>
        <item sd="0" m="1" x="1124"/>
        <item sd="0" m="1" x="383"/>
        <item sd="0" m="1" x="413"/>
        <item sd="0" m="1" x="1452"/>
        <item sd="0" m="1" x="1131"/>
        <item sd="0" m="1" x="1199"/>
        <item sd="0" m="1" x="1306"/>
        <item sd="0" m="1" x="1075"/>
        <item sd="0" m="1" x="1173"/>
        <item sd="0" m="1" x="1012"/>
        <item sd="0" m="1" x="467"/>
        <item sd="0" m="1" x="658"/>
        <item sd="0" m="1" x="1434"/>
        <item sd="0" m="1" x="1002"/>
        <item sd="0" m="1" x="1142"/>
        <item sd="0" m="1" x="670"/>
        <item sd="0" m="1" x="631"/>
        <item sd="0" m="1" x="923"/>
        <item sd="0" m="1" x="815"/>
        <item sd="0" m="1" x="848"/>
        <item sd="0" m="1" x="407"/>
        <item sd="0" m="1" x="546"/>
        <item sd="0" m="1" x="1208"/>
        <item sd="0" m="1" x="1425"/>
        <item sd="0" m="1" x="611"/>
        <item sd="0" m="1" x="1016"/>
        <item sd="0" m="1" x="1026"/>
        <item sd="0" m="1" x="1203"/>
        <item sd="0" m="1" x="1313"/>
        <item sd="0" m="1" x="1191"/>
        <item sd="0" m="1" x="486"/>
        <item sd="0" m="1" x="1334"/>
        <item sd="0" m="1" x="1064"/>
        <item sd="0" m="1" x="1051"/>
        <item sd="0" m="1" x="586"/>
        <item sd="0" m="1" x="939"/>
        <item sd="0" m="1" x="1286"/>
        <item sd="0" m="1" x="404"/>
        <item sd="0" m="1" x="983"/>
        <item sd="0" m="1" x="1336"/>
        <item sd="0" m="1" x="1174"/>
        <item sd="0" m="1" x="909"/>
        <item sd="0" m="1" x="951"/>
        <item sd="0" m="1" x="832"/>
        <item sd="0" m="1" x="1067"/>
        <item sd="0" m="1" x="879"/>
        <item sd="0" m="1" x="1111"/>
        <item sd="0" m="1" x="595"/>
        <item sd="0" m="1" x="1424"/>
        <item sd="0" m="1" x="949"/>
        <item sd="0" m="1" x="1235"/>
        <item sd="0" m="1" x="312"/>
        <item sd="0" m="1" x="1440"/>
        <item sd="0" m="1" x="976"/>
        <item sd="0" m="1" x="1265"/>
        <item sd="0" m="1" x="1178"/>
        <item sd="0" m="1" x="956"/>
        <item sd="0" m="1" x="466"/>
        <item sd="0" m="1" x="473"/>
        <item sd="0" m="1" x="513"/>
        <item sd="0" m="1" x="695"/>
        <item sd="0" m="1" x="1119"/>
        <item sd="0" m="1" x="880"/>
        <item sd="0" m="1" x="996"/>
        <item sd="0" m="1" x="1059"/>
        <item sd="0" m="1" x="1206"/>
        <item sd="0" m="1" x="1289"/>
        <item sd="0" m="1" x="851"/>
        <item sd="0" m="1" x="572"/>
        <item sd="0" m="1" x="415"/>
        <item sd="0" m="1" x="558"/>
        <item sd="0" m="1" x="1433"/>
        <item sd="0" m="1" x="590"/>
        <item sd="0" m="1" x="1271"/>
        <item sd="0" m="1" x="1200"/>
        <item sd="0" m="1" x="818"/>
        <item sd="0" m="1" x="890"/>
        <item sd="0" m="1" x="756"/>
        <item sd="0" m="1" x="1013"/>
        <item sd="0" m="1" x="1388"/>
        <item sd="0" m="1" x="564"/>
        <item sd="0" m="1" x="512"/>
        <item sd="0" m="1" x="447"/>
        <item sd="0" m="1" x="1113"/>
        <item sd="0" m="1" x="1373"/>
        <item sd="0" m="1" x="1301"/>
        <item sd="0" m="1" x="958"/>
        <item sd="0" m="1" x="482"/>
        <item sd="0" m="1" x="1207"/>
        <item sd="0" m="1" x="659"/>
        <item sd="0" m="1" x="913"/>
        <item sd="0" m="1" x="1088"/>
        <item sd="0" m="1" x="1196"/>
        <item sd="0" m="1" x="316"/>
        <item sd="0" m="1" x="1145"/>
        <item sd="0" m="1" x="1108"/>
        <item sd="0" m="1" x="549"/>
        <item sd="0" m="1" x="997"/>
        <item sd="0" m="1" x="885"/>
        <item sd="0" m="1" x="838"/>
        <item sd="0" m="1" x="571"/>
        <item sd="0" m="1" x="507"/>
        <item sd="0" m="1" x="747"/>
        <item sd="0" m="1" x="934"/>
        <item sd="0" m="1" x="341"/>
        <item sd="0" m="1" x="680"/>
        <item sd="0" m="1" x="539"/>
        <item sd="0" m="1" x="281"/>
        <item sd="0" m="1" x="791"/>
        <item sd="0" m="1" x="992"/>
        <item sd="0" m="1" x="874"/>
        <item sd="0" m="1" x="920"/>
        <item sd="0" m="1" x="1239"/>
        <item sd="0" m="1" x="821"/>
        <item sd="0" m="1" x="1347"/>
        <item sd="0" m="1" x="1071"/>
        <item sd="0" m="1" x="1010"/>
        <item sd="0" m="1" x="524"/>
        <item sd="0" m="1" x="1157"/>
        <item sd="0" m="1" x="1435"/>
        <item sd="0" m="1" x="1123"/>
        <item sd="0" m="1" x="1107"/>
        <item sd="0" m="1" x="394"/>
        <item sd="0" m="1" x="442"/>
        <item sd="0" m="1" x="977"/>
        <item sd="0" m="1" x="483"/>
        <item sd="0" m="1" x="1420"/>
        <item sd="0" m="1" x="1086"/>
        <item sd="0" m="1" x="1011"/>
        <item sd="0" m="1" x="963"/>
        <item sd="0" m="1" x="764"/>
        <item sd="0" m="1" x="392"/>
        <item sd="0" m="1" x="492"/>
        <item sd="0" m="1" x="598"/>
        <item sd="0" m="1" x="1331"/>
        <item sd="0" m="1" x="1363"/>
        <item sd="0" m="1" x="1062"/>
        <item sd="0" m="1" x="789"/>
        <item sd="0" m="1" x="877"/>
        <item sd="0" m="1" x="387"/>
        <item sd="0" m="1" x="427"/>
        <item sd="0" m="1" x="766"/>
        <item sd="0" m="1" x="991"/>
        <item sd="0" m="1" x="904"/>
        <item sd="0" m="1" x="562"/>
        <item sd="0" m="1" x="795"/>
        <item sd="0" m="1" x="509"/>
        <item sd="0" m="1" x="704"/>
        <item sd="0" m="1" x="626"/>
        <item sd="0" m="1" x="461"/>
        <item sd="0" m="1" x="597"/>
        <item sd="0" m="1" x="967"/>
        <item sd="0" m="1" x="377"/>
        <item sd="0" m="1" x="616"/>
        <item sd="0" m="1" x="408"/>
        <item sd="0" m="1" x="1101"/>
        <item sd="0" m="1" x="1290"/>
        <item sd="0" m="1" x="900"/>
        <item sd="0" m="1" x="544"/>
        <item sd="0" m="1" x="1194"/>
        <item sd="0" m="1" x="1039"/>
        <item sd="0" m="1" x="556"/>
        <item sd="0" m="1" x="557"/>
        <item sd="0" m="1" x="742"/>
        <item sd="0" m="1" x="432"/>
        <item sd="0" m="1" x="621"/>
        <item sd="0" m="1" x="416"/>
        <item sd="0" m="1" x="602"/>
        <item sd="0" m="1" x="1170"/>
        <item sd="0" m="1" x="681"/>
        <item sd="0" m="1" x="1048"/>
        <item sd="0" m="1" x="1098"/>
        <item sd="0" m="1" x="1232"/>
        <item sd="0" m="1" x="1236"/>
        <item sd="0" m="1" x="953"/>
        <item sd="0" m="1" x="794"/>
        <item sd="0" m="1" x="833"/>
        <item sd="0" m="1" x="1400"/>
        <item sd="0" m="1" x="693"/>
        <item sd="0" m="1" x="505"/>
        <item sd="0" m="1" x="883"/>
        <item sd="0" m="1" x="340"/>
        <item sd="0" m="1" x="1404"/>
        <item sd="0" m="1" x="867"/>
        <item sd="0" m="1" x="301"/>
        <item sd="0" m="1" x="1322"/>
        <item sd="0" m="1" x="1365"/>
        <item sd="0" m="1" x="1202"/>
        <item sd="0" m="1" x="579"/>
        <item sd="0" m="1" x="318"/>
        <item sd="0" m="1" x="1252"/>
        <item sd="0" m="1" x="643"/>
        <item sd="0" m="1" x="279"/>
        <item sd="0" m="1" x="1423"/>
        <item sd="0" m="1" x="667"/>
        <item sd="0" m="1" x="822"/>
        <item sd="0" m="1" x="1267"/>
        <item sd="0" m="1" x="354"/>
        <item sd="0" m="1" x="1179"/>
        <item sd="0" m="1" x="987"/>
        <item sd="0" m="1" x="852"/>
        <item sd="0" m="1" x="722"/>
        <item sd="0" m="1" x="469"/>
        <item sd="0" m="1" x="970"/>
        <item sd="0" m="1" x="672"/>
        <item sd="0" m="1" x="1210"/>
        <item sd="0" m="1" x="532"/>
        <item sd="0" m="1" x="1280"/>
        <item sd="0" m="1" x="1287"/>
        <item sd="0" m="1" x="971"/>
        <item sd="0" m="1" x="1161"/>
        <item sd="0" m="1" x="578"/>
        <item sd="0" m="1" x="875"/>
        <item sd="0" m="1" x="1164"/>
        <item sd="0" m="1" x="748"/>
        <item sd="0" m="1" x="1038"/>
        <item sd="0" m="1" x="677"/>
        <item sd="0" m="1" x="462"/>
        <item sd="0" m="1" x="666"/>
        <item sd="0" m="1" x="1432"/>
        <item sd="0" m="1" x="1374"/>
        <item sd="0" m="1" x="519"/>
        <item sd="0" m="1" x="1320"/>
        <item sd="0" m="1" x="326"/>
        <item sd="0" m="1" x="1342"/>
        <item sd="0" m="1" x="361"/>
        <item sd="0" m="1" x="663"/>
        <item sd="0" m="1" x="761"/>
        <item sd="0" m="1" x="708"/>
        <item sd="0" m="1" x="1315"/>
        <item sd="0" m="1" x="1218"/>
        <item sd="0" m="1" x="459"/>
        <item sd="0" m="1" x="1029"/>
        <item sd="0" m="1" x="1237"/>
        <item sd="0" m="1" x="1371"/>
        <item sd="0" m="1" x="1278"/>
        <item sd="0" m="1" x="364"/>
        <item sd="0" m="1" x="1444"/>
        <item sd="0" m="1" x="515"/>
        <item sd="0" m="1" x="796"/>
        <item sd="0" m="1" x="1240"/>
        <item sd="0" m="1" x="363"/>
        <item sd="0" m="1" x="1299"/>
        <item sd="0" m="1" x="528"/>
        <item sd="0" m="1" x="1172"/>
        <item sd="0" m="1" x="1036"/>
        <item sd="0" m="1" x="1014"/>
        <item sd="0" m="1" x="593"/>
        <item sd="0" m="1" x="555"/>
        <item sd="0" m="1" x="1367"/>
        <item sd="0" m="1" x="308"/>
        <item sd="0" m="1" x="490"/>
        <item sd="0" m="1" x="1149"/>
        <item sd="0" m="1" x="1260"/>
        <item sd="0" m="1" x="1187"/>
        <item sd="0" m="1" x="1391"/>
        <item sd="0" m="1" x="895"/>
        <item sd="0" m="1" x="522"/>
        <item sd="0" m="1" x="642"/>
        <item sd="0" m="1" x="961"/>
        <item sd="0" m="1" x="703"/>
        <item sd="0" m="1" x="1031"/>
        <item sd="0" m="1" x="644"/>
        <item sd="0" m="1" x="446"/>
        <item sd="0" m="1" x="1099"/>
        <item sd="0" m="1" x="501"/>
        <item sd="0" m="1" x="381"/>
        <item sd="0" m="1" x="1233"/>
        <item sd="0" m="1" x="1380"/>
        <item sd="0" m="1" x="1081"/>
        <item sd="0" m="1" x="346"/>
        <item sd="0" m="1" x="1272"/>
        <item sd="0" m="1" x="1070"/>
        <item sd="0" m="1" x="1180"/>
        <item sd="0" m="1" x="1319"/>
        <item sd="0" m="1" x="547"/>
        <item sd="0" m="1" x="739"/>
        <item sd="0" m="1" x="577"/>
        <item sd="0" m="1" x="845"/>
        <item sd="0" m="1" x="769"/>
        <item sd="0" m="1" x="799"/>
        <item sd="0" m="1" x="1335"/>
        <item sd="0" m="1" x="781"/>
        <item sd="0" m="1" x="984"/>
        <item sd="0" m="1" x="516"/>
        <item sd="0" m="1" x="715"/>
        <item sd="0" m="1" x="689"/>
        <item sd="0" m="1" x="1032"/>
        <item sd="0" m="1" x="935"/>
        <item sd="0" m="1" x="1163"/>
        <item sd="0" m="1" x="685"/>
        <item sd="0" m="1" x="1321"/>
        <item sd="0" m="1" x="523"/>
        <item sd="0" m="1" x="449"/>
        <item sd="0" m="1" x="705"/>
        <item sd="0" m="1" x="1246"/>
        <item sd="0" m="1" x="356"/>
        <item sd="0" m="1" x="357"/>
        <item sd="0" m="1" x="653"/>
        <item sd="0" m="1" x="1326"/>
        <item sd="0" m="1" x="720"/>
        <item sd="0" m="1" x="365"/>
        <item sd="0" m="1" x="525"/>
        <item sd="0" m="1" x="767"/>
        <item sd="0" m="1" x="1078"/>
        <item sd="0" m="1" x="1050"/>
        <item sd="0" m="1" x="721"/>
        <item sd="0" m="1" x="302"/>
        <item sd="0" m="1" x="440"/>
        <item sd="0" m="1" x="652"/>
        <item sd="0" m="1" x="540"/>
        <item sd="0" m="1" x="297"/>
        <item sd="0" m="1" x="1250"/>
        <item sd="0" m="1" x="1379"/>
        <item sd="0" m="1" x="849"/>
        <item sd="0" m="1" x="1279"/>
        <item sd="0" m="1" x="1339"/>
        <item sd="0" m="1" x="362"/>
        <item sd="0" m="1" x="1377"/>
        <item sd="0" m="1" x="1115"/>
        <item sd="0" m="1" x="538"/>
        <item sd="0" m="1" x="724"/>
        <item sd="0" m="1" x="628"/>
        <item sd="0" m="1" x="990"/>
        <item sd="0" m="1" x="561"/>
        <item sd="0" m="1" x="777"/>
        <item sd="0" m="1" x="1072"/>
        <item sd="0" m="1" x="1197"/>
        <item sd="0" m="1" x="700"/>
        <item sd="0" m="1" x="828"/>
        <item sd="0" m="1" x="640"/>
        <item sd="0" m="1" x="566"/>
        <item sd="0" m="1" x="1077"/>
        <item sd="0" m="1" x="1192"/>
        <item sd="0" m="1" x="1354"/>
        <item sd="0" m="1" x="396"/>
        <item sd="0" m="1" x="600"/>
        <item sd="0" m="1" x="1040"/>
        <item sd="0" m="1" x="441"/>
        <item sd="0" m="1" x="728"/>
        <item sd="0" m="1" x="1109"/>
        <item sd="0" m="1" x="374"/>
        <item sd="0" m="1" x="584"/>
        <item sd="0" m="1" x="694"/>
        <item sd="0" m="1" x="1300"/>
        <item sd="0" m="1" x="533"/>
        <item sd="0" m="1" x="803"/>
        <item sd="0" m="1" x="1356"/>
        <item sd="0" m="1" x="484"/>
        <item sd="0" m="1" x="673"/>
        <item sd="0" m="1" x="861"/>
        <item sd="0" m="1" x="1198"/>
        <item sd="0" m="1" x="496"/>
        <item sd="0" m="1" x="752"/>
        <item sd="0" m="1" x="594"/>
        <item sd="0" m="1" x="1090"/>
        <item sd="0" m="1" x="1276"/>
        <item sd="0" m="1" x="402"/>
        <item sd="0" m="1" x="622"/>
        <item sd="0" m="1" x="1358"/>
        <item sd="0" m="1" x="1323"/>
        <item sd="0" m="1" x="423"/>
        <item sd="0" m="1" x="740"/>
        <item sd="0" m="1" x="1264"/>
        <item sd="0" m="1" x="1395"/>
        <item sd="0" m="1" x="1266"/>
        <item sd="0" m="1" x="1241"/>
        <item sd="0" m="1" x="372"/>
        <item sd="0" m="1" x="548"/>
        <item sd="0" m="1" x="630"/>
        <item sd="0" m="1" x="619"/>
        <item sd="0" m="1" x="846"/>
        <item sd="0" m="1" x="334"/>
        <item sd="0" m="1" x="1033"/>
        <item sd="0" m="1" x="1104"/>
        <item sd="0" m="1" x="286"/>
        <item sd="0" m="1" x="1364"/>
        <item sd="0" m="1" x="1226"/>
        <item sd="0" m="1" x="1355"/>
        <item sd="0" m="1" x="1385"/>
        <item sd="0" m="1" x="1421"/>
        <item sd="0" m="1" x="1359"/>
        <item sd="0" m="1" x="723"/>
        <item sd="0" m="1" x="1083"/>
        <item sd="0" m="1" x="690"/>
        <item sd="0" m="1" x="1096"/>
        <item sd="0" m="1" x="1061"/>
        <item sd="0" m="1" x="499"/>
        <item sd="0" m="1" x="537"/>
        <item sd="0" m="1" x="675"/>
        <item sd="0" m="1" x="1140"/>
        <item sd="0" m="1" x="660"/>
        <item sd="0" m="1" x="406"/>
        <item sd="0" m="1" x="1405"/>
        <item sd="0" m="1" x="1155"/>
        <item sd="0" m="1" x="988"/>
        <item sd="0" m="1" x="1020"/>
        <item sd="0" m="1" x="1069"/>
        <item sd="0" m="1" x="494"/>
        <item sd="0" m="1" x="836"/>
        <item sd="0" m="1" x="1181"/>
        <item sd="0" m="1" x="332"/>
        <item sd="0" m="1" x="575"/>
        <item sd="0" m="1" x="475"/>
        <item sd="0" m="1" x="472"/>
        <item sd="0" m="1" x="476"/>
        <item sd="0" m="1" x="277"/>
        <item sd="0" m="1" x="498"/>
        <item sd="0" m="1" x="1295"/>
        <item sd="0" m="1" x="299"/>
        <item sd="0" m="1" x="945"/>
        <item sd="0" m="1" x="1382"/>
        <item sd="0" m="1" x="1193"/>
        <item sd="0" m="1" x="453"/>
        <item sd="0" m="1" x="1453"/>
        <item sd="0" m="1" x="382"/>
        <item sd="0" m="1" x="749"/>
        <item sd="0" m="1" x="972"/>
        <item sd="0" m="1" x="428"/>
        <item sd="0" m="1" x="881"/>
        <item sd="0" m="1" x="1041"/>
        <item sd="0" m="1" x="1309"/>
        <item sd="0" m="1" x="1211"/>
        <item sd="0" m="1" x="290"/>
        <item sd="0" m="1" x="973"/>
        <item sd="0" m="1" x="373"/>
        <item sd="0" m="1" x="609"/>
        <item sd="0" m="1" x="581"/>
        <item sd="0" m="1" x="343"/>
        <item sd="0" m="1" x="936"/>
        <item sd="0" m="1" x="943"/>
        <item sd="0" m="1" x="1043"/>
        <item sd="0" m="1" x="792"/>
        <item sd="0" m="1" x="1292"/>
        <item sd="0" m="1" x="701"/>
        <item sd="0" m="1" x="1411"/>
        <item sd="0" m="1" x="1046"/>
        <item sd="0" m="1" x="937"/>
        <item sd="0" m="1" x="601"/>
        <item sd="0" m="1" x="1009"/>
        <item sd="0" m="1" x="1307"/>
        <item sd="0" m="1" x="1372"/>
        <item sd="0" m="1" x="1351"/>
        <item sd="0" m="1" x="1281"/>
        <item sd="0" m="1" x="1030"/>
        <item sd="0" m="1" x="1143"/>
        <item sd="0" m="1" x="656"/>
        <item sd="0" m="1" x="1105"/>
        <item sd="0" m="1" x="930"/>
        <item sd="0" m="1" x="889"/>
        <item sd="0" m="1" x="887"/>
        <item sd="0" m="1" x="888"/>
        <item sd="0" m="1" x="585"/>
        <item sd="0" m="1" x="629"/>
        <item sd="0" m="1" x="1242"/>
        <item sd="0" m="1" x="807"/>
        <item sd="0" m="1" x="649"/>
        <item sd="0" m="1" x="691"/>
        <item sd="0" m="1" x="737"/>
        <item sd="0" m="1" x="989"/>
        <item sd="0" m="1" x="1327"/>
        <item sd="0" m="1" x="1416"/>
        <item sd="0" m="1" x="534"/>
        <item sd="0" m="1" x="485"/>
        <item sd="0" m="1" x="322"/>
        <item sd="0" m="1" x="344"/>
        <item sd="0" m="1" x="641"/>
        <item sd="0" m="1" x="429"/>
        <item sd="0" m="1" x="757"/>
        <item sd="0" m="1" x="1293"/>
        <item sd="0" m="1" x="634"/>
        <item sd="0" m="1" x="426"/>
        <item sd="0" m="1" x="1185"/>
        <item sd="0" m="1" x="303"/>
        <item sd="0" m="1" x="1311"/>
        <item sd="0" m="1" x="1386"/>
        <item sd="0" m="1" x="1450"/>
        <item sd="0" m="1" x="1325"/>
        <item sd="0" m="1" x="568"/>
        <item sd="0" m="1" x="345"/>
        <item sd="0" m="1" x="809"/>
        <item sd="0" m="1" x="893"/>
        <item sd="0" m="1" x="1089"/>
        <item sd="0" m="1" x="1057"/>
        <item sd="0" m="1" x="1093"/>
        <item sd="0" m="1" x="870"/>
        <item sd="0" m="1" x="908"/>
        <item sd="0" m="1" x="1349"/>
        <item sd="0" m="1" x="1112"/>
        <item sd="0" m="1" x="1082"/>
        <item sd="0" m="1" x="1021"/>
        <item sd="0" m="1" x="1094"/>
        <item sd="0" m="1" x="295"/>
        <item sd="0" m="1" x="300"/>
        <item sd="0" m="1" x="903"/>
        <item sd="0" m="1" x="1288"/>
        <item sd="0" m="1" x="858"/>
        <item sd="0" m="1" x="1428"/>
        <item sd="0" m="1" x="827"/>
        <item sd="0" m="1" x="1003"/>
        <item sd="0" m="1" x="1074"/>
        <item sd="0" m="1" x="688"/>
        <item sd="0" m="1" x="520"/>
        <item sd="0" m="1" x="896"/>
        <item sd="0" m="1" x="582"/>
        <item sd="0" m="1" x="1437"/>
        <item sd="0" m="1" x="1352"/>
        <item sd="0" m="1" x="1165"/>
        <item sd="0" m="1" x="422"/>
        <item sd="0" m="1" x="349"/>
        <item sd="0" m="1" x="922"/>
        <item sd="0" m="1" x="1166"/>
        <item sd="0" m="1" x="1455"/>
        <item sd="0" m="1" x="801"/>
        <item sd="0" m="1" x="1402"/>
        <item sd="0" m="1" x="336"/>
        <item sd="0" m="1" x="450"/>
        <item sd="0" m="1" x="762"/>
        <item sd="0" m="1" x="853"/>
        <item sd="0" m="1" x="1282"/>
        <item sd="0" m="1" x="606"/>
        <item sd="0" m="1" x="1285"/>
        <item sd="0" m="1" x="702"/>
        <item sd="0" m="1" x="1274"/>
        <item sd="0" m="1" x="1438"/>
        <item sd="0" m="1" x="366"/>
        <item sd="0" m="1" x="1422"/>
        <item sd="0" m="1" x="313"/>
        <item sd="0" m="1" x="1175"/>
        <item sd="0" m="1" x="793"/>
        <item sd="0" m="1" x="624"/>
        <item sd="0" m="1" x="587"/>
        <item sd="0" m="1" x="731"/>
        <item sd="0" m="1" x="330"/>
        <item sd="0" m="1" x="1415"/>
        <item sd="0" m="1" x="414"/>
        <item sd="0" m="1" x="435"/>
        <item sd="0" m="1" x="1308"/>
        <item sd="0" m="1" x="1387"/>
        <item sd="0" m="1" x="901"/>
        <item sd="0" m="1" x="1042"/>
        <item sd="0" m="1" x="743"/>
        <item sd="0" m="1" x="856"/>
        <item sd="0" m="1" x="1005"/>
        <item sd="0" m="1" x="1122"/>
        <item sd="0" m="1" x="709"/>
        <item sd="0" m="1" x="985"/>
        <item sd="0" m="1" x="804"/>
        <item sd="0" m="1" x="1441"/>
        <item sd="0" m="1" x="294"/>
        <item sd="0" m="1" x="733"/>
        <item sd="0" m="1" x="674"/>
        <item sd="0" m="1" x="635"/>
        <item sd="0" m="1" x="1429"/>
        <item sd="0" m="1" x="1247"/>
        <item sd="0" m="1" x="1378"/>
        <item sd="0" m="1" x="391"/>
        <item sd="0" m="1" x="1389"/>
        <item sd="0" m="1" x="1376"/>
        <item sd="0" m="1" x="1253"/>
        <item sd="0" m="1" x="488"/>
        <item sd="0" m="1" x="857"/>
        <item sd="0" m="1" x="950"/>
        <item sd="0" m="1" x="696"/>
        <item sd="0" m="1" x="1294"/>
        <item sd="0" m="1" x="1080"/>
        <item sd="0" m="1" x="1100"/>
        <item sd="0" m="1" x="994"/>
        <item sd="0" m="1" x="337"/>
        <item sd="0" m="1" x="1167"/>
        <item sd="0" m="1" x="1329"/>
        <item sd="0" m="1" x="734"/>
        <item sd="0" m="1" x="1448"/>
        <item sd="0" m="1" x="942"/>
        <item sd="0" m="1" x="529"/>
        <item sd="0" m="1" x="662"/>
        <item sd="0" m="1" x="698"/>
        <item sd="0" m="1" x="1357"/>
        <item sd="0" m="1" x="1341"/>
        <item sd="0" m="1" x="401"/>
        <item sd="0" m="1" x="403"/>
        <item sd="0" m="1" x="317"/>
        <item sd="0" m="1" x="1277"/>
        <item sd="0" m="1" x="319"/>
        <item sd="0" m="1" x="736"/>
        <item sd="0" m="1" x="636"/>
        <item sd="0" m="1" x="1092"/>
        <item sd="0" m="1" x="1035"/>
        <item sd="0" m="1" x="1384"/>
        <item sd="0" m="1" x="1316"/>
        <item sd="0" m="1" x="808"/>
        <item sd="0" m="1" x="1022"/>
        <item sd="0" m="1" x="1257"/>
        <item sd="0" m="1" x="370"/>
        <item sd="0" m="1" x="802"/>
        <item sd="0" m="1" x="732"/>
        <item sd="0" m="1" x="1426"/>
        <item sd="0" m="1" x="1393"/>
        <item sd="0" m="1" x="824"/>
        <item sd="0" m="1" x="430"/>
        <item sd="0" m="1" x="725"/>
        <item sd="0" m="1" x="898"/>
        <item sd="0" m="1" x="352"/>
        <item sd="0" m="1" x="1188"/>
        <item sd="0" m="1" x="782"/>
        <item sd="0" m="1" x="592"/>
        <item sd="0" m="1" x="686"/>
        <item sd="0" m="1" x="1132"/>
        <item sd="0" m="1" x="1431"/>
        <item sd="0" m="1" x="510"/>
        <item sd="0" m="1" x="1283"/>
        <item sd="0" m="1" x="504"/>
        <item sd="0" m="1" x="1068"/>
        <item sd="0" m="1" x="840"/>
        <item sd="0" m="1" x="771"/>
        <item sd="0" m="1" x="493"/>
        <item sd="0" m="1" x="560"/>
        <item sd="0" m="1" x="348"/>
        <item sd="0" m="1" x="1148"/>
        <item sd="0" m="1" x="661"/>
        <item sd="0" m="1" x="385"/>
        <item sd="0" m="1" x="999"/>
        <item sd="0" m="1" x="1314"/>
        <item sd="0" m="1" x="854"/>
        <item sd="0" m="1" x="812"/>
        <item sd="0" m="1" x="283"/>
        <item sd="0" m="1" x="1419"/>
        <item sd="0" m="1" x="669"/>
        <item sd="0" m="1" x="729"/>
        <item sd="0" m="1" x="1136"/>
        <item sd="0" m="1" x="1413"/>
        <item sd="0" m="1" x="1338"/>
        <item sd="0" m="1" x="1189"/>
        <item sd="0" m="1" x="1304"/>
        <item sd="0" m="1" x="465"/>
        <item sd="0" m="1" x="664"/>
        <item sd="0" m="1" x="497"/>
        <item sd="0" m="1" x="289"/>
        <item sd="0" m="1" x="902"/>
        <item sd="0" m="1" x="351"/>
        <item sd="0" m="1" x="573"/>
        <item sd="0" m="1" x="517"/>
        <item sd="0" m="1" x="463"/>
        <item sd="0" m="1" x="1418"/>
        <item sd="0" m="1" x="514"/>
        <item sd="0" m="1" x="1116"/>
        <item sd="0" m="1" x="1328"/>
        <item sd="0" m="1" x="454"/>
        <item sd="0" m="1" x="358"/>
        <item sd="0" m="1" x="1151"/>
        <item sd="0" m="1" x="1127"/>
        <item sd="0" m="1" x="1168"/>
        <item sd="0" m="1" x="1087"/>
        <item sd="0" m="1" x="431"/>
        <item sd="0" m="1" x="787"/>
        <item sd="0" m="1" x="1055"/>
        <item sd="0" m="1" x="1305"/>
        <item sd="0" m="1" x="899"/>
        <item sd="0" m="1" x="1017"/>
        <item sd="0" m="1" x="1361"/>
        <item sd="0" m="1" x="773"/>
        <item sd="0" m="1" x="617"/>
        <item sd="0" m="1" x="850"/>
        <item sd="0" m="1" x="797"/>
        <item sd="0" m="1" x="727"/>
        <item sd="0" m="1" x="1244"/>
        <item sd="0" m="1" x="931"/>
        <item sd="0" m="1" x="1027"/>
        <item sd="0" m="1" x="278"/>
        <item sd="0" m="1" x="823"/>
        <item sd="0" m="1" x="425"/>
        <item sd="0" m="1" x="692"/>
        <item sd="0" m="1" x="830"/>
        <item sd="0" m="1" x="360"/>
        <item sd="0" m="1" x="477"/>
        <item sd="0" m="1" x="932"/>
        <item sd="0" m="1" x="1129"/>
        <item sd="0" m="1" x="1399"/>
        <item sd="0" m="1" x="1442"/>
        <item sd="0" m="1" x="1052"/>
        <item sd="0" m="1" x="400"/>
        <item sd="0" m="1" x="328"/>
        <item sd="0" m="1" x="914"/>
        <item sd="0" m="1" x="536"/>
        <item sd="0" m="1" x="810"/>
        <item sd="0" m="1" x="438"/>
        <item sd="0" m="1" x="541"/>
        <item sd="0" m="1" x="968"/>
        <item sd="0" m="1" x="1324"/>
        <item sd="0" m="1" x="1255"/>
        <item sd="0" m="1" x="671"/>
        <item sd="0" m="1" x="706"/>
        <item sd="0" m="1" x="982"/>
        <item sd="0" m="1" x="1412"/>
        <item sd="0" m="1" x="1138"/>
        <item sd="0" m="1" x="304"/>
        <item sd="0" m="1" x="1366"/>
        <item sd="0" m="1" x="412"/>
        <item sd="0" m="1" x="1058"/>
        <item sd="0" m="1" x="1103"/>
        <item sd="0" m="1" x="1106"/>
        <item sd="0" m="1" x="1446"/>
        <item sd="0" m="1" x="339"/>
        <item sd="0" m="1" x="1117"/>
        <item sd="0" m="1" x="1214"/>
        <item sd="0" m="1" x="986"/>
        <item sd="0" m="1" x="1156"/>
        <item sd="0" m="1" x="398"/>
        <item sd="0" m="1" x="790"/>
        <item sd="0" m="1" x="637"/>
        <item sd="0" m="1" x="1249"/>
        <item sd="0" m="1" x="1344"/>
        <item sd="0" m="1" x="873"/>
        <item sd="0" m="1" x="1312"/>
        <item sd="0" m="1" x="1360"/>
        <item sd="0" m="1" x="713"/>
        <item sd="0" m="1" x="1216"/>
        <item sd="0" m="1" x="1079"/>
        <item sd="0" m="1" x="1362"/>
        <item sd="0" m="1" x="1406"/>
        <item sd="0" m="1" x="1144"/>
        <item sd="0" m="1" x="754"/>
        <item sd="0" m="1" x="559"/>
        <item sd="0" m="1" x="1394"/>
        <item sd="0" m="1" x="941"/>
        <item sd="0" m="1" x="915"/>
        <item sd="0" m="1" x="924"/>
        <item sd="0" m="1" x="1445"/>
        <item sd="0" m="1" x="1169"/>
        <item sd="0" m="1" x="864"/>
        <item sd="0" m="1" x="1133"/>
        <item sd="0" m="1" x="1110"/>
        <item sd="0" m="1" x="726"/>
        <item sd="0" m="1" x="627"/>
        <item sd="0" m="1" x="1126"/>
        <item sd="0" m="1" x="521"/>
        <item sd="0" m="1" x="478"/>
        <item sd="0" m="1" x="420"/>
        <item sd="0" m="1" x="1407"/>
        <item sd="0" m="1" x="1023"/>
        <item sd="0" m="1" x="758"/>
        <item sd="0" m="1" x="839"/>
        <item sd="0" m="1" x="320"/>
        <item sd="0" m="1" x="1396"/>
        <item sd="0" m="1" x="947"/>
        <item sd="0" m="1" x="1095"/>
        <item sd="0" m="1" x="543"/>
        <item sd="0" m="1" x="1227"/>
        <item sd="0" m="1" x="730"/>
        <item sd="0" m="1" x="623"/>
        <item sd="0" m="1" x="1451"/>
        <item sd="0" m="1" x="753"/>
        <item sd="0" m="1" x="1392"/>
        <item sd="0" m="1" x="978"/>
        <item sd="0" m="1" x="654"/>
        <item sd="0" m="1" x="445"/>
        <item sd="0" m="1" x="388"/>
        <item sd="0" m="1" x="682"/>
        <item sd="0" m="1" x="379"/>
        <item sd="0" m="1" x="350"/>
        <item sd="0" m="1" x="367"/>
        <item sd="0" m="1" x="646"/>
        <item sd="0" m="1" x="491"/>
        <item sd="0" m="1" x="798"/>
        <item sd="0" m="1" x="855"/>
        <item sd="0" m="1" x="954"/>
        <item sd="0" m="1" x="825"/>
        <item sd="0" m="1" x="1158"/>
        <item sd="0" m="1" x="1222"/>
        <item sd="0" m="1" x="434"/>
        <item sd="0" m="1" x="444"/>
        <item sd="0" m="1" x="633"/>
        <item sd="0" m="1" x="775"/>
        <item sd="0" m="1" x="565"/>
        <item sd="0" m="1" x="1118"/>
        <item sd="0" m="1" x="868"/>
        <item sd="0" m="1" x="785"/>
        <item sd="0" m="1" x="918"/>
        <item sd="0" m="1" x="1224"/>
        <item sd="0" m="1" x="1162"/>
        <item sd="0" m="1" x="1248"/>
        <item sd="0" m="1" x="1004"/>
        <item sd="0" m="1" x="424"/>
        <item sd="0" m="1" x="1430"/>
        <item sd="0" m="1" x="843"/>
        <item sd="0" m="1" x="458"/>
        <item sd="0" m="1" x="282"/>
        <item sd="0" m="1" x="1427"/>
        <item sd="0" m="1" x="911"/>
        <item sd="0" m="1" x="878"/>
        <item sd="0" m="1" x="650"/>
        <item sd="0" m="1" x="530"/>
        <item sd="0" m="1" x="614"/>
        <item sd="0" m="1" x="768"/>
        <item sd="0" m="1" x="1343"/>
        <item sd="0" m="1" x="1262"/>
        <item sd="0" m="1" x="638"/>
        <item sd="0" m="1" x="711"/>
        <item sd="0" m="1" x="718"/>
        <item sd="0" m="1" x="1256"/>
        <item sd="0" m="1" x="859"/>
        <item sd="0" m="1" x="331"/>
        <item sd="0" m="1" x="892"/>
        <item sd="0" m="1" x="1171"/>
        <item sd="0" m="1" x="1297"/>
        <item sd="0" m="1" x="1190"/>
        <item sd="0" m="1" x="998"/>
        <item sd="0" m="1" x="1296"/>
        <item sd="0" m="1" x="310"/>
        <item sd="0" m="1" x="1213"/>
        <item sd="0" m="1" x="292"/>
        <item sd="0" m="1" x="632"/>
        <item sd="0" m="1" x="296"/>
        <item sd="0" m="1" x="455"/>
        <item sd="0" m="1" x="545"/>
        <item sd="0" m="1" x="551"/>
        <item sd="0" m="1" x="969"/>
        <item sd="0" m="1" x="1223"/>
        <item sd="0" m="1" x="750"/>
        <item sd="0" m="1" x="321"/>
        <item sd="0" m="1" x="527"/>
        <item sd="0" m="1" x="315"/>
        <item sd="0" m="1" x="1310"/>
        <item sd="0" m="1" x="535"/>
        <item sd="0" m="1" x="871"/>
        <item sd="0" m="1" x="1330"/>
        <item sd="0" m="1" x="657"/>
        <item sd="0" m="1" x="599"/>
        <item sd="0" m="1" x="995"/>
        <item sd="0" m="1" x="552"/>
        <item sd="0" m="1" x="860"/>
        <item sd="0" m="1" x="1154"/>
        <item sd="0" m="1" x="293"/>
        <item sd="0" m="1" x="806"/>
        <item sd="0" m="1" x="925"/>
        <item sd="0" m="1" x="417"/>
        <item sd="0" m="1" x="759"/>
        <item sd="0" m="1" x="894"/>
        <item sd="0" m="1" x="645"/>
        <item sd="0" m="1" x="683"/>
        <item sd="0" m="1" x="410"/>
        <item sd="0" m="1" x="816"/>
        <item sd="0" m="1" x="280"/>
        <item sd="0" m="1" x="952"/>
        <item sd="0" m="1" x="1345"/>
        <item sd="0" m="1" x="1066"/>
        <item sd="0" m="1" x="1060"/>
        <item sd="0" m="1" x="959"/>
        <item sd="0" m="1" x="285"/>
        <item sd="0" m="1" x="1091"/>
        <item sd="0" m="1" x="1134"/>
        <item sd="0" m="1" x="940"/>
        <item sd="0" m="1" x="284"/>
        <item sd="0" m="1" x="1291"/>
        <item sd="0" m="1" x="1258"/>
        <item sd="0" m="1" x="288"/>
        <item sd="0" m="1" x="567"/>
        <item sd="0" m="1" x="957"/>
        <item sd="0" m="1" x="1212"/>
        <item sd="0" m="1" x="409"/>
        <item sd="0" m="1" x="305"/>
        <item sd="0" m="1" x="464"/>
        <item sd="0" m="1" x="355"/>
        <item sd="0" m="1" x="763"/>
        <item sd="0" m="1" x="576"/>
        <item sd="0" m="1" x="574"/>
        <item sd="0" m="1" x="745"/>
        <item sd="0" m="1" x="847"/>
        <item sd="0" m="1" x="751"/>
        <item sd="0" m="1" x="948"/>
        <item sd="0" m="1" x="800"/>
        <item sd="0" m="1" x="665"/>
        <item sd="0" m="1" x="780"/>
        <item sd="0" m="1" x="1273"/>
        <item sd="0" m="1" x="1368"/>
        <item sd="0" m="1" x="625"/>
        <item sd="0" m="1" x="1348"/>
        <item sd="0" m="1" x="390"/>
        <item sd="0" m="1" x="1337"/>
        <item sd="0" m="1" x="1034"/>
        <item sd="0" m="1" x="1205"/>
        <item sd="0" m="1" x="1284"/>
        <item sd="0" m="1" x="964"/>
        <item sd="0" m="1" x="1176"/>
        <item sd="0" m="1" x="468"/>
        <item sd="0" m="1" x="451"/>
        <item sd="0" m="1" x="1073"/>
        <item sd="0" m="1" x="1045"/>
        <item sd="0" m="1" x="607"/>
        <item sd="0" m="1" x="1443"/>
        <item sd="0" m="1" x="1015"/>
        <item sd="0" m="1" x="755"/>
        <item sd="0" m="1" x="829"/>
        <item sd="0" m="1" x="788"/>
        <item sd="0" m="1" x="1298"/>
        <item sd="0" m="1" x="1302"/>
        <item sd="0" m="1" x="298"/>
        <item sd="0" m="1" x="1182"/>
        <item sd="0" m="1" x="1228"/>
        <item sd="0" m="1" x="347"/>
        <item sd="0" m="1" x="719"/>
        <item sd="0" m="1" x="710"/>
        <item sd="0" m="1" x="1217"/>
        <item sd="0" m="1" x="916"/>
        <item sd="0" m="1" x="1120"/>
        <item sd="0" m="1" x="786"/>
        <item sd="0" m="1" x="1137"/>
        <item sd="0" m="1" x="325"/>
        <item sd="0" m="1" x="448"/>
        <item sd="0" m="1" x="1417"/>
        <item sd="0" m="1" x="1037"/>
        <item sd="0" m="1" x="1409"/>
        <item sd="0" m="1" x="329"/>
        <item sd="0" m="1" x="589"/>
        <item sd="0" m="1" x="405"/>
        <item sd="0" m="1" x="338"/>
        <item sd="0" m="1" x="353"/>
        <item sd="0" m="1" x="905"/>
        <item sd="0" m="1" x="938"/>
        <item sd="0" m="1" x="610"/>
        <item sd="0" m="1" x="1028"/>
        <item sd="0" m="1" x="1346"/>
        <item sd="0" m="1" x="697"/>
        <item sd="0" m="1" x="776"/>
        <item sd="0" m="1" x="926"/>
        <item sd="0" m="1" x="1414"/>
        <item sd="0" m="1" x="591"/>
        <item sd="0" m="1" x="603"/>
        <item sd="0" m="1" x="613"/>
        <item sd="0" m="1" x="1234"/>
        <item sd="0" m="1" x="1370"/>
        <item sd="0" m="1" x="287"/>
        <item sd="0" m="1" x="1114"/>
        <item sd="0" m="1" x="1410"/>
        <item sd="0" m="1" x="511"/>
        <item sd="0" m="1" x="826"/>
        <item sd="0" m="1" x="1447"/>
        <item sd="0" m="1" x="1353"/>
        <item sd="0" m="1" x="500"/>
        <item sd="0" m="1" x="612"/>
        <item sd="0" m="1" x="699"/>
        <item sd="0" m="1" x="1024"/>
        <item sd="0" m="1" x="1221"/>
        <item sd="0" m="1" x="456"/>
        <item sd="0" m="1" x="927"/>
        <item sd="0" m="1" x="452"/>
        <item sd="0" m="1" x="421"/>
        <item sd="0" m="1" x="369"/>
        <item sd="0" m="1" x="1340"/>
        <item sd="0" m="1" x="933"/>
        <item sd="0" m="1" x="1381"/>
        <item sd="0" m="1" x="774"/>
        <item sd="0" m="1" x="1398"/>
        <item sd="0" m="1" x="1150"/>
        <item sd="0" m="1" x="439"/>
        <item sd="0" m="1" x="1254"/>
        <item sd="0" m="1" x="1268"/>
        <item sd="0" m="1" x="928"/>
        <item sd="0" m="1" x="1303"/>
        <item sd="0" m="1" x="1141"/>
        <item sd="0" m="1" x="1006"/>
        <item sd="0" m="1" x="323"/>
        <item sd="0" m="1" x="1152"/>
        <item sd="0" m="1" x="884"/>
        <item sd="0" m="1" x="817"/>
        <item sd="0" m="1" x="1160"/>
        <item sd="0" m="1" x="744"/>
        <item sd="0" m="1" x="378"/>
        <item sd="0" m="1" x="550"/>
        <item sd="0" m="1" x="327"/>
        <item sd="0" m="1" x="676"/>
        <item sd="0" m="1" x="1054"/>
        <item sd="0" m="1" x="639"/>
        <item sd="0" m="1" x="502"/>
        <item sd="0" m="1" x="717"/>
        <item sd="0" m="1" x="395"/>
        <item sd="0" m="1" x="647"/>
        <item sd="0" m="1" x="518"/>
        <item sd="0" m="1" x="869"/>
        <item sd="0" m="1" x="1456"/>
        <item sd="0" m="1" x="910"/>
        <item sd="0" m="1" x="506"/>
        <item sd="0" m="1" x="783"/>
        <item sd="0" m="1" x="489"/>
        <item sd="0" m="1" x="542"/>
        <item sd="0" m="1" x="834"/>
        <item sd="0" m="1" x="1102"/>
        <item sd="0" m="1" x="819"/>
        <item sd="0" m="1" x="1269"/>
        <item sd="0" m="1" x="831"/>
        <item sd="0" m="1" x="1065"/>
        <item sd="0" m="1" x="380"/>
        <item sd="0" m="1" x="863"/>
        <item sd="0" m="1" x="503"/>
        <item sd="0" m="1" x="433"/>
        <item sd="0" m="1" x="1159"/>
        <item sd="0" m="1" x="474"/>
        <item sd="0" m="1" x="1183"/>
        <item sd="0" m="1" x="375"/>
        <item sd="0" m="1" x="1000"/>
        <item sd="0" m="1" x="1007"/>
        <item sd="0" m="1" x="411"/>
        <item sd="0" m="1" x="929"/>
        <item sd="0" m="1" x="307"/>
        <item sd="0" m="1" x="1130"/>
        <item sd="0" m="1" x="835"/>
        <item sd="0" m="1" x="1056"/>
        <item sd="0" m="1" x="1025"/>
        <item sd="0" m="1" x="1245"/>
        <item sd="0" m="1" x="1018"/>
        <item sd="0" m="1" x="596"/>
        <item sd="0" m="1" x="1097"/>
        <item sd="0" m="1" x="1231"/>
        <item sd="0" m="1" x="921"/>
        <item sd="0" m="1" x="1053"/>
        <item sd="0" m="1" x="386"/>
        <item sd="0" m="1" x="1219"/>
        <item sd="0" m="1" x="876"/>
        <item sd="0" m="1" x="741"/>
        <item sd="0" m="1" x="1125"/>
        <item sd="0" m="1" x="651"/>
        <item sd="0" m="1" x="974"/>
        <item sd="0" m="1" x="508"/>
        <item sd="0" m="1" x="604"/>
        <item sd="0" m="1" x="1001"/>
        <item sd="0" m="1" x="770"/>
        <item sd="0" m="1" x="314"/>
        <item sd="0" m="1" x="648"/>
        <item sd="0" m="1" x="1128"/>
        <item sd="0" m="1" x="1230"/>
        <item sd="0" m="1" x="333"/>
        <item sd="0" m="1" x="618"/>
        <item sd="0" m="1" x="553"/>
        <item sd="0" m="1" x="886"/>
        <item sd="0" m="1" x="979"/>
        <item sd="0" m="1" x="419"/>
        <item sd="0" m="1" x="1401"/>
        <item sd="0" m="1" x="384"/>
        <item sd="0" m="1" x="457"/>
        <item sd="0" m="1" x="1238"/>
        <item sd="0" m="1" x="746"/>
        <item sd="0" m="1" x="760"/>
        <item sd="0" m="1" x="814"/>
        <item sd="0" m="1" x="389"/>
        <item sd="0" m="1" x="668"/>
        <item sd="0" m="1" x="1063"/>
        <item sd="0" m="1" x="975"/>
        <item sd="0" m="1" x="765"/>
        <item sd="0" m="1" x="712"/>
        <item sd="0" m="1" x="342"/>
        <item sd="0" m="1" x="580"/>
        <item sd="0" m="1" x="1044"/>
        <item sd="0" m="1" x="678"/>
        <item sd="0" m="1" x="841"/>
        <item sd="0" m="1" x="778"/>
        <item sd="0" m="1" x="960"/>
        <item sd="0" m="1" x="324"/>
        <item sd="0" m="1" x="805"/>
        <item sd="0" m="1" x="479"/>
        <item sd="0" m="1" x="882"/>
        <item sd="0" m="1" x="1008"/>
        <item sd="0" m="1" x="1084"/>
        <item sd="0" m="1" x="1019"/>
        <item sd="0" m="1" x="980"/>
        <item sd="0" m="1" x="906"/>
        <item sd="0" m="1" x="1317"/>
        <item sd="0" m="1" x="1209"/>
        <item sd="0" m="1" x="460"/>
        <item sd="0" m="1" x="1201"/>
        <item sd="0" m="1" x="655"/>
        <item sd="0" m="1" x="965"/>
        <item sd="0" m="1" x="371"/>
        <item sd="0" m="1" x="944"/>
        <item sd="0" m="1" x="811"/>
        <item sd="0" m="1" x="1243"/>
        <item sd="0" m="1" x="397"/>
        <item sd="0" m="1" x="1454"/>
        <item sd="0" m="1" x="436"/>
        <item sd="0" m="1" x="376"/>
        <item sd="0" m="1" x="946"/>
        <item sd="0" m="1" x="1146"/>
        <item sd="0" m="1" x="1049"/>
        <item sd="0" m="1" x="335"/>
        <item sd="0" m="1" x="487"/>
        <item sd="0" m="1" x="1275"/>
        <item sd="0" m="1" x="1215"/>
        <item sd="0" m="1" x="470"/>
        <item sd="0" m="1" x="443"/>
        <item sd="0" m="1" x="738"/>
        <item sd="0" m="1" x="359"/>
        <item sd="0" m="1" x="966"/>
        <item sd="0" m="1" x="399"/>
        <item sd="0" m="1" x="569"/>
        <item sd="0" m="1" x="866"/>
        <item sd="0" m="1" x="1397"/>
        <item sd="0" m="1" x="437"/>
        <item sd="0" m="1" x="707"/>
        <item sd="0" m="1" x="554"/>
        <item sd="0" m="1" x="716"/>
        <item sd="0" m="1" x="1270"/>
        <item sd="0" m="1" x="1153"/>
        <item sd="0" m="1" x="615"/>
        <item sd="0" m="1" x="368"/>
        <item sd="0" m="1" x="1318"/>
        <item sd="0" m="1" x="481"/>
        <item sd="0" m="1" x="1263"/>
        <item sd="0" m="1" x="820"/>
        <item sd="0" m="1" x="1204"/>
        <item sd="0" m="1" x="563"/>
        <item sd="0" m="1" x="735"/>
        <item sd="0" m="1" x="1220"/>
        <item sd="0" m="1" x="1408"/>
        <item sd="0" m="1" x="1184"/>
        <item sd="0" m="1" x="583"/>
        <item sd="0" m="1" x="526"/>
        <item sd="0" m="1" x="1229"/>
        <item sd="0" m="1" x="993"/>
        <item sd="0" m="1" x="837"/>
        <item sd="0" m="1" x="1261"/>
        <item sd="0" m="1" x="309"/>
        <item sd="0" m="1" x="306"/>
        <item sd="0" m="1" x="981"/>
        <item sd="0" m="1" x="1121"/>
        <item sd="0" m="1" x="1076"/>
        <item sd="0" m="1" x="1259"/>
        <item sd="0" m="1" x="784"/>
        <item sd="0" m="1" x="531"/>
        <item sd="0" m="1" x="605"/>
        <item sd="0" m="1" x="1135"/>
        <item sd="0" m="1" x="687"/>
        <item sd="0" m="1" x="917"/>
        <item sd="0" m="1" x="1332"/>
        <item sd="0" m="1" x="570"/>
        <item sd="0" m="1" x="907"/>
        <item sd="0" m="1" x="291"/>
        <item sd="0" m="1" x="62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9"/>
        <item sd="0" x="168"/>
        <item sd="0" x="167"/>
        <item sd="0" x="175"/>
        <item sd="0" x="174"/>
        <item sd="0" x="173"/>
        <item sd="0" x="172"/>
        <item sd="0" x="171"/>
        <item sd="0" x="170"/>
        <item sd="0" x="176"/>
        <item sd="0" x="177"/>
        <item sd="0" x="179"/>
        <item sd="0" x="178"/>
        <item sd="0" x="183"/>
        <item sd="0" x="182"/>
        <item sd="0" x="181"/>
        <item sd="0" x="180"/>
        <item sd="0" x="184"/>
        <item sd="0" x="185"/>
        <item sd="0" x="186"/>
        <item sd="0" x="187"/>
        <item sd="0" x="189"/>
        <item sd="0" x="188"/>
        <item sd="0" x="190"/>
        <item sd="0" x="191"/>
        <item sd="0" x="192"/>
        <item sd="0" x="193"/>
        <item sd="0" x="194"/>
        <item sd="0" x="195"/>
        <item sd="0" x="198"/>
        <item sd="0" x="197"/>
        <item sd="0" x="196"/>
        <item sd="0" x="220"/>
        <item sd="0" x="200"/>
        <item sd="0" x="199"/>
        <item sd="0" x="206"/>
        <item sd="0" x="201"/>
        <item sd="0" x="202"/>
        <item sd="0" x="203"/>
        <item sd="0" x="204"/>
        <item sd="0" x="205"/>
        <item sd="0" x="208"/>
        <item sd="0" x="207"/>
        <item sd="0" x="210"/>
        <item sd="0" x="209"/>
        <item sd="0" x="211"/>
        <item sd="0" x="212"/>
        <item sd="0" x="213"/>
        <item sd="0" x="214"/>
        <item sd="0" x="215"/>
        <item sd="0" x="216"/>
        <item sd="0" x="219"/>
        <item sd="0" x="221"/>
        <item sd="0" x="222"/>
        <item sd="0" x="217"/>
        <item sd="0" x="218"/>
        <item sd="0" x="223"/>
        <item sd="0" x="224"/>
        <item sd="0" x="226"/>
        <item sd="0" x="227"/>
        <item sd="0" x="225"/>
        <item sd="0" x="228"/>
        <item sd="0" x="229"/>
        <item sd="0" x="230"/>
        <item sd="0" x="231"/>
        <item sd="0" x="232"/>
        <item sd="0" x="233"/>
        <item sd="0" x="234"/>
        <item sd="0" x="239"/>
        <item sd="0" x="235"/>
        <item sd="0" x="236"/>
        <item sd="0" x="240"/>
        <item sd="0" x="237"/>
        <item sd="0" x="238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x="263"/>
        <item x="264"/>
        <item x="265"/>
        <item x="266"/>
        <item x="267"/>
        <item x="269"/>
        <item x="268"/>
        <item x="271"/>
        <item x="270"/>
        <item x="272"/>
        <item x="273"/>
        <item x="275"/>
        <item x="274"/>
        <item sd="0" m="1" x="608"/>
        <item sd="0" m="1" x="1369"/>
        <item sd="0" m="1" x="311"/>
        <item sd="0" m="1" x="276"/>
        <item t="default" sd="0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6">
    <i>
      <x/>
    </i>
    <i r="1">
      <x v="1449"/>
    </i>
    <i r="2">
      <x v="3"/>
    </i>
    <i r="2">
      <x v="11"/>
    </i>
    <i r="1">
      <x v="1451"/>
    </i>
    <i r="2">
      <x v="8"/>
    </i>
    <i r="1">
      <x v="1452"/>
    </i>
    <i r="2">
      <x v="8"/>
    </i>
    <i>
      <x v="1"/>
    </i>
    <i r="1">
      <x v="1442"/>
    </i>
    <i r="2">
      <x v="3"/>
    </i>
    <i r="2">
      <x v="8"/>
    </i>
    <i r="2">
      <x v="10"/>
    </i>
    <i r="1">
      <x v="1444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95" totalsRowShown="0" totalsRowDxfId="24">
  <autoFilter ref="A1:C1195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836" totalsRowShown="0">
  <autoFilter ref="A1:S2836" xr:uid="{678037D6-A574-4B81-B392-ED766472D9FE}">
    <filterColumn colId="1">
      <filters>
        <filter val="open"/>
      </filters>
    </filterColumn>
    <filterColumn colId="2">
      <filters>
        <filter val="New"/>
      </filters>
    </filterColumn>
    <filterColumn colId="6">
      <filters blank="1">
        <filter val="LFF (MDG-F)"/>
      </filters>
    </filterColumn>
    <filterColumn colId="8">
      <filters blank="1"/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9" totalsRowShown="0">
  <autoFilter ref="A1:B129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A31" sqref="A31"/>
    </sheetView>
  </sheetViews>
  <sheetFormatPr defaultColWidth="0" defaultRowHeight="15"/>
  <cols>
    <col min="1" max="1" width="35.855468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66" t="s">
        <v>4297</v>
      </c>
    </row>
    <row r="3" spans="1:2">
      <c r="A3" s="66" t="s">
        <v>366</v>
      </c>
      <c r="B3" t="s">
        <v>698</v>
      </c>
    </row>
    <row r="4" spans="1:2">
      <c r="A4" s="66" t="s">
        <v>567</v>
      </c>
      <c r="B4" s="66">
        <v>659</v>
      </c>
    </row>
    <row r="5" spans="1:2">
      <c r="A5" s="66" t="s">
        <v>369</v>
      </c>
      <c r="B5" s="66">
        <v>619</v>
      </c>
    </row>
    <row r="6" spans="1:2">
      <c r="A6" s="66" t="s">
        <v>404</v>
      </c>
      <c r="B6" s="66"/>
    </row>
    <row r="7" spans="1:2">
      <c r="A7" s="66" t="s">
        <v>370</v>
      </c>
      <c r="B7" s="66"/>
    </row>
    <row r="8" spans="1:2">
      <c r="A8" s="66" t="s">
        <v>403</v>
      </c>
      <c r="B8" s="66"/>
    </row>
    <row r="9" spans="1:2">
      <c r="A9" s="66" t="s">
        <v>398</v>
      </c>
      <c r="B9" s="66"/>
    </row>
    <row r="10" spans="1:2">
      <c r="A10" s="66" t="s">
        <v>377</v>
      </c>
      <c r="B10" s="66">
        <v>37</v>
      </c>
    </row>
    <row r="11" spans="1:2">
      <c r="A11" s="66" t="s">
        <v>375</v>
      </c>
      <c r="B11" s="66">
        <v>3</v>
      </c>
    </row>
    <row r="12" spans="1:2">
      <c r="A12" s="66" t="s">
        <v>405</v>
      </c>
      <c r="B12" s="66"/>
    </row>
    <row r="13" spans="1:2">
      <c r="A13" s="66" t="s">
        <v>692</v>
      </c>
      <c r="B13" s="66"/>
    </row>
    <row r="14" spans="1:2">
      <c r="A14" s="66" t="s">
        <v>568</v>
      </c>
      <c r="B14" s="66">
        <v>794</v>
      </c>
    </row>
    <row r="15" spans="1:2">
      <c r="A15" s="66" t="s">
        <v>369</v>
      </c>
      <c r="B15" s="66">
        <v>774</v>
      </c>
    </row>
    <row r="16" spans="1:2">
      <c r="A16" s="66" t="s">
        <v>370</v>
      </c>
      <c r="B16" s="66">
        <v>2</v>
      </c>
    </row>
    <row r="17" spans="1:2">
      <c r="A17" s="66" t="s">
        <v>398</v>
      </c>
      <c r="B17" s="66">
        <v>13</v>
      </c>
    </row>
    <row r="18" spans="1:2">
      <c r="A18" s="66" t="s">
        <v>377</v>
      </c>
      <c r="B18" s="66">
        <v>5</v>
      </c>
    </row>
    <row r="19" spans="1:2">
      <c r="A19" s="66" t="s">
        <v>569</v>
      </c>
      <c r="B19" s="66">
        <v>904</v>
      </c>
    </row>
    <row r="20" spans="1:2">
      <c r="A20" s="66" t="s">
        <v>369</v>
      </c>
      <c r="B20" s="66">
        <v>888</v>
      </c>
    </row>
    <row r="21" spans="1:2">
      <c r="A21" s="66" t="s">
        <v>370</v>
      </c>
      <c r="B21" s="66">
        <v>1</v>
      </c>
    </row>
    <row r="22" spans="1:2">
      <c r="A22" s="66" t="s">
        <v>398</v>
      </c>
      <c r="B22" s="66">
        <v>8</v>
      </c>
    </row>
    <row r="23" spans="1:2">
      <c r="A23" s="66" t="s">
        <v>377</v>
      </c>
      <c r="B23" s="66">
        <v>7</v>
      </c>
    </row>
    <row r="24" spans="1:2">
      <c r="A24" s="66" t="s">
        <v>570</v>
      </c>
      <c r="B24" s="66">
        <v>134</v>
      </c>
    </row>
    <row r="25" spans="1:2">
      <c r="A25" s="66" t="s">
        <v>369</v>
      </c>
      <c r="B25" s="66">
        <v>132</v>
      </c>
    </row>
    <row r="26" spans="1:2">
      <c r="A26" s="66" t="s">
        <v>377</v>
      </c>
      <c r="B26" s="66">
        <v>2</v>
      </c>
    </row>
    <row r="27" spans="1:2">
      <c r="A27" s="66" t="s">
        <v>381</v>
      </c>
      <c r="B27" s="66">
        <v>2491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zoomScale="115" zoomScaleNormal="115" workbookViewId="0">
      <selection activeCell="A8" sqref="A8"/>
    </sheetView>
  </sheetViews>
  <sheetFormatPr defaultColWidth="0" defaultRowHeight="15"/>
  <cols>
    <col min="1" max="1" width="27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66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66" t="s">
        <v>2818</v>
      </c>
      <c r="B5" s="66">
        <v>13</v>
      </c>
      <c r="C5"/>
      <c r="D5"/>
      <c r="E5"/>
    </row>
    <row r="6" spans="1:6">
      <c r="A6" s="66" t="s">
        <v>4435</v>
      </c>
      <c r="B6" s="66">
        <v>11</v>
      </c>
      <c r="C6"/>
      <c r="D6"/>
      <c r="E6"/>
    </row>
    <row r="7" spans="1:6">
      <c r="A7" s="66" t="s">
        <v>369</v>
      </c>
      <c r="B7" s="66">
        <v>10</v>
      </c>
      <c r="C7"/>
      <c r="D7"/>
      <c r="E7"/>
    </row>
    <row r="8" spans="1:6">
      <c r="A8" s="66" t="s">
        <v>375</v>
      </c>
      <c r="B8" s="66">
        <v>1</v>
      </c>
      <c r="C8" s="56"/>
      <c r="D8"/>
      <c r="E8"/>
    </row>
    <row r="9" spans="1:6">
      <c r="A9" s="66" t="s">
        <v>4445</v>
      </c>
      <c r="B9" s="66">
        <v>1</v>
      </c>
      <c r="C9"/>
      <c r="D9"/>
    </row>
    <row r="10" spans="1:6">
      <c r="A10" s="66" t="s">
        <v>370</v>
      </c>
      <c r="B10" s="66">
        <v>1</v>
      </c>
      <c r="C10" s="53"/>
      <c r="D10"/>
    </row>
    <row r="11" spans="1:6">
      <c r="A11" s="66" t="s">
        <v>4443</v>
      </c>
      <c r="B11" s="66">
        <v>1</v>
      </c>
      <c r="C11"/>
      <c r="D11"/>
    </row>
    <row r="12" spans="1:6">
      <c r="A12" s="66" t="s">
        <v>370</v>
      </c>
      <c r="B12" s="66">
        <v>1</v>
      </c>
      <c r="C12"/>
      <c r="D12"/>
    </row>
    <row r="13" spans="1:6">
      <c r="A13" s="66" t="s">
        <v>4330</v>
      </c>
      <c r="B13" s="66">
        <v>6</v>
      </c>
      <c r="C13"/>
      <c r="D13"/>
    </row>
    <row r="14" spans="1:6">
      <c r="A14" s="66" t="s">
        <v>4304</v>
      </c>
      <c r="B14" s="66">
        <v>4</v>
      </c>
      <c r="C14" s="53"/>
      <c r="D14"/>
    </row>
    <row r="15" spans="1:6">
      <c r="A15" s="66" t="s">
        <v>369</v>
      </c>
      <c r="B15" s="66">
        <v>2</v>
      </c>
      <c r="C15"/>
      <c r="D15"/>
    </row>
    <row r="16" spans="1:6">
      <c r="A16" s="66" t="s">
        <v>370</v>
      </c>
      <c r="B16" s="66">
        <v>1</v>
      </c>
      <c r="C16"/>
      <c r="D16"/>
    </row>
    <row r="17" spans="1:4">
      <c r="A17" s="66" t="s">
        <v>377</v>
      </c>
      <c r="B17" s="66">
        <v>1</v>
      </c>
      <c r="C17"/>
      <c r="D17"/>
    </row>
    <row r="18" spans="1:4">
      <c r="A18" s="66" t="s">
        <v>4311</v>
      </c>
      <c r="B18" s="66">
        <v>2</v>
      </c>
      <c r="C18"/>
      <c r="D18"/>
    </row>
    <row r="19" spans="1:4">
      <c r="A19" s="66" t="s">
        <v>375</v>
      </c>
      <c r="B19" s="66">
        <v>2</v>
      </c>
      <c r="C19" s="47"/>
      <c r="D19"/>
    </row>
    <row r="20" spans="1:4">
      <c r="A20" s="66" t="s">
        <v>381</v>
      </c>
      <c r="B20" s="66">
        <v>19</v>
      </c>
    </row>
    <row r="21" spans="1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95"/>
  <sheetViews>
    <sheetView topLeftCell="A1187" workbookViewId="0">
      <selection activeCell="C1195" sqref="C1195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4307</v>
      </c>
      <c r="B1190">
        <v>2</v>
      </c>
      <c r="C1190" s="103" t="s">
        <v>4</v>
      </c>
    </row>
    <row r="1191" spans="1:3">
      <c r="A1191" t="s">
        <v>4332</v>
      </c>
      <c r="B1191">
        <v>2</v>
      </c>
      <c r="C1191" s="103" t="s">
        <v>4</v>
      </c>
    </row>
    <row r="1192" spans="1:3">
      <c r="A1192" t="s">
        <v>4316</v>
      </c>
      <c r="B1192">
        <v>9</v>
      </c>
      <c r="C1192" s="103" t="s">
        <v>4</v>
      </c>
    </row>
    <row r="1193" spans="1:3">
      <c r="A1193" t="s">
        <v>4340</v>
      </c>
      <c r="B1193">
        <v>58</v>
      </c>
      <c r="C1193" s="103" t="s">
        <v>4</v>
      </c>
    </row>
    <row r="1194" spans="1:3">
      <c r="A1194" t="s">
        <v>4339</v>
      </c>
      <c r="B1194">
        <v>1</v>
      </c>
      <c r="C1194" s="103" t="s">
        <v>4</v>
      </c>
    </row>
    <row r="1195" spans="1:3">
      <c r="A1195" t="s">
        <v>4438</v>
      </c>
      <c r="B1195">
        <v>1</v>
      </c>
      <c r="C1195" s="103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836"/>
  <sheetViews>
    <sheetView tabSelected="1" zoomScale="85" zoomScaleNormal="85" workbookViewId="0">
      <selection activeCell="C1" sqref="C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03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03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03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03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03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03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03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03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03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03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03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03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03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03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03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03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03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03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03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03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03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03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03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03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03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03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03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03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03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03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03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03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03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03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03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03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03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03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03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03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03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03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03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03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03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03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03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03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03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03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03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03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03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03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03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03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03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03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03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03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03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03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03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03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03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03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03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03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03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03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03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03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03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03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03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03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03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140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03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03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03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03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03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03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03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03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03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03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03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03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03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03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03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03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03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03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03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03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03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03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03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03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03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03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03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03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03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03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03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03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03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03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03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03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03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03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03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03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03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03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03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03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03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03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03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03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03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03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03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03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03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03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03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03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03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03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03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03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03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03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03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03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03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03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03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03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03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03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03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03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03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03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03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03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03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03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03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03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03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03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03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03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03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03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03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03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03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03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03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03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03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03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03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03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03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03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03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03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03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03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03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03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03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03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03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03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03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03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03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03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03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03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03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03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03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03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03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03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03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03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03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03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03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03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/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03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60"/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03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03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03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60"/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03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03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03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03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03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03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03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60"/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03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60"/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03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03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03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60"/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03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03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03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03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03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03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03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03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03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03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03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03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03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03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03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03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03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03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03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03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03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03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03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03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03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03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03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03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03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03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03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03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03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03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03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03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03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03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03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03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03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03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03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03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03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03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03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03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03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60"/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03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03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03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03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03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03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03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03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03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03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03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62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115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62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115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62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115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62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115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62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115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62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115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62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115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62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115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62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115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62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115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62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115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03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03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03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03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03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03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03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03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03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111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03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03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03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03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03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03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03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03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03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03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03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03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03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03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03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03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03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03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03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03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03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03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03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03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03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03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03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03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03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03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03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03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03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03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03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03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03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03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03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03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03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60"/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03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03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03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03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03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03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03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03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03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03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03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03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03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03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03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03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03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03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03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03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03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03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03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03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03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60"/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03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03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03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03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108</v>
      </c>
      <c r="R388" s="67" t="s">
        <v>549</v>
      </c>
      <c r="S388" s="60"/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03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108</v>
      </c>
      <c r="R389" s="67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03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108</v>
      </c>
      <c r="R390" s="67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03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108</v>
      </c>
      <c r="R391" s="67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03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108</v>
      </c>
      <c r="R392" s="67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03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108</v>
      </c>
      <c r="R393" s="67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03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108</v>
      </c>
      <c r="R394" s="67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03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108</v>
      </c>
      <c r="R395" s="67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03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108</v>
      </c>
      <c r="R396" s="67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03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108</v>
      </c>
      <c r="R397" s="67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03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108</v>
      </c>
      <c r="R398" s="67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108</v>
      </c>
      <c r="R399" s="67" t="s">
        <v>549</v>
      </c>
      <c r="S399" s="60"/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03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108</v>
      </c>
      <c r="R400" s="67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03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108</v>
      </c>
      <c r="R401" s="67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03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108</v>
      </c>
      <c r="R402" s="67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03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108</v>
      </c>
      <c r="R403" s="67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03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108</v>
      </c>
      <c r="R404" s="67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108</v>
      </c>
      <c r="R405" s="67" t="s">
        <v>549</v>
      </c>
      <c r="S405" s="60"/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03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108</v>
      </c>
      <c r="R406" s="67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03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108</v>
      </c>
      <c r="R407" s="67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03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108</v>
      </c>
      <c r="R408" s="67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03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108</v>
      </c>
      <c r="R409" s="67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03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108</v>
      </c>
      <c r="R410" s="67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03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108</v>
      </c>
      <c r="R411" s="67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03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108</v>
      </c>
      <c r="R412" s="67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108</v>
      </c>
      <c r="R413" s="67" t="s">
        <v>549</v>
      </c>
      <c r="S413" s="60"/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108</v>
      </c>
      <c r="R414" s="67" t="s">
        <v>549</v>
      </c>
      <c r="S414" s="60"/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03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108</v>
      </c>
      <c r="R415" s="67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03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108</v>
      </c>
      <c r="R416" s="67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03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108</v>
      </c>
      <c r="R417" s="67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03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108</v>
      </c>
      <c r="R418" s="67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03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108</v>
      </c>
      <c r="R419" s="67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03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108</v>
      </c>
      <c r="R420" s="67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108</v>
      </c>
      <c r="R421" s="67" t="s">
        <v>549</v>
      </c>
      <c r="S421" s="60"/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03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108</v>
      </c>
      <c r="R422" s="67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03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108</v>
      </c>
      <c r="R423" s="67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03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108</v>
      </c>
      <c r="R424" s="67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03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108</v>
      </c>
      <c r="R425" s="67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03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108</v>
      </c>
      <c r="R426" s="67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03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108</v>
      </c>
      <c r="R427" s="67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03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108</v>
      </c>
      <c r="R428" s="67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03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107</v>
      </c>
      <c r="R429" s="67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03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107</v>
      </c>
      <c r="R430" s="67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03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107</v>
      </c>
      <c r="R431" s="67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03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107</v>
      </c>
      <c r="R432" s="67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03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107</v>
      </c>
      <c r="R433" s="67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03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107</v>
      </c>
      <c r="R434" s="67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03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107</v>
      </c>
      <c r="R435" s="67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03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107</v>
      </c>
      <c r="R436" s="67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03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107</v>
      </c>
      <c r="R437" s="67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03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107</v>
      </c>
      <c r="R438" s="67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03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107</v>
      </c>
      <c r="R439" s="67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03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107</v>
      </c>
      <c r="R440" s="67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03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107</v>
      </c>
      <c r="R441" s="67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03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107</v>
      </c>
      <c r="R442" s="67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03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107</v>
      </c>
      <c r="R443" s="67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03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107</v>
      </c>
      <c r="R444" s="67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03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107</v>
      </c>
      <c r="R445" s="67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03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107</v>
      </c>
      <c r="R446" s="67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03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107</v>
      </c>
      <c r="R447" s="67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03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107</v>
      </c>
      <c r="R448" s="67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03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107</v>
      </c>
      <c r="R449" s="67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03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107</v>
      </c>
      <c r="R450" s="67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03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107</v>
      </c>
      <c r="R451" s="67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03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107</v>
      </c>
      <c r="R452" s="67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03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107</v>
      </c>
      <c r="R453" s="67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03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107</v>
      </c>
      <c r="R454" s="67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03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107</v>
      </c>
      <c r="R455" s="67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03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107</v>
      </c>
      <c r="R456" s="67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03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107</v>
      </c>
      <c r="R457" s="67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03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107</v>
      </c>
      <c r="R458" s="67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03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107</v>
      </c>
      <c r="R459" s="67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03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107</v>
      </c>
      <c r="R460" s="67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03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107</v>
      </c>
      <c r="R461" s="67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03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107</v>
      </c>
      <c r="R462" s="67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03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107</v>
      </c>
      <c r="R463" s="67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03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107</v>
      </c>
      <c r="R464" s="67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03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107</v>
      </c>
      <c r="R465" s="67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03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107</v>
      </c>
      <c r="R466" s="67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03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107</v>
      </c>
      <c r="R467" s="67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03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107</v>
      </c>
      <c r="R468" s="67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03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107</v>
      </c>
      <c r="R469" s="67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03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107</v>
      </c>
      <c r="R470" s="67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03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107</v>
      </c>
      <c r="R471" s="67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03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107</v>
      </c>
      <c r="R472" s="67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03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107</v>
      </c>
      <c r="R473" s="67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03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107</v>
      </c>
      <c r="R474" s="67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03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107</v>
      </c>
      <c r="R475" s="67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03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107</v>
      </c>
      <c r="R476" s="67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03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107</v>
      </c>
      <c r="R477" s="67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03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107</v>
      </c>
      <c r="R478" s="67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03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107</v>
      </c>
      <c r="R479" s="67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03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107</v>
      </c>
      <c r="R480" s="67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03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107</v>
      </c>
      <c r="R481" s="67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03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107</v>
      </c>
      <c r="R482" s="67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03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107</v>
      </c>
      <c r="R483" s="67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03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107</v>
      </c>
      <c r="R484" s="67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03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107</v>
      </c>
      <c r="R485" s="67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03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107</v>
      </c>
      <c r="R486" s="67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03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107</v>
      </c>
      <c r="R487" s="67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03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106</v>
      </c>
      <c r="R488" s="67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03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106</v>
      </c>
      <c r="R489" s="67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03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106</v>
      </c>
      <c r="R490" s="67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03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106</v>
      </c>
      <c r="R491" s="67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03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106</v>
      </c>
      <c r="R492" s="67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03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105</v>
      </c>
      <c r="R493" s="67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105</v>
      </c>
      <c r="R494" s="67" t="s">
        <v>515</v>
      </c>
      <c r="S494" s="60"/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03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03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103</v>
      </c>
      <c r="R496" s="67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03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103</v>
      </c>
      <c r="R497" s="67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03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102</v>
      </c>
      <c r="R498" s="67" t="s">
        <v>1459</v>
      </c>
      <c r="S498" s="60"/>
    </row>
    <row r="499" spans="1:19" hidden="1">
      <c r="A499" t="s">
        <v>1831</v>
      </c>
      <c r="B499" s="6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03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6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03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6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03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6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03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6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03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6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03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6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03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6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03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6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03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6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03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6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03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6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03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6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03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6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03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6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03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6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03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6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03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6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03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6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03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6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03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6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03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6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03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6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03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6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03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6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03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6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03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6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03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6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03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6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03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6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03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6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03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6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03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6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03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6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03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6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03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6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03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6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03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6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03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6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03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6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03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6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03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6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69"/>
    </row>
    <row r="541" spans="1:19" hidden="1">
      <c r="A541" s="68" t="s">
        <v>1843</v>
      </c>
      <c r="B541" s="6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03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6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03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6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03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6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03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6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03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6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03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6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03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6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03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6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03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6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03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6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03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6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03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6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03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6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03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6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03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6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03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6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03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6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03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6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03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6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03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6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03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6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03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6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03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6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03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6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03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6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03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6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03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6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03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6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03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6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03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6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03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6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03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6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03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6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03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6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03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6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03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6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03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6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69"/>
    </row>
    <row r="579" spans="1:19" hidden="1">
      <c r="A579" s="68" t="s">
        <v>1843</v>
      </c>
      <c r="B579" s="6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03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6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03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6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03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6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03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6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03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6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03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6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03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6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03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6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03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6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03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6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03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6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03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6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03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6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03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6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03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6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03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6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03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6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03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6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03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6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03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6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03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6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03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6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03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6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03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6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03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6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03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6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03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6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03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6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03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6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03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6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03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6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03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6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03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6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99</v>
      </c>
      <c r="R612" s="70" t="s">
        <v>1076</v>
      </c>
      <c r="S612" s="69"/>
    </row>
    <row r="613" spans="1:19" hidden="1">
      <c r="A613" s="68" t="s">
        <v>1998</v>
      </c>
      <c r="B613" s="6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99</v>
      </c>
      <c r="R613" s="70" t="s">
        <v>1076</v>
      </c>
      <c r="S613" s="69"/>
    </row>
    <row r="614" spans="1:19" hidden="1">
      <c r="A614" s="68" t="s">
        <v>1998</v>
      </c>
      <c r="B614" s="6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99</v>
      </c>
      <c r="R614" s="70" t="s">
        <v>1076</v>
      </c>
      <c r="S614" s="69"/>
    </row>
    <row r="615" spans="1:19" hidden="1">
      <c r="A615" s="68" t="s">
        <v>1998</v>
      </c>
      <c r="B615" s="6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99</v>
      </c>
      <c r="R615" s="70" t="s">
        <v>1076</v>
      </c>
      <c r="S615" s="69"/>
    </row>
    <row r="616" spans="1:19" hidden="1">
      <c r="A616" s="68" t="s">
        <v>1998</v>
      </c>
      <c r="B616" s="6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99</v>
      </c>
      <c r="R616" s="70" t="s">
        <v>1076</v>
      </c>
      <c r="S616" s="69"/>
    </row>
    <row r="617" spans="1:19" hidden="1">
      <c r="A617" s="68" t="s">
        <v>1998</v>
      </c>
      <c r="B617" s="6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99</v>
      </c>
      <c r="R617" s="70" t="s">
        <v>1076</v>
      </c>
      <c r="S617" s="69"/>
    </row>
    <row r="618" spans="1:19" hidden="1">
      <c r="A618" s="68" t="s">
        <v>1998</v>
      </c>
      <c r="B618" s="6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99</v>
      </c>
      <c r="R618" s="70" t="s">
        <v>1076</v>
      </c>
      <c r="S618" s="69"/>
    </row>
    <row r="619" spans="1:19" hidden="1">
      <c r="A619" s="68" t="s">
        <v>1998</v>
      </c>
      <c r="B619" s="6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03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99</v>
      </c>
      <c r="R619" s="70" t="s">
        <v>1076</v>
      </c>
      <c r="S619" s="69"/>
    </row>
    <row r="620" spans="1:19" hidden="1">
      <c r="A620" s="68" t="s">
        <v>1998</v>
      </c>
      <c r="B620" s="6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03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99</v>
      </c>
      <c r="R620" s="70" t="s">
        <v>1076</v>
      </c>
      <c r="S620" s="69"/>
    </row>
    <row r="621" spans="1:19" hidden="1">
      <c r="A621" s="68" t="s">
        <v>1998</v>
      </c>
      <c r="B621" s="6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03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99</v>
      </c>
      <c r="R621" s="70" t="s">
        <v>1076</v>
      </c>
      <c r="S621" s="69"/>
    </row>
    <row r="622" spans="1:19" hidden="1">
      <c r="A622" s="68" t="s">
        <v>1998</v>
      </c>
      <c r="B622" s="6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03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99</v>
      </c>
      <c r="R622" s="70" t="s">
        <v>1076</v>
      </c>
      <c r="S622" s="69"/>
    </row>
    <row r="623" spans="1:19" hidden="1">
      <c r="A623" t="s">
        <v>2009</v>
      </c>
      <c r="B623" s="6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03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99</v>
      </c>
      <c r="R623" s="70" t="s">
        <v>1001</v>
      </c>
      <c r="S623" s="69"/>
    </row>
    <row r="624" spans="1:19" hidden="1">
      <c r="A624" s="68" t="s">
        <v>2009</v>
      </c>
      <c r="B624" s="6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03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99</v>
      </c>
      <c r="R624" s="70" t="s">
        <v>1001</v>
      </c>
      <c r="S624" s="69"/>
    </row>
    <row r="625" spans="1:19" hidden="1">
      <c r="A625" s="68" t="s">
        <v>2009</v>
      </c>
      <c r="B625" s="6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03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99</v>
      </c>
      <c r="R625" s="70" t="s">
        <v>1001</v>
      </c>
      <c r="S625" s="69"/>
    </row>
    <row r="626" spans="1:19" hidden="1">
      <c r="A626" s="68" t="s">
        <v>2009</v>
      </c>
      <c r="B626" s="6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03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99</v>
      </c>
      <c r="R626" s="70" t="s">
        <v>1001</v>
      </c>
      <c r="S626" s="69"/>
    </row>
    <row r="627" spans="1:19" hidden="1">
      <c r="A627" s="68" t="s">
        <v>2009</v>
      </c>
      <c r="B627" s="6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03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99</v>
      </c>
      <c r="R627" s="70" t="s">
        <v>1001</v>
      </c>
      <c r="S627" s="69"/>
    </row>
    <row r="628" spans="1:19" hidden="1">
      <c r="A628" t="s">
        <v>2009</v>
      </c>
      <c r="B628" s="6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03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99</v>
      </c>
      <c r="R628" s="70" t="s">
        <v>1001</v>
      </c>
      <c r="S628" s="69"/>
    </row>
    <row r="629" spans="1:19" hidden="1">
      <c r="A629" s="68" t="s">
        <v>2009</v>
      </c>
      <c r="B629" s="6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03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99</v>
      </c>
      <c r="R629" s="70" t="s">
        <v>1001</v>
      </c>
      <c r="S629" s="69"/>
    </row>
    <row r="630" spans="1:19" hidden="1">
      <c r="A630" s="68" t="s">
        <v>2009</v>
      </c>
      <c r="B630" s="6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03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99</v>
      </c>
      <c r="R630" s="70" t="s">
        <v>1001</v>
      </c>
      <c r="S630" s="69"/>
    </row>
    <row r="631" spans="1:19" hidden="1">
      <c r="A631" s="68" t="s">
        <v>2009</v>
      </c>
      <c r="B631" s="6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03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99</v>
      </c>
      <c r="R631" s="70" t="s">
        <v>1001</v>
      </c>
      <c r="S631" s="69"/>
    </row>
    <row r="632" spans="1:19" hidden="1">
      <c r="A632" s="68" t="s">
        <v>2009</v>
      </c>
      <c r="B632" s="6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03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99</v>
      </c>
      <c r="R632" s="70" t="s">
        <v>1001</v>
      </c>
      <c r="S632" s="69"/>
    </row>
    <row r="633" spans="1:19" hidden="1">
      <c r="A633" s="68" t="s">
        <v>2025</v>
      </c>
      <c r="B633" s="6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03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6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03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6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03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98</v>
      </c>
      <c r="R635" s="70" t="s">
        <v>830</v>
      </c>
      <c r="S635" s="69"/>
    </row>
    <row r="636" spans="1:19" hidden="1">
      <c r="A636" s="68" t="s">
        <v>2003</v>
      </c>
      <c r="B636" s="6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03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98</v>
      </c>
      <c r="R636" s="70" t="s">
        <v>830</v>
      </c>
      <c r="S636" s="69"/>
    </row>
    <row r="637" spans="1:19" hidden="1">
      <c r="A637" s="68" t="s">
        <v>2003</v>
      </c>
      <c r="B637" s="6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03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98</v>
      </c>
      <c r="R637" s="70" t="s">
        <v>830</v>
      </c>
      <c r="S637" s="69"/>
    </row>
    <row r="638" spans="1:19" hidden="1">
      <c r="A638" t="s">
        <v>2003</v>
      </c>
      <c r="B638" s="6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03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98</v>
      </c>
      <c r="R638" s="70" t="s">
        <v>830</v>
      </c>
      <c r="S638" s="69"/>
    </row>
    <row r="639" spans="1:19" hidden="1">
      <c r="A639" t="s">
        <v>2003</v>
      </c>
      <c r="B639" s="6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03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98</v>
      </c>
      <c r="R639" s="70" t="s">
        <v>830</v>
      </c>
      <c r="S639" s="69"/>
    </row>
    <row r="640" spans="1:19" hidden="1">
      <c r="A640" t="s">
        <v>2026</v>
      </c>
      <c r="B640" s="6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03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6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03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6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03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6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03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6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03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6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03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6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03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6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03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6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03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6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03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6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03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6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03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6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03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6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03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6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03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6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03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6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03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6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03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6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03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6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03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6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03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6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03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6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03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6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03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6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03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6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03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6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03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6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03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6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03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6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03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6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03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6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03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6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03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6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03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6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03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6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03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6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03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6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03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6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03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6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03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6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03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6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03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6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03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6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03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6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03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6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03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6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03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6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03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6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03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6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03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6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03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6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03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6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03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6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03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6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03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6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03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6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03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6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03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6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03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6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03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6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03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6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03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6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03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6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03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6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03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6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03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6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03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6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03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6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03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6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03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6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03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6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03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6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03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6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03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6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03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6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03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6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03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6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03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6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03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6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03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6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03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6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03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6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03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6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03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6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03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6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03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6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03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6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03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6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03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6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03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6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03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6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03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6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03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6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03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6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03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6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03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6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03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93</v>
      </c>
      <c r="R736" s="70" t="s">
        <v>484</v>
      </c>
      <c r="S736" s="69"/>
    </row>
    <row r="737" spans="1:19" hidden="1">
      <c r="A737" s="68" t="s">
        <v>2088</v>
      </c>
      <c r="B737" s="6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03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93</v>
      </c>
      <c r="R737" s="70" t="s">
        <v>484</v>
      </c>
      <c r="S737" s="69"/>
    </row>
    <row r="738" spans="1:19" hidden="1">
      <c r="A738" s="68" t="s">
        <v>2088</v>
      </c>
      <c r="B738" s="6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03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93</v>
      </c>
      <c r="R738" s="70" t="s">
        <v>484</v>
      </c>
      <c r="S738" s="69"/>
    </row>
    <row r="739" spans="1:19" hidden="1">
      <c r="A739" t="s">
        <v>2197</v>
      </c>
      <c r="B739" s="6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03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6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03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6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03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6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03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6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03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6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03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6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03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6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03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6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03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6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03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6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03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6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03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6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03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6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03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6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03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6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03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6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03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6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03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6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03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6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03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6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03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6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03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6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03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6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03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6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03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6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03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6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03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6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03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6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03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6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03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6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03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6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03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6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03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6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03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6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03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6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03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6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03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6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03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6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03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6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03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6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03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6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03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6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03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6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03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6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03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6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03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6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03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6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03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6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03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6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03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6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03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6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03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6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03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6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03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6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03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6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03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6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03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6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03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6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03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6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03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6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03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6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03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6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03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6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03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6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03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6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03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6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03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6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03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6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03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6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03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6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03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6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03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6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03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6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03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6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03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6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69"/>
    </row>
    <row r="815" spans="1:19" hidden="1">
      <c r="A815" s="68" t="s">
        <v>2281</v>
      </c>
      <c r="B815" s="6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69"/>
    </row>
    <row r="816" spans="1:19" hidden="1">
      <c r="A816" s="68" t="s">
        <v>2281</v>
      </c>
      <c r="B816" s="6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69"/>
    </row>
    <row r="817" spans="1:19" hidden="1">
      <c r="A817" s="68" t="s">
        <v>2281</v>
      </c>
      <c r="B817" s="6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03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6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03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6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03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6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03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6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03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6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03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6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03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6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03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6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03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6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03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6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69"/>
    </row>
    <row r="828" spans="1:19" hidden="1">
      <c r="A828" s="68" t="s">
        <v>2281</v>
      </c>
      <c r="B828" s="6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69"/>
    </row>
    <row r="829" spans="1:19" hidden="1">
      <c r="A829" s="68" t="s">
        <v>2281</v>
      </c>
      <c r="B829" s="6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69"/>
    </row>
    <row r="830" spans="1:19" hidden="1">
      <c r="A830" s="68" t="s">
        <v>2281</v>
      </c>
      <c r="B830" s="6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69"/>
    </row>
    <row r="831" spans="1:19" hidden="1">
      <c r="A831" t="s">
        <v>2311</v>
      </c>
      <c r="B831" s="6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03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6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03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6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03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6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03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6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03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6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03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6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03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6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03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6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03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6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03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6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03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6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03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6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03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6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03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6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03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6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03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6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03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6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03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6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03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6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03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6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03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6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03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6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69"/>
    </row>
    <row r="854" spans="1:19" hidden="1">
      <c r="A854" s="68" t="s">
        <v>2348</v>
      </c>
      <c r="B854" s="6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69"/>
    </row>
    <row r="855" spans="1:19" hidden="1">
      <c r="A855" s="68" t="s">
        <v>2344</v>
      </c>
      <c r="B855" s="6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69"/>
    </row>
    <row r="856" spans="1:19" hidden="1">
      <c r="A856" s="68" t="s">
        <v>2344</v>
      </c>
      <c r="B856" s="6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69"/>
    </row>
    <row r="857" spans="1:19" hidden="1">
      <c r="A857" s="68" t="s">
        <v>2344</v>
      </c>
      <c r="B857" s="6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69"/>
    </row>
    <row r="858" spans="1:19" hidden="1">
      <c r="A858" s="68" t="s">
        <v>2344</v>
      </c>
      <c r="B858" s="6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03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6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03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6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03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6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03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88</v>
      </c>
      <c r="R861" s="70" t="s">
        <v>1459</v>
      </c>
      <c r="S861" s="69"/>
    </row>
    <row r="862" spans="1:19" hidden="1">
      <c r="A862" t="s">
        <v>2333</v>
      </c>
      <c r="B862" s="6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03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88</v>
      </c>
      <c r="R862" s="70" t="s">
        <v>1459</v>
      </c>
      <c r="S862" s="69"/>
    </row>
    <row r="863" spans="1:19" hidden="1">
      <c r="A863" s="68" t="s">
        <v>2333</v>
      </c>
      <c r="B863" s="6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03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88</v>
      </c>
      <c r="R863" s="70" t="s">
        <v>1459</v>
      </c>
      <c r="S863" s="69"/>
    </row>
    <row r="864" spans="1:19" hidden="1">
      <c r="A864" s="68" t="s">
        <v>2333</v>
      </c>
      <c r="B864" s="6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03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88</v>
      </c>
      <c r="R864" s="70" t="s">
        <v>1459</v>
      </c>
      <c r="S864" s="69"/>
    </row>
    <row r="865" spans="1:19" hidden="1">
      <c r="A865" s="68" t="s">
        <v>2333</v>
      </c>
      <c r="B865" s="6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03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88</v>
      </c>
      <c r="R865" s="70" t="s">
        <v>1459</v>
      </c>
      <c r="S865" s="69"/>
    </row>
    <row r="866" spans="1:19" hidden="1">
      <c r="A866" s="68" t="s">
        <v>2333</v>
      </c>
      <c r="B866" s="6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03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6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03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88</v>
      </c>
      <c r="R867" s="70" t="s">
        <v>1459</v>
      </c>
      <c r="S867" s="69"/>
    </row>
    <row r="868" spans="1:19" hidden="1">
      <c r="A868" s="68" t="s">
        <v>2333</v>
      </c>
      <c r="B868" s="6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03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88</v>
      </c>
      <c r="R868" s="70" t="s">
        <v>1459</v>
      </c>
      <c r="S868" s="69"/>
    </row>
    <row r="869" spans="1:19" hidden="1">
      <c r="A869" s="68" t="s">
        <v>2333</v>
      </c>
      <c r="B869" s="6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03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88</v>
      </c>
      <c r="R869" s="70" t="s">
        <v>1459</v>
      </c>
      <c r="S869" s="69"/>
    </row>
    <row r="870" spans="1:19" hidden="1">
      <c r="A870" s="68" t="s">
        <v>2333</v>
      </c>
      <c r="B870" s="6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03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88</v>
      </c>
      <c r="R870" s="70" t="s">
        <v>1459</v>
      </c>
      <c r="S870" s="69"/>
    </row>
    <row r="871" spans="1:19" hidden="1">
      <c r="A871" s="68" t="s">
        <v>2333</v>
      </c>
      <c r="B871" s="6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03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88</v>
      </c>
      <c r="R871" s="70" t="s">
        <v>1459</v>
      </c>
      <c r="S871" s="69"/>
    </row>
    <row r="872" spans="1:19" hidden="1">
      <c r="A872" s="68" t="s">
        <v>2333</v>
      </c>
      <c r="B872" s="6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03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88</v>
      </c>
      <c r="R872" s="70" t="s">
        <v>1459</v>
      </c>
      <c r="S872" s="69"/>
    </row>
    <row r="873" spans="1:19" hidden="1">
      <c r="A873" s="68" t="s">
        <v>2333</v>
      </c>
      <c r="B873" s="6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03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88</v>
      </c>
      <c r="R873" s="70" t="s">
        <v>1459</v>
      </c>
      <c r="S873" s="69"/>
    </row>
    <row r="874" spans="1:19" hidden="1">
      <c r="A874" s="68" t="s">
        <v>2333</v>
      </c>
      <c r="B874" s="6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03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88</v>
      </c>
      <c r="R874" s="70" t="s">
        <v>1459</v>
      </c>
      <c r="S874" s="69"/>
    </row>
    <row r="875" spans="1:19" hidden="1">
      <c r="A875" s="68" t="s">
        <v>2333</v>
      </c>
      <c r="B875" s="6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03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88</v>
      </c>
      <c r="R875" s="70" t="s">
        <v>1459</v>
      </c>
      <c r="S875" s="69"/>
    </row>
    <row r="876" spans="1:19" hidden="1">
      <c r="A876" s="68" t="s">
        <v>2333</v>
      </c>
      <c r="B876" s="6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03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88</v>
      </c>
      <c r="R876" s="70" t="s">
        <v>1459</v>
      </c>
      <c r="S876" s="69"/>
    </row>
    <row r="877" spans="1:19" hidden="1">
      <c r="A877" s="68" t="s">
        <v>2333</v>
      </c>
      <c r="B877" s="6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03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88</v>
      </c>
      <c r="R877" s="70" t="s">
        <v>1459</v>
      </c>
      <c r="S877" s="69"/>
    </row>
    <row r="878" spans="1:19" hidden="1">
      <c r="A878" s="68" t="s">
        <v>2333</v>
      </c>
      <c r="B878" s="6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03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88</v>
      </c>
      <c r="R878" s="70" t="s">
        <v>1459</v>
      </c>
      <c r="S878" s="69"/>
    </row>
    <row r="879" spans="1:19" hidden="1">
      <c r="A879" s="68" t="s">
        <v>2333</v>
      </c>
      <c r="B879" s="6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03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88</v>
      </c>
      <c r="R879" s="70" t="s">
        <v>1459</v>
      </c>
      <c r="S879" s="69"/>
    </row>
    <row r="880" spans="1:19" hidden="1">
      <c r="A880" t="s">
        <v>2313</v>
      </c>
      <c r="B880" s="6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03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6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03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6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03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6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03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6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69"/>
    </row>
    <row r="885" spans="1:19" hidden="1">
      <c r="A885" t="s">
        <v>2384</v>
      </c>
      <c r="B885" s="6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03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6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03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84</v>
      </c>
      <c r="R886" s="70" t="s">
        <v>2400</v>
      </c>
      <c r="S886" s="69"/>
    </row>
    <row r="887" spans="1:19" hidden="1">
      <c r="A887" s="68" t="s">
        <v>2396</v>
      </c>
      <c r="B887" s="6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03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84</v>
      </c>
      <c r="R887" s="70" t="s">
        <v>2400</v>
      </c>
      <c r="S887" s="69"/>
    </row>
    <row r="888" spans="1:19" hidden="1">
      <c r="A888" s="68" t="s">
        <v>2396</v>
      </c>
      <c r="B888" s="6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03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84</v>
      </c>
      <c r="R888" s="70" t="s">
        <v>2400</v>
      </c>
      <c r="S888" s="69"/>
    </row>
    <row r="889" spans="1:19" hidden="1">
      <c r="A889" s="68" t="s">
        <v>2396</v>
      </c>
      <c r="B889" s="6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03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6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03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6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03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6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03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6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03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6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03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6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03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6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03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6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03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6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03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6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03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6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03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6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03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6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03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6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03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6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03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6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03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6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03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6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72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79</v>
      </c>
      <c r="R907" s="70" t="s">
        <v>515</v>
      </c>
      <c r="S907" s="69"/>
    </row>
    <row r="908" spans="1:19" hidden="1">
      <c r="A908" t="s">
        <v>2439</v>
      </c>
      <c r="B908" s="6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03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78</v>
      </c>
      <c r="R908" s="70" t="s">
        <v>2440</v>
      </c>
      <c r="S908" s="69"/>
    </row>
    <row r="909" spans="1:19" hidden="1">
      <c r="A909" t="s">
        <v>2459</v>
      </c>
      <c r="B909" s="6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78</v>
      </c>
      <c r="R909" s="70" t="s">
        <v>830</v>
      </c>
      <c r="S909" s="69"/>
    </row>
    <row r="910" spans="1:19" hidden="1">
      <c r="A910" s="72" t="s">
        <v>2459</v>
      </c>
      <c r="B910" s="6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78</v>
      </c>
      <c r="R910" s="70" t="s">
        <v>830</v>
      </c>
      <c r="S910" s="69"/>
    </row>
    <row r="911" spans="1:19" hidden="1">
      <c r="A911" s="72" t="s">
        <v>2459</v>
      </c>
      <c r="B911" s="6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78</v>
      </c>
      <c r="R911" s="70" t="s">
        <v>830</v>
      </c>
      <c r="S911" s="69"/>
    </row>
    <row r="912" spans="1:19" hidden="1">
      <c r="A912" s="72" t="s">
        <v>2459</v>
      </c>
      <c r="B912" s="6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78</v>
      </c>
      <c r="R912" s="70" t="s">
        <v>830</v>
      </c>
      <c r="S912" s="69"/>
    </row>
    <row r="913" spans="1:19" hidden="1">
      <c r="A913" s="72" t="s">
        <v>2459</v>
      </c>
      <c r="B913" s="6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78</v>
      </c>
      <c r="R913" s="70" t="s">
        <v>830</v>
      </c>
      <c r="S913" s="69"/>
    </row>
    <row r="914" spans="1:19" hidden="1">
      <c r="A914" s="72" t="s">
        <v>2459</v>
      </c>
      <c r="B914" s="6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78</v>
      </c>
      <c r="R914" s="70" t="s">
        <v>830</v>
      </c>
      <c r="S914" s="69"/>
    </row>
    <row r="915" spans="1:19" hidden="1">
      <c r="A915" s="72" t="s">
        <v>2459</v>
      </c>
      <c r="B915" s="6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78</v>
      </c>
      <c r="R915" s="70" t="s">
        <v>830</v>
      </c>
      <c r="S915" s="69"/>
    </row>
    <row r="916" spans="1:19" hidden="1">
      <c r="A916" s="72" t="s">
        <v>2459</v>
      </c>
      <c r="B916" s="6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78</v>
      </c>
      <c r="R916" s="70" t="s">
        <v>830</v>
      </c>
      <c r="S916" s="69"/>
    </row>
    <row r="917" spans="1:19" hidden="1">
      <c r="A917" s="72" t="s">
        <v>2459</v>
      </c>
      <c r="B917" s="6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78</v>
      </c>
      <c r="R917" s="70" t="s">
        <v>830</v>
      </c>
      <c r="S917" s="69"/>
    </row>
    <row r="918" spans="1:19" hidden="1">
      <c r="A918" s="72" t="s">
        <v>2459</v>
      </c>
      <c r="B918" s="6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78</v>
      </c>
      <c r="R918" s="70" t="s">
        <v>830</v>
      </c>
      <c r="S918" s="69"/>
    </row>
    <row r="919" spans="1:19" hidden="1">
      <c r="A919" s="72" t="s">
        <v>2459</v>
      </c>
      <c r="B919" s="6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78</v>
      </c>
      <c r="R919" s="70" t="s">
        <v>830</v>
      </c>
      <c r="S919" s="69"/>
    </row>
    <row r="920" spans="1:19" hidden="1">
      <c r="A920" t="s">
        <v>2460</v>
      </c>
      <c r="B920" s="6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03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6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03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6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03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6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03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6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03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6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03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6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03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6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03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6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03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6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03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6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03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6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03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6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03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6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03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6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03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6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03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6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03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6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03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6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03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6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03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6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03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6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03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6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03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6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03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6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03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6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03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6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03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6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03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6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03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6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03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6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03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6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03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6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03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6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03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6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03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6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03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6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03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6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03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6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03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6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03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6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03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6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03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6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03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6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03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6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03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6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03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6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03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6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03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6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03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6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03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6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03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6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03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6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03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6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03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6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03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6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03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6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03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6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03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6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03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6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03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6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03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6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03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6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03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6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03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6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03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6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03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6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03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6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03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6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03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6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03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6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03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6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03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6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03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6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03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6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03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6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03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6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03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6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03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6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03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6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03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6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03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6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03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6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03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6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03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6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03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6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03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6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03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6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03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6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03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64</v>
      </c>
      <c r="R1008" s="74" t="s">
        <v>972</v>
      </c>
      <c r="S1008" s="69"/>
    </row>
    <row r="1009" spans="1:19" hidden="1">
      <c r="A1009" s="72" t="s">
        <v>2626</v>
      </c>
      <c r="B1009" s="6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03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64</v>
      </c>
      <c r="R1009" s="74" t="s">
        <v>972</v>
      </c>
      <c r="S1009" s="69"/>
    </row>
    <row r="1010" spans="1:19" hidden="1">
      <c r="A1010" t="s">
        <v>2622</v>
      </c>
      <c r="B1010" s="6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03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6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03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6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03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6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03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6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03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6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69"/>
    </row>
    <row r="1016" spans="1:19" hidden="1">
      <c r="A1016" s="72" t="s">
        <v>2673</v>
      </c>
      <c r="B1016" s="6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72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63</v>
      </c>
      <c r="R1016" s="74" t="s">
        <v>489</v>
      </c>
      <c r="S1016" s="69"/>
    </row>
    <row r="1017" spans="1:19" hidden="1">
      <c r="A1017" s="72" t="s">
        <v>2673</v>
      </c>
      <c r="B1017" s="6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72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63</v>
      </c>
      <c r="R1017" s="74" t="s">
        <v>489</v>
      </c>
      <c r="S1017" s="69"/>
    </row>
    <row r="1018" spans="1:19" hidden="1">
      <c r="A1018" s="72" t="s">
        <v>2673</v>
      </c>
      <c r="B1018" s="6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72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63</v>
      </c>
      <c r="R1018" s="74" t="s">
        <v>489</v>
      </c>
      <c r="S1018" s="69"/>
    </row>
    <row r="1019" spans="1:19" hidden="1">
      <c r="A1019" s="72" t="s">
        <v>2667</v>
      </c>
      <c r="B1019" s="6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03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6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03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6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03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6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03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6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03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6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03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6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03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6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03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6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03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6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03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6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03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6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03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6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03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6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03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6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03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6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03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6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03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6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03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6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03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6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03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6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03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6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03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6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03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6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03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6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03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6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03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6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03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6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03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6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03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6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03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6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03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6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03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6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03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6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03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6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03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6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03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6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03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6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03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6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03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6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03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6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03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6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03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6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03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6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03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6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03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6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03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6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03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6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03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6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03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6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03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6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03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6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03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6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03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6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03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6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03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6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03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6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03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6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03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6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03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6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03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6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03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6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03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6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03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6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03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6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03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6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03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6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03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6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03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6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03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6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03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6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03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6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03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6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03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6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03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6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03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6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03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6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03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6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03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6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03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6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03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6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03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6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03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6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03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6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03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6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03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6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03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6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03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6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03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6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03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6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03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6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03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6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03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6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03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6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03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6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03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6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03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6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03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6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03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6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03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6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03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6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03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6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03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6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03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6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03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6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03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6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03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6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03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6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03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6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03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6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69"/>
    </row>
    <row r="1129" spans="1:19" hidden="1">
      <c r="A1129" s="72" t="s">
        <v>2780</v>
      </c>
      <c r="B1129" s="6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69"/>
    </row>
    <row r="1130" spans="1:19" hidden="1">
      <c r="A1130" s="72" t="s">
        <v>2780</v>
      </c>
      <c r="B1130" s="6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69"/>
    </row>
    <row r="1131" spans="1:19" hidden="1">
      <c r="A1131" s="72" t="s">
        <v>2780</v>
      </c>
      <c r="B1131" s="6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69"/>
    </row>
    <row r="1132" spans="1:19" hidden="1">
      <c r="A1132" t="s">
        <v>2789</v>
      </c>
      <c r="B1132" s="6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03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6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03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6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03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6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03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6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03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6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03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6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69"/>
    </row>
    <row r="1139" spans="1:19" hidden="1">
      <c r="A1139" s="72" t="s">
        <v>2801</v>
      </c>
      <c r="B1139" s="6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03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6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03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6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03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6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03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6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03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6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03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6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03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6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03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6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03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6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03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6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03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6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03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6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03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6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03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53</v>
      </c>
      <c r="R1152" s="80" t="s">
        <v>515</v>
      </c>
      <c r="S1152" s="69"/>
    </row>
    <row r="1153" spans="1:19" hidden="1">
      <c r="A1153" s="72" t="s">
        <v>2830</v>
      </c>
      <c r="B1153" s="6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03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6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03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6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03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6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03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6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03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6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03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6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03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6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03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6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03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6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03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6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03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6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03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6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03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6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03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6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03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6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03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6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03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6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03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6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03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6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03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6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03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6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03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6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03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6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03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6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69"/>
    </row>
    <row r="1178" spans="1:19" hidden="1">
      <c r="A1178" s="72" t="s">
        <v>2885</v>
      </c>
      <c r="B1178" s="6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69"/>
    </row>
    <row r="1179" spans="1:19" hidden="1">
      <c r="A1179" s="72" t="s">
        <v>2885</v>
      </c>
      <c r="B1179" s="6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69"/>
    </row>
    <row r="1180" spans="1:19" hidden="1">
      <c r="A1180" s="72" t="s">
        <v>2885</v>
      </c>
      <c r="B1180" s="6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69"/>
    </row>
    <row r="1181" spans="1:19" hidden="1">
      <c r="A1181" s="72" t="s">
        <v>2885</v>
      </c>
      <c r="B1181" s="6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69"/>
    </row>
    <row r="1182" spans="1:19" hidden="1">
      <c r="A1182" s="72" t="s">
        <v>2885</v>
      </c>
      <c r="B1182" s="6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69"/>
    </row>
    <row r="1183" spans="1:19" hidden="1">
      <c r="A1183" s="72" t="s">
        <v>2885</v>
      </c>
      <c r="B1183" s="6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69"/>
    </row>
    <row r="1184" spans="1:19" hidden="1">
      <c r="A1184" s="72" t="s">
        <v>2885</v>
      </c>
      <c r="B1184" s="6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69"/>
    </row>
    <row r="1185" spans="1:19" hidden="1">
      <c r="A1185" t="s">
        <v>2888</v>
      </c>
      <c r="B1185" s="6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03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6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03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6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03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6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03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6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03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6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03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6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03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6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03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6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03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6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03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6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03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6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03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6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03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6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03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6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03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6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03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6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03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6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03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6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03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6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03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6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03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6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03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6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03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6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03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6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03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6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03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6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03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6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03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6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03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6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03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6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03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6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03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6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03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6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03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6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03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6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03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6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03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6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03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6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03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6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03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6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03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6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03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6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03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6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03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6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03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6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03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6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03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6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03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6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03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6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03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6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03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6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03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6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03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6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03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6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03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6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03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6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03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6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03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6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03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6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03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6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03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6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03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6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03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6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03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6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03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6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03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6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03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6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03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6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03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6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03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6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03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6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03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6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03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6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03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6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03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6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03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6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03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6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03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6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03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6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03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6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03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6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03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6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03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6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03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6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03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6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03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6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03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6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03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6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03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6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03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6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03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6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03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6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03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6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03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6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03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6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03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6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03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6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03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6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03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6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03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6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03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6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03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6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03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6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03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6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03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6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03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6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03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6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03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6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03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6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03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6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03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6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69"/>
    </row>
    <row r="1297" spans="1:19" hidden="1">
      <c r="A1297" t="s">
        <v>3019</v>
      </c>
      <c r="B1297" s="6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03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6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03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6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03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6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03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6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03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6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03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6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03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6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03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6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03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6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03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6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03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6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03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6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03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6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03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6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03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6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03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6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03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6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03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6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03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6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03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6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03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6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03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6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03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6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03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6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03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6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03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6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03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6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03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6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03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6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03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6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03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6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03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6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03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6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03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6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03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6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03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6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03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6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03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6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03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6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03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6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03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6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03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6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03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6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03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6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03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6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03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6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03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6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03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6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03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6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03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6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03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6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03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6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03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6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03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6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03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6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03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6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03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6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03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6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03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6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03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6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03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6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03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6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03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6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03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6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03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6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03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6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03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6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03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6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03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6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03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6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03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6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03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6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03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6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03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6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03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6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03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6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03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6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03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6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03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6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03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6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03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6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03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6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03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6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03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6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03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6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03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6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03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6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03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6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03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6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03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6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03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6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03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6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03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6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03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6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03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6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03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6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03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6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03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6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03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6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03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6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03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6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03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6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03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6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03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6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03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6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03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6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03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6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03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6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03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6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03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6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03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6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03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6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03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6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03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6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03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6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03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6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03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6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03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6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03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6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03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6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03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6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03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6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03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6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03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6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03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6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03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6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03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6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03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6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03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6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03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6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03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6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03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6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03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6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69"/>
    </row>
    <row r="1431" spans="1:19" hidden="1">
      <c r="A1431" t="s">
        <v>3183</v>
      </c>
      <c r="B1431" s="6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03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6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03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6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03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6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03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38</v>
      </c>
      <c r="R1434" s="80" t="s">
        <v>489</v>
      </c>
      <c r="S1434" s="69"/>
    </row>
    <row r="1435" spans="1:19" hidden="1">
      <c r="A1435" s="72" t="s">
        <v>3192</v>
      </c>
      <c r="B1435" s="6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03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38</v>
      </c>
      <c r="R1435" s="80" t="s">
        <v>489</v>
      </c>
      <c r="S1435" s="69"/>
    </row>
    <row r="1436" spans="1:19" hidden="1">
      <c r="A1436" s="72" t="s">
        <v>3192</v>
      </c>
      <c r="B1436" s="6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03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38</v>
      </c>
      <c r="R1436" s="80" t="s">
        <v>489</v>
      </c>
      <c r="S1436" s="69"/>
    </row>
    <row r="1437" spans="1:19" hidden="1">
      <c r="A1437" s="72" t="s">
        <v>3192</v>
      </c>
      <c r="B1437" s="6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03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38</v>
      </c>
      <c r="R1437" s="80" t="s">
        <v>489</v>
      </c>
      <c r="S1437" s="69"/>
    </row>
    <row r="1438" spans="1:19" hidden="1">
      <c r="A1438" s="72" t="s">
        <v>3192</v>
      </c>
      <c r="B1438" s="6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03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38</v>
      </c>
      <c r="R1438" s="80" t="s">
        <v>489</v>
      </c>
      <c r="S1438" s="69"/>
    </row>
    <row r="1439" spans="1:19" hidden="1">
      <c r="A1439" s="72" t="s">
        <v>3192</v>
      </c>
      <c r="B1439" s="6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03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38</v>
      </c>
      <c r="R1439" s="80" t="s">
        <v>489</v>
      </c>
      <c r="S1439" s="69"/>
    </row>
    <row r="1440" spans="1:19" hidden="1">
      <c r="A1440" s="72" t="s">
        <v>3192</v>
      </c>
      <c r="B1440" s="6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03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38</v>
      </c>
      <c r="R1440" s="80" t="s">
        <v>489</v>
      </c>
      <c r="S1440" s="69"/>
    </row>
    <row r="1441" spans="1:19" hidden="1">
      <c r="A1441" s="72" t="s">
        <v>3192</v>
      </c>
      <c r="B1441" s="6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03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38</v>
      </c>
      <c r="R1441" s="80" t="s">
        <v>489</v>
      </c>
      <c r="S1441" s="69"/>
    </row>
    <row r="1442" spans="1:19" hidden="1">
      <c r="A1442" s="72" t="s">
        <v>3192</v>
      </c>
      <c r="B1442" s="6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03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38</v>
      </c>
      <c r="R1442" s="80" t="s">
        <v>489</v>
      </c>
      <c r="S1442" s="69"/>
    </row>
    <row r="1443" spans="1:19" hidden="1">
      <c r="A1443" s="72" t="s">
        <v>3192</v>
      </c>
      <c r="B1443" s="6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03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38</v>
      </c>
      <c r="R1443" s="80" t="s">
        <v>489</v>
      </c>
      <c r="S1443" s="69"/>
    </row>
    <row r="1444" spans="1:19" hidden="1">
      <c r="A1444" s="72" t="s">
        <v>3192</v>
      </c>
      <c r="B1444" s="6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03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38</v>
      </c>
      <c r="R1444" s="80" t="s">
        <v>489</v>
      </c>
      <c r="S1444" s="69"/>
    </row>
    <row r="1445" spans="1:19" hidden="1">
      <c r="A1445" s="72" t="s">
        <v>3192</v>
      </c>
      <c r="B1445" s="6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03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38</v>
      </c>
      <c r="R1445" s="80" t="s">
        <v>489</v>
      </c>
      <c r="S1445" s="69"/>
    </row>
    <row r="1446" spans="1:19" hidden="1">
      <c r="A1446" s="72" t="s">
        <v>3192</v>
      </c>
      <c r="B1446" s="6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03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38</v>
      </c>
      <c r="R1446" s="80" t="s">
        <v>489</v>
      </c>
      <c r="S1446" s="69"/>
    </row>
    <row r="1447" spans="1:19" hidden="1">
      <c r="A1447" s="72" t="s">
        <v>3192</v>
      </c>
      <c r="B1447" s="6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03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38</v>
      </c>
      <c r="R1447" s="80" t="s">
        <v>489</v>
      </c>
      <c r="S1447" s="69"/>
    </row>
    <row r="1448" spans="1:19" hidden="1">
      <c r="A1448" s="72" t="s">
        <v>3192</v>
      </c>
      <c r="B1448" s="6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03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38</v>
      </c>
      <c r="R1448" s="80" t="s">
        <v>489</v>
      </c>
      <c r="S1448" s="69"/>
    </row>
    <row r="1449" spans="1:19" hidden="1">
      <c r="A1449" s="72" t="s">
        <v>3192</v>
      </c>
      <c r="B1449" s="6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03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38</v>
      </c>
      <c r="R1449" s="80" t="s">
        <v>489</v>
      </c>
      <c r="S1449" s="69"/>
    </row>
    <row r="1450" spans="1:19" hidden="1">
      <c r="A1450" s="72" t="s">
        <v>3192</v>
      </c>
      <c r="B1450" s="6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03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38</v>
      </c>
      <c r="R1450" s="80" t="s">
        <v>489</v>
      </c>
      <c r="S1450" s="69"/>
    </row>
    <row r="1451" spans="1:19" hidden="1">
      <c r="A1451" s="72" t="s">
        <v>3192</v>
      </c>
      <c r="B1451" s="6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03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38</v>
      </c>
      <c r="R1451" s="80" t="s">
        <v>489</v>
      </c>
      <c r="S1451" s="69"/>
    </row>
    <row r="1452" spans="1:19" hidden="1">
      <c r="A1452" s="72" t="s">
        <v>3192</v>
      </c>
      <c r="B1452" s="6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03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38</v>
      </c>
      <c r="R1452" s="80" t="s">
        <v>489</v>
      </c>
      <c r="S1452" s="69"/>
    </row>
    <row r="1453" spans="1:19" hidden="1">
      <c r="A1453" s="72" t="s">
        <v>3192</v>
      </c>
      <c r="B1453" s="6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03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38</v>
      </c>
      <c r="R1453" s="80" t="s">
        <v>489</v>
      </c>
      <c r="S1453" s="69"/>
    </row>
    <row r="1454" spans="1:19" hidden="1">
      <c r="A1454" t="s">
        <v>3202</v>
      </c>
      <c r="B1454" s="85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03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85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03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85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03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85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03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85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03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85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03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85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03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85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03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85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03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85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03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85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03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85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03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85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03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85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03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85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03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85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03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85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03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85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03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85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03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85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03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85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03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85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03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85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03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85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03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85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03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85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03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85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03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85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03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85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03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85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03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85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03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85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03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85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03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85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03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85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03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85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03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85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03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85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03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85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03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85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03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85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03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85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03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85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03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85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03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85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03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85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03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85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03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85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03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85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03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85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03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85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03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85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03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85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03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85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03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85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03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85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03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85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03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85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03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85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03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85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03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35</v>
      </c>
      <c r="R1513" s="86" t="s">
        <v>515</v>
      </c>
      <c r="S1513" s="85"/>
    </row>
    <row r="1514" spans="1:19" hidden="1">
      <c r="A1514" s="84" t="s">
        <v>3292</v>
      </c>
      <c r="B1514" s="85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03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35</v>
      </c>
      <c r="R1514" s="86" t="s">
        <v>515</v>
      </c>
      <c r="S1514" s="85"/>
    </row>
    <row r="1515" spans="1:19" s="103" customFormat="1" hidden="1">
      <c r="A1515" s="103" t="s">
        <v>3292</v>
      </c>
      <c r="B1515" s="94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03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94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03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85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03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35</v>
      </c>
      <c r="R1517" s="86" t="s">
        <v>3291</v>
      </c>
      <c r="S1517" s="85"/>
    </row>
    <row r="1518" spans="1:19" hidden="1">
      <c r="A1518" t="s">
        <v>3298</v>
      </c>
      <c r="B1518" s="85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03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35</v>
      </c>
      <c r="R1518" s="86" t="s">
        <v>3291</v>
      </c>
      <c r="S1518" s="85"/>
    </row>
    <row r="1519" spans="1:19" hidden="1">
      <c r="A1519" t="s">
        <v>3327</v>
      </c>
      <c r="B1519" s="85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03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34</v>
      </c>
      <c r="R1519" s="86" t="s">
        <v>478</v>
      </c>
      <c r="S1519" s="85"/>
    </row>
    <row r="1520" spans="1:19" hidden="1">
      <c r="A1520" s="84" t="s">
        <v>3327</v>
      </c>
      <c r="B1520" s="85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03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34</v>
      </c>
      <c r="R1520" s="86" t="s">
        <v>478</v>
      </c>
      <c r="S1520" s="85"/>
    </row>
    <row r="1521" spans="1:19" hidden="1">
      <c r="A1521" s="84" t="s">
        <v>3327</v>
      </c>
      <c r="B1521" s="85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03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34</v>
      </c>
      <c r="R1521" s="86" t="s">
        <v>478</v>
      </c>
      <c r="S1521" s="85"/>
    </row>
    <row r="1522" spans="1:19" hidden="1">
      <c r="A1522" s="84" t="s">
        <v>3327</v>
      </c>
      <c r="B1522" s="85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03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34</v>
      </c>
      <c r="R1522" s="86" t="s">
        <v>478</v>
      </c>
      <c r="S1522" s="85"/>
    </row>
    <row r="1523" spans="1:19" hidden="1">
      <c r="A1523" s="84" t="s">
        <v>3327</v>
      </c>
      <c r="B1523" s="85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03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34</v>
      </c>
      <c r="R1523" s="86" t="s">
        <v>478</v>
      </c>
      <c r="S1523" s="85"/>
    </row>
    <row r="1524" spans="1:19" hidden="1">
      <c r="A1524" s="84" t="s">
        <v>3327</v>
      </c>
      <c r="B1524" s="85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03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34</v>
      </c>
      <c r="R1524" s="86" t="s">
        <v>478</v>
      </c>
      <c r="S1524" s="85"/>
    </row>
    <row r="1525" spans="1:19" hidden="1">
      <c r="A1525" s="84" t="s">
        <v>3327</v>
      </c>
      <c r="B1525" s="85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03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34</v>
      </c>
      <c r="R1525" s="86" t="s">
        <v>478</v>
      </c>
      <c r="S1525" s="85"/>
    </row>
    <row r="1526" spans="1:19" hidden="1">
      <c r="A1526" s="84" t="s">
        <v>3327</v>
      </c>
      <c r="B1526" s="85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03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34</v>
      </c>
      <c r="R1526" s="86" t="s">
        <v>478</v>
      </c>
      <c r="S1526" s="85"/>
    </row>
    <row r="1527" spans="1:19" hidden="1">
      <c r="A1527" s="84" t="s">
        <v>3327</v>
      </c>
      <c r="B1527" s="85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03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34</v>
      </c>
      <c r="R1527" s="86" t="s">
        <v>478</v>
      </c>
      <c r="S1527" s="85"/>
    </row>
    <row r="1528" spans="1:19" hidden="1">
      <c r="A1528" s="84" t="s">
        <v>3327</v>
      </c>
      <c r="B1528" s="85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03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34</v>
      </c>
      <c r="R1528" s="86" t="s">
        <v>478</v>
      </c>
      <c r="S1528" s="85"/>
    </row>
    <row r="1529" spans="1:19" hidden="1">
      <c r="A1529" s="84" t="s">
        <v>3327</v>
      </c>
      <c r="B1529" s="85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03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34</v>
      </c>
      <c r="R1529" s="86" t="s">
        <v>478</v>
      </c>
      <c r="S1529" s="85"/>
    </row>
    <row r="1530" spans="1:19" hidden="1">
      <c r="A1530" s="84" t="s">
        <v>3327</v>
      </c>
      <c r="B1530" s="85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03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34</v>
      </c>
      <c r="R1530" s="86" t="s">
        <v>478</v>
      </c>
      <c r="S1530" s="85"/>
    </row>
    <row r="1531" spans="1:19" hidden="1">
      <c r="A1531" s="84" t="s">
        <v>3327</v>
      </c>
      <c r="B1531" s="85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03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34</v>
      </c>
      <c r="R1531" s="86" t="s">
        <v>478</v>
      </c>
      <c r="S1531" s="85"/>
    </row>
    <row r="1532" spans="1:19" hidden="1">
      <c r="A1532" s="84" t="s">
        <v>3327</v>
      </c>
      <c r="B1532" s="85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03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34</v>
      </c>
      <c r="R1532" s="86" t="s">
        <v>478</v>
      </c>
      <c r="S1532" s="85"/>
    </row>
    <row r="1533" spans="1:19" hidden="1">
      <c r="A1533" s="84" t="s">
        <v>3327</v>
      </c>
      <c r="B1533" s="85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03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34</v>
      </c>
      <c r="R1533" s="86" t="s">
        <v>478</v>
      </c>
      <c r="S1533" s="85"/>
    </row>
    <row r="1534" spans="1:19" hidden="1">
      <c r="A1534" s="84" t="s">
        <v>3327</v>
      </c>
      <c r="B1534" s="85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03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34</v>
      </c>
      <c r="R1534" s="86" t="s">
        <v>478</v>
      </c>
      <c r="S1534" s="85"/>
    </row>
    <row r="1535" spans="1:19" hidden="1">
      <c r="A1535" s="84" t="s">
        <v>3327</v>
      </c>
      <c r="B1535" s="85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03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34</v>
      </c>
      <c r="R1535" s="86" t="s">
        <v>478</v>
      </c>
      <c r="S1535" s="85"/>
    </row>
    <row r="1536" spans="1:19" hidden="1">
      <c r="A1536" s="84" t="s">
        <v>3327</v>
      </c>
      <c r="B1536" s="85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03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34</v>
      </c>
      <c r="R1536" s="86" t="s">
        <v>478</v>
      </c>
      <c r="S1536" s="85"/>
    </row>
    <row r="1537" spans="1:19" hidden="1">
      <c r="A1537" s="84" t="s">
        <v>3327</v>
      </c>
      <c r="B1537" s="85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03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34</v>
      </c>
      <c r="R1537" s="86" t="s">
        <v>478</v>
      </c>
      <c r="S1537" s="85"/>
    </row>
    <row r="1538" spans="1:19" hidden="1">
      <c r="A1538" s="84" t="s">
        <v>3327</v>
      </c>
      <c r="B1538" s="85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03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34</v>
      </c>
      <c r="R1538" s="86" t="s">
        <v>478</v>
      </c>
      <c r="S1538" s="85"/>
    </row>
    <row r="1539" spans="1:19" hidden="1">
      <c r="A1539" s="84" t="s">
        <v>3327</v>
      </c>
      <c r="B1539" s="85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03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34</v>
      </c>
      <c r="R1539" s="86" t="s">
        <v>478</v>
      </c>
      <c r="S1539" s="85"/>
    </row>
    <row r="1540" spans="1:19" hidden="1">
      <c r="A1540" s="84" t="s">
        <v>3327</v>
      </c>
      <c r="B1540" s="85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03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34</v>
      </c>
      <c r="R1540" s="86" t="s">
        <v>478</v>
      </c>
      <c r="S1540" s="85"/>
    </row>
    <row r="1541" spans="1:19" hidden="1">
      <c r="A1541" s="84" t="s">
        <v>3327</v>
      </c>
      <c r="B1541" s="85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03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34</v>
      </c>
      <c r="R1541" s="86" t="s">
        <v>478</v>
      </c>
      <c r="S1541" s="85"/>
    </row>
    <row r="1542" spans="1:19" hidden="1">
      <c r="A1542" s="84" t="s">
        <v>3327</v>
      </c>
      <c r="B1542" s="85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03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34</v>
      </c>
      <c r="R1542" s="86" t="s">
        <v>478</v>
      </c>
      <c r="S1542" s="85"/>
    </row>
    <row r="1543" spans="1:19" hidden="1">
      <c r="A1543" s="84" t="s">
        <v>3327</v>
      </c>
      <c r="B1543" s="85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03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34</v>
      </c>
      <c r="R1543" s="86" t="s">
        <v>478</v>
      </c>
      <c r="S1543" s="85"/>
    </row>
    <row r="1544" spans="1:19" hidden="1">
      <c r="A1544" s="84" t="s">
        <v>3327</v>
      </c>
      <c r="B1544" s="85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03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34</v>
      </c>
      <c r="R1544" s="86" t="s">
        <v>478</v>
      </c>
      <c r="S1544" s="85"/>
    </row>
    <row r="1545" spans="1:19" hidden="1">
      <c r="A1545" s="84" t="s">
        <v>3327</v>
      </c>
      <c r="B1545" s="85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03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34</v>
      </c>
      <c r="R1545" s="86" t="s">
        <v>478</v>
      </c>
      <c r="S1545" s="85"/>
    </row>
    <row r="1546" spans="1:19" hidden="1">
      <c r="A1546" s="84" t="s">
        <v>3327</v>
      </c>
      <c r="B1546" s="85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03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34</v>
      </c>
      <c r="R1546" s="86" t="s">
        <v>478</v>
      </c>
      <c r="S1546" s="85"/>
    </row>
    <row r="1547" spans="1:19" hidden="1">
      <c r="A1547" t="s">
        <v>3328</v>
      </c>
      <c r="B1547" s="85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03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34</v>
      </c>
      <c r="R1547" s="86" t="s">
        <v>478</v>
      </c>
      <c r="S1547" s="85"/>
    </row>
    <row r="1548" spans="1:19" hidden="1">
      <c r="A1548" t="s">
        <v>3332</v>
      </c>
      <c r="B1548" s="85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03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34</v>
      </c>
      <c r="R1548" s="86" t="s">
        <v>3285</v>
      </c>
      <c r="S1548" s="85"/>
    </row>
    <row r="1549" spans="1:19" hidden="1">
      <c r="A1549" t="s">
        <v>3333</v>
      </c>
      <c r="B1549" s="85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03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33</v>
      </c>
      <c r="R1549" s="86" t="s">
        <v>972</v>
      </c>
      <c r="S1549" s="85"/>
    </row>
    <row r="1550" spans="1:19" hidden="1">
      <c r="A1550" s="84" t="s">
        <v>3333</v>
      </c>
      <c r="B1550" s="85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03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33</v>
      </c>
      <c r="R1550" s="86" t="s">
        <v>972</v>
      </c>
      <c r="S1550" s="85"/>
    </row>
    <row r="1551" spans="1:19" hidden="1">
      <c r="A1551" s="84" t="s">
        <v>3333</v>
      </c>
      <c r="B1551" s="85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03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33</v>
      </c>
      <c r="R1551" s="86" t="s">
        <v>972</v>
      </c>
      <c r="S1551" s="85"/>
    </row>
    <row r="1552" spans="1:19" hidden="1">
      <c r="A1552" s="84" t="s">
        <v>3333</v>
      </c>
      <c r="B1552" s="85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03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33</v>
      </c>
      <c r="R1552" s="86" t="s">
        <v>972</v>
      </c>
      <c r="S1552" s="85"/>
    </row>
    <row r="1553" spans="1:19" hidden="1">
      <c r="A1553" s="84" t="s">
        <v>3333</v>
      </c>
      <c r="B1553" s="85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03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33</v>
      </c>
      <c r="R1553" s="86" t="s">
        <v>972</v>
      </c>
      <c r="S1553" s="85"/>
    </row>
    <row r="1554" spans="1:19" hidden="1">
      <c r="A1554" s="84" t="s">
        <v>3333</v>
      </c>
      <c r="B1554" s="85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03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33</v>
      </c>
      <c r="R1554" s="86" t="s">
        <v>972</v>
      </c>
      <c r="S1554" s="85"/>
    </row>
    <row r="1555" spans="1:19" hidden="1">
      <c r="A1555" s="84" t="s">
        <v>3333</v>
      </c>
      <c r="B1555" s="85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03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33</v>
      </c>
      <c r="R1555" s="86" t="s">
        <v>972</v>
      </c>
      <c r="S1555" s="85"/>
    </row>
    <row r="1556" spans="1:19" hidden="1">
      <c r="A1556" s="84" t="s">
        <v>3333</v>
      </c>
      <c r="B1556" s="85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03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33</v>
      </c>
      <c r="R1556" s="86" t="s">
        <v>972</v>
      </c>
      <c r="S1556" s="85"/>
    </row>
    <row r="1557" spans="1:19" hidden="1">
      <c r="A1557" s="84" t="s">
        <v>3333</v>
      </c>
      <c r="B1557" s="85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03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33</v>
      </c>
      <c r="R1557" s="86" t="s">
        <v>972</v>
      </c>
      <c r="S1557" s="85"/>
    </row>
    <row r="1558" spans="1:19" hidden="1">
      <c r="A1558" s="84" t="s">
        <v>3333</v>
      </c>
      <c r="B1558" s="85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03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33</v>
      </c>
      <c r="R1558" s="86" t="s">
        <v>972</v>
      </c>
      <c r="S1558" s="85"/>
    </row>
    <row r="1559" spans="1:19" hidden="1">
      <c r="A1559" t="s">
        <v>3346</v>
      </c>
      <c r="B1559" s="85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03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33</v>
      </c>
      <c r="R1559" s="86" t="s">
        <v>551</v>
      </c>
      <c r="S1559" s="85"/>
    </row>
    <row r="1560" spans="1:19" hidden="1">
      <c r="A1560" s="88" t="s">
        <v>3346</v>
      </c>
      <c r="B1560" s="85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03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33</v>
      </c>
      <c r="R1560" s="86" t="s">
        <v>551</v>
      </c>
      <c r="S1560" s="85"/>
    </row>
    <row r="1561" spans="1:19" hidden="1">
      <c r="A1561" s="88" t="s">
        <v>3346</v>
      </c>
      <c r="B1561" s="85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03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33</v>
      </c>
      <c r="R1561" s="86" t="s">
        <v>551</v>
      </c>
      <c r="S1561" s="85"/>
    </row>
    <row r="1562" spans="1:19" hidden="1">
      <c r="A1562" t="s">
        <v>3348</v>
      </c>
      <c r="B1562" s="85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03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85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03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85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03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85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03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85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03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85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03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85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03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33</v>
      </c>
      <c r="R1568" s="86" t="s">
        <v>551</v>
      </c>
      <c r="S1568" s="85"/>
    </row>
    <row r="1569" spans="1:19" hidden="1">
      <c r="A1569" t="s">
        <v>3358</v>
      </c>
      <c r="B1569" s="85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03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33</v>
      </c>
      <c r="R1569" s="86" t="s">
        <v>551</v>
      </c>
      <c r="S1569" s="85"/>
    </row>
    <row r="1570" spans="1:19" hidden="1">
      <c r="A1570" s="89" t="s">
        <v>3358</v>
      </c>
      <c r="B1570" s="85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03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33</v>
      </c>
      <c r="R1570" s="86" t="s">
        <v>551</v>
      </c>
      <c r="S1570" s="85"/>
    </row>
    <row r="1571" spans="1:19" hidden="1">
      <c r="A1571" s="89" t="s">
        <v>3358</v>
      </c>
      <c r="B1571" s="85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03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33</v>
      </c>
      <c r="R1571" s="86" t="s">
        <v>551</v>
      </c>
      <c r="S1571" s="85"/>
    </row>
    <row r="1572" spans="1:19" hidden="1">
      <c r="A1572" s="89" t="s">
        <v>3358</v>
      </c>
      <c r="B1572" s="85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03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33</v>
      </c>
      <c r="R1572" s="86" t="s">
        <v>551</v>
      </c>
      <c r="S1572" s="85"/>
    </row>
    <row r="1573" spans="1:19" hidden="1">
      <c r="A1573" t="s">
        <v>3369</v>
      </c>
      <c r="B1573" s="85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03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85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03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85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03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85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03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85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03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85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03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85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03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85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03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85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03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85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03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85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03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85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03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85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03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85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03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85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03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85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03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85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03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85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03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85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03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85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03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85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03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85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03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85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03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85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03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85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03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85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03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85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03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85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03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85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03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85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03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85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03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85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03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85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03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85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03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85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03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85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03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85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03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85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03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85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03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85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03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85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03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85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03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85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03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85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03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85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03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85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03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85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03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85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03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85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03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85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03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85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03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85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03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85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03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85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03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85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03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85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03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85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03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85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03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85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03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85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03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85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03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85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03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85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03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85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03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85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03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85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03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85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03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85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03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85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03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85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03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85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03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85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03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29</v>
      </c>
      <c r="R1644" s="90" t="s">
        <v>489</v>
      </c>
      <c r="S1644" s="85"/>
    </row>
    <row r="1645" spans="1:19" hidden="1">
      <c r="A1645" s="89" t="s">
        <v>3405</v>
      </c>
      <c r="B1645" s="85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03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29</v>
      </c>
      <c r="R1645" s="90" t="s">
        <v>489</v>
      </c>
      <c r="S1645" s="85"/>
    </row>
    <row r="1646" spans="1:19" hidden="1">
      <c r="A1646" s="89" t="s">
        <v>3405</v>
      </c>
      <c r="B1646" s="85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03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29</v>
      </c>
      <c r="R1646" s="90" t="s">
        <v>489</v>
      </c>
      <c r="S1646" s="85"/>
    </row>
    <row r="1647" spans="1:19" hidden="1">
      <c r="A1647" s="89" t="s">
        <v>3405</v>
      </c>
      <c r="B1647" s="85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03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29</v>
      </c>
      <c r="R1647" s="90" t="s">
        <v>489</v>
      </c>
      <c r="S1647" s="85"/>
    </row>
    <row r="1648" spans="1:19" hidden="1">
      <c r="A1648" s="89" t="s">
        <v>3405</v>
      </c>
      <c r="B1648" s="85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03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29</v>
      </c>
      <c r="R1648" s="90" t="s">
        <v>489</v>
      </c>
      <c r="S1648" s="85"/>
    </row>
    <row r="1649" spans="1:19" hidden="1">
      <c r="A1649" s="89" t="s">
        <v>3405</v>
      </c>
      <c r="B1649" s="85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03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29</v>
      </c>
      <c r="R1649" s="90" t="s">
        <v>489</v>
      </c>
      <c r="S1649" s="85"/>
    </row>
    <row r="1650" spans="1:19" hidden="1">
      <c r="A1650" s="89" t="s">
        <v>3405</v>
      </c>
      <c r="B1650" s="85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03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29</v>
      </c>
      <c r="R1650" s="90" t="s">
        <v>489</v>
      </c>
      <c r="S1650" s="85"/>
    </row>
    <row r="1651" spans="1:19" hidden="1">
      <c r="A1651" s="89" t="s">
        <v>3405</v>
      </c>
      <c r="B1651" s="85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03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29</v>
      </c>
      <c r="R1651" s="90" t="s">
        <v>489</v>
      </c>
      <c r="S1651" s="85"/>
    </row>
    <row r="1652" spans="1:19" hidden="1">
      <c r="A1652" s="89" t="s">
        <v>3405</v>
      </c>
      <c r="B1652" s="85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03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29</v>
      </c>
      <c r="R1652" s="90" t="s">
        <v>489</v>
      </c>
      <c r="S1652" s="85"/>
    </row>
    <row r="1653" spans="1:19" hidden="1">
      <c r="A1653" s="89" t="s">
        <v>3405</v>
      </c>
      <c r="B1653" s="85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03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29</v>
      </c>
      <c r="R1653" s="90" t="s">
        <v>489</v>
      </c>
      <c r="S1653" s="85"/>
    </row>
    <row r="1654" spans="1:19" hidden="1">
      <c r="A1654" s="89" t="s">
        <v>3405</v>
      </c>
      <c r="B1654" s="85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03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29</v>
      </c>
      <c r="R1654" s="90" t="s">
        <v>489</v>
      </c>
      <c r="S1654" s="85"/>
    </row>
    <row r="1655" spans="1:19" hidden="1">
      <c r="A1655" s="89" t="s">
        <v>3405</v>
      </c>
      <c r="B1655" s="85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03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29</v>
      </c>
      <c r="R1655" s="90" t="s">
        <v>489</v>
      </c>
      <c r="S1655" s="85"/>
    </row>
    <row r="1656" spans="1:19" hidden="1">
      <c r="A1656" s="89" t="s">
        <v>3405</v>
      </c>
      <c r="B1656" s="85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03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29</v>
      </c>
      <c r="R1656" s="90" t="s">
        <v>489</v>
      </c>
      <c r="S1656" s="85"/>
    </row>
    <row r="1657" spans="1:19" hidden="1">
      <c r="A1657" s="89" t="s">
        <v>3405</v>
      </c>
      <c r="B1657" s="85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03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29</v>
      </c>
      <c r="R1657" s="90" t="s">
        <v>489</v>
      </c>
      <c r="S1657" s="85"/>
    </row>
    <row r="1658" spans="1:19" hidden="1">
      <c r="A1658" s="89" t="s">
        <v>3405</v>
      </c>
      <c r="B1658" s="85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03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29</v>
      </c>
      <c r="R1658" s="90" t="s">
        <v>489</v>
      </c>
      <c r="S1658" s="85"/>
    </row>
    <row r="1659" spans="1:19" hidden="1">
      <c r="A1659" s="89" t="s">
        <v>3405</v>
      </c>
      <c r="B1659" s="85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03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29</v>
      </c>
      <c r="R1659" s="90" t="s">
        <v>489</v>
      </c>
      <c r="S1659" s="85"/>
    </row>
    <row r="1660" spans="1:19" hidden="1">
      <c r="A1660" s="89" t="s">
        <v>3405</v>
      </c>
      <c r="B1660" s="85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03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29</v>
      </c>
      <c r="R1660" s="90" t="s">
        <v>489</v>
      </c>
      <c r="S1660" s="85"/>
    </row>
    <row r="1661" spans="1:19" hidden="1">
      <c r="A1661" s="89" t="s">
        <v>3405</v>
      </c>
      <c r="B1661" s="85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03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29</v>
      </c>
      <c r="R1661" s="90" t="s">
        <v>489</v>
      </c>
      <c r="S1661" s="85"/>
    </row>
    <row r="1662" spans="1:19" hidden="1">
      <c r="A1662" s="89" t="s">
        <v>3405</v>
      </c>
      <c r="B1662" s="85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03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29</v>
      </c>
      <c r="R1662" s="90" t="s">
        <v>489</v>
      </c>
      <c r="S1662" s="85"/>
    </row>
    <row r="1663" spans="1:19" hidden="1">
      <c r="A1663" s="89" t="s">
        <v>3405</v>
      </c>
      <c r="B1663" s="85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03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29</v>
      </c>
      <c r="R1663" s="90" t="s">
        <v>489</v>
      </c>
      <c r="S1663" s="85"/>
    </row>
    <row r="1664" spans="1:19" hidden="1">
      <c r="A1664" s="89" t="s">
        <v>3405</v>
      </c>
      <c r="B1664" s="85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03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29</v>
      </c>
      <c r="R1664" s="90" t="s">
        <v>489</v>
      </c>
      <c r="S1664" s="85"/>
    </row>
    <row r="1665" spans="1:19" hidden="1">
      <c r="A1665" s="89" t="s">
        <v>3405</v>
      </c>
      <c r="B1665" s="85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03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29</v>
      </c>
      <c r="R1665" s="90" t="s">
        <v>489</v>
      </c>
      <c r="S1665" s="85"/>
    </row>
    <row r="1666" spans="1:19" hidden="1">
      <c r="A1666" s="89" t="s">
        <v>3405</v>
      </c>
      <c r="B1666" s="85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03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29</v>
      </c>
      <c r="R1666" s="90" t="s">
        <v>489</v>
      </c>
      <c r="S1666" s="85"/>
    </row>
    <row r="1667" spans="1:19" hidden="1">
      <c r="A1667" s="89" t="s">
        <v>3405</v>
      </c>
      <c r="B1667" s="85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03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29</v>
      </c>
      <c r="R1667" s="90" t="s">
        <v>489</v>
      </c>
      <c r="S1667" s="85"/>
    </row>
    <row r="1668" spans="1:19" hidden="1">
      <c r="A1668" s="89" t="s">
        <v>3405</v>
      </c>
      <c r="B1668" s="85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03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29</v>
      </c>
      <c r="R1668" s="90" t="s">
        <v>489</v>
      </c>
      <c r="S1668" s="85"/>
    </row>
    <row r="1669" spans="1:19" hidden="1">
      <c r="A1669" s="89" t="s">
        <v>3405</v>
      </c>
      <c r="B1669" s="85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03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85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03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85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03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85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03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85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03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85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03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85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03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85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03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85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03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85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03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85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03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85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03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85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03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85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03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85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03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85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03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85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03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85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03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85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03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85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03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85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03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85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03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85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03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85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03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85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03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29</v>
      </c>
      <c r="R1693" s="90" t="s">
        <v>489</v>
      </c>
      <c r="S1693" s="85"/>
    </row>
    <row r="1694" spans="1:19" hidden="1">
      <c r="A1694" s="89" t="s">
        <v>3405</v>
      </c>
      <c r="B1694" s="85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03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29</v>
      </c>
      <c r="R1694" s="90" t="s">
        <v>489</v>
      </c>
      <c r="S1694" s="85"/>
    </row>
    <row r="1695" spans="1:19" hidden="1">
      <c r="A1695" s="89" t="s">
        <v>3405</v>
      </c>
      <c r="B1695" s="85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03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29</v>
      </c>
      <c r="R1695" s="90" t="s">
        <v>489</v>
      </c>
      <c r="S1695" s="85"/>
    </row>
    <row r="1696" spans="1:19" hidden="1">
      <c r="A1696" s="89" t="s">
        <v>3405</v>
      </c>
      <c r="B1696" s="85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03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29</v>
      </c>
      <c r="R1696" s="90" t="s">
        <v>489</v>
      </c>
      <c r="S1696" s="85"/>
    </row>
    <row r="1697" spans="1:19" hidden="1">
      <c r="A1697" s="89" t="s">
        <v>3405</v>
      </c>
      <c r="B1697" s="85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03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29</v>
      </c>
      <c r="R1697" s="90" t="s">
        <v>489</v>
      </c>
      <c r="S1697" s="85"/>
    </row>
    <row r="1698" spans="1:19" hidden="1">
      <c r="A1698" s="89" t="s">
        <v>3405</v>
      </c>
      <c r="B1698" s="85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03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29</v>
      </c>
      <c r="R1698" s="90" t="s">
        <v>489</v>
      </c>
      <c r="S1698" s="85"/>
    </row>
    <row r="1699" spans="1:19" hidden="1">
      <c r="A1699" s="89" t="s">
        <v>3405</v>
      </c>
      <c r="B1699" s="85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03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29</v>
      </c>
      <c r="R1699" s="90" t="s">
        <v>489</v>
      </c>
      <c r="S1699" s="85"/>
    </row>
    <row r="1700" spans="1:19" hidden="1">
      <c r="A1700" s="89" t="s">
        <v>3405</v>
      </c>
      <c r="B1700" s="85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03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29</v>
      </c>
      <c r="R1700" s="90" t="s">
        <v>489</v>
      </c>
      <c r="S1700" s="85"/>
    </row>
    <row r="1701" spans="1:19" hidden="1">
      <c r="A1701" s="89" t="s">
        <v>3405</v>
      </c>
      <c r="B1701" s="85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03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29</v>
      </c>
      <c r="R1701" s="90" t="s">
        <v>489</v>
      </c>
      <c r="S1701" s="85"/>
    </row>
    <row r="1702" spans="1:19" hidden="1">
      <c r="A1702" s="89" t="s">
        <v>3405</v>
      </c>
      <c r="B1702" s="85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03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29</v>
      </c>
      <c r="R1702" s="90" t="s">
        <v>489</v>
      </c>
      <c r="S1702" s="85"/>
    </row>
    <row r="1703" spans="1:19" hidden="1">
      <c r="A1703" s="89" t="s">
        <v>3405</v>
      </c>
      <c r="B1703" s="85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03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29</v>
      </c>
      <c r="R1703" s="90" t="s">
        <v>489</v>
      </c>
      <c r="S1703" s="85"/>
    </row>
    <row r="1704" spans="1:19" hidden="1">
      <c r="A1704" s="89" t="s">
        <v>3405</v>
      </c>
      <c r="B1704" s="85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03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29</v>
      </c>
      <c r="R1704" s="90" t="s">
        <v>489</v>
      </c>
      <c r="S1704" s="85"/>
    </row>
    <row r="1705" spans="1:19" hidden="1">
      <c r="A1705" s="89" t="s">
        <v>3405</v>
      </c>
      <c r="B1705" s="85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03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29</v>
      </c>
      <c r="R1705" s="90" t="s">
        <v>489</v>
      </c>
      <c r="S1705" s="85"/>
    </row>
    <row r="1706" spans="1:19" hidden="1">
      <c r="A1706" s="89" t="s">
        <v>3405</v>
      </c>
      <c r="B1706" s="85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03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29</v>
      </c>
      <c r="R1706" s="90" t="s">
        <v>489</v>
      </c>
      <c r="S1706" s="85"/>
    </row>
    <row r="1707" spans="1:19" hidden="1">
      <c r="A1707" s="89" t="s">
        <v>3405</v>
      </c>
      <c r="B1707" s="85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03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29</v>
      </c>
      <c r="R1707" s="90" t="s">
        <v>489</v>
      </c>
      <c r="S1707" s="85"/>
    </row>
    <row r="1708" spans="1:19" hidden="1">
      <c r="A1708" s="89" t="s">
        <v>3405</v>
      </c>
      <c r="B1708" s="85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03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29</v>
      </c>
      <c r="R1708" s="90" t="s">
        <v>489</v>
      </c>
      <c r="S1708" s="85"/>
    </row>
    <row r="1709" spans="1:19" hidden="1">
      <c r="A1709" s="89" t="s">
        <v>3405</v>
      </c>
      <c r="B1709" s="85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03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29</v>
      </c>
      <c r="R1709" s="90" t="s">
        <v>489</v>
      </c>
      <c r="S1709" s="85"/>
    </row>
    <row r="1710" spans="1:19" hidden="1">
      <c r="A1710" s="89" t="s">
        <v>3405</v>
      </c>
      <c r="B1710" s="85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03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29</v>
      </c>
      <c r="R1710" s="90" t="s">
        <v>489</v>
      </c>
      <c r="S1710" s="85"/>
    </row>
    <row r="1711" spans="1:19" hidden="1">
      <c r="A1711" s="89" t="s">
        <v>3405</v>
      </c>
      <c r="B1711" s="85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03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29</v>
      </c>
      <c r="R1711" s="90" t="s">
        <v>489</v>
      </c>
      <c r="S1711" s="85"/>
    </row>
    <row r="1712" spans="1:19" hidden="1">
      <c r="A1712" s="89" t="s">
        <v>3405</v>
      </c>
      <c r="B1712" s="85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03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29</v>
      </c>
      <c r="R1712" s="90" t="s">
        <v>489</v>
      </c>
      <c r="S1712" s="85"/>
    </row>
    <row r="1713" spans="1:19" hidden="1">
      <c r="A1713" s="89" t="s">
        <v>3405</v>
      </c>
      <c r="B1713" s="85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03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29</v>
      </c>
      <c r="R1713" s="90" t="s">
        <v>489</v>
      </c>
      <c r="S1713" s="85"/>
    </row>
    <row r="1714" spans="1:19" hidden="1">
      <c r="A1714" s="89" t="s">
        <v>3405</v>
      </c>
      <c r="B1714" s="85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03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29</v>
      </c>
      <c r="R1714" s="90" t="s">
        <v>489</v>
      </c>
      <c r="S1714" s="85"/>
    </row>
    <row r="1715" spans="1:19" hidden="1">
      <c r="A1715" s="89" t="s">
        <v>3405</v>
      </c>
      <c r="B1715" s="85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03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29</v>
      </c>
      <c r="R1715" s="90" t="s">
        <v>489</v>
      </c>
      <c r="S1715" s="85"/>
    </row>
    <row r="1716" spans="1:19" hidden="1">
      <c r="A1716" s="89" t="s">
        <v>3405</v>
      </c>
      <c r="B1716" s="85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03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29</v>
      </c>
      <c r="R1716" s="90" t="s">
        <v>489</v>
      </c>
      <c r="S1716" s="85"/>
    </row>
    <row r="1717" spans="1:19" hidden="1">
      <c r="A1717" s="89" t="s">
        <v>3405</v>
      </c>
      <c r="B1717" s="85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03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29</v>
      </c>
      <c r="R1717" s="90" t="s">
        <v>489</v>
      </c>
      <c r="S1717" s="85"/>
    </row>
    <row r="1718" spans="1:19" hidden="1">
      <c r="A1718" s="89" t="s">
        <v>3405</v>
      </c>
      <c r="B1718" s="85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03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29</v>
      </c>
      <c r="R1718" s="90" t="s">
        <v>489</v>
      </c>
      <c r="S1718" s="85"/>
    </row>
    <row r="1719" spans="1:19" hidden="1">
      <c r="A1719" s="89" t="s">
        <v>3405</v>
      </c>
      <c r="B1719" s="85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03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29</v>
      </c>
      <c r="R1719" s="90" t="s">
        <v>489</v>
      </c>
      <c r="S1719" s="85"/>
    </row>
    <row r="1720" spans="1:19" hidden="1">
      <c r="A1720" s="89" t="s">
        <v>3405</v>
      </c>
      <c r="B1720" s="85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03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29</v>
      </c>
      <c r="R1720" s="90" t="s">
        <v>489</v>
      </c>
      <c r="S1720" s="85"/>
    </row>
    <row r="1721" spans="1:19" hidden="1">
      <c r="A1721" s="89" t="s">
        <v>3405</v>
      </c>
      <c r="B1721" s="85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03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29</v>
      </c>
      <c r="R1721" s="90" t="s">
        <v>489</v>
      </c>
      <c r="S1721" s="85"/>
    </row>
    <row r="1722" spans="1:19" hidden="1">
      <c r="A1722" s="89" t="s">
        <v>3405</v>
      </c>
      <c r="B1722" s="85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03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29</v>
      </c>
      <c r="R1722" s="90" t="s">
        <v>489</v>
      </c>
      <c r="S1722" s="85"/>
    </row>
    <row r="1723" spans="1:19" hidden="1">
      <c r="A1723" s="89" t="s">
        <v>3405</v>
      </c>
      <c r="B1723" s="85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03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29</v>
      </c>
      <c r="R1723" s="90" t="s">
        <v>489</v>
      </c>
      <c r="S1723" s="85"/>
    </row>
    <row r="1724" spans="1:19" hidden="1">
      <c r="A1724" s="89" t="s">
        <v>3405</v>
      </c>
      <c r="B1724" s="85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03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29</v>
      </c>
      <c r="R1724" s="90" t="s">
        <v>489</v>
      </c>
      <c r="S1724" s="85"/>
    </row>
    <row r="1725" spans="1:19" hidden="1">
      <c r="A1725" s="89" t="s">
        <v>3405</v>
      </c>
      <c r="B1725" s="85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03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29</v>
      </c>
      <c r="R1725" s="90" t="s">
        <v>489</v>
      </c>
      <c r="S1725" s="85"/>
    </row>
    <row r="1726" spans="1:19" hidden="1">
      <c r="A1726" s="89" t="s">
        <v>3405</v>
      </c>
      <c r="B1726" s="85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03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29</v>
      </c>
      <c r="R1726" s="90" t="s">
        <v>489</v>
      </c>
      <c r="S1726" s="85"/>
    </row>
    <row r="1727" spans="1:19" hidden="1">
      <c r="A1727" s="89" t="s">
        <v>3405</v>
      </c>
      <c r="B1727" s="85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03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29</v>
      </c>
      <c r="R1727" s="90" t="s">
        <v>489</v>
      </c>
      <c r="S1727" s="85"/>
    </row>
    <row r="1728" spans="1:19" hidden="1">
      <c r="A1728" s="89" t="s">
        <v>3405</v>
      </c>
      <c r="B1728" s="85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03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29</v>
      </c>
      <c r="R1728" s="90" t="s">
        <v>489</v>
      </c>
      <c r="S1728" s="85"/>
    </row>
    <row r="1729" spans="1:19" hidden="1">
      <c r="A1729" s="89" t="s">
        <v>3405</v>
      </c>
      <c r="B1729" s="85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03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29</v>
      </c>
      <c r="R1729" s="90" t="s">
        <v>489</v>
      </c>
      <c r="S1729" s="85"/>
    </row>
    <row r="1730" spans="1:19" hidden="1">
      <c r="A1730" s="89" t="s">
        <v>3405</v>
      </c>
      <c r="B1730" s="85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03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29</v>
      </c>
      <c r="R1730" s="90" t="s">
        <v>489</v>
      </c>
      <c r="S1730" s="85"/>
    </row>
    <row r="1731" spans="1:19" hidden="1">
      <c r="A1731" s="89" t="s">
        <v>3405</v>
      </c>
      <c r="B1731" s="85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03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29</v>
      </c>
      <c r="R1731" s="90" t="s">
        <v>489</v>
      </c>
      <c r="S1731" s="85"/>
    </row>
    <row r="1732" spans="1:19" hidden="1">
      <c r="A1732" s="89" t="s">
        <v>3405</v>
      </c>
      <c r="B1732" s="85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03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29</v>
      </c>
      <c r="R1732" s="90" t="s">
        <v>489</v>
      </c>
      <c r="S1732" s="85"/>
    </row>
    <row r="1733" spans="1:19" hidden="1">
      <c r="A1733" s="89" t="s">
        <v>3405</v>
      </c>
      <c r="B1733" s="85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03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29</v>
      </c>
      <c r="R1733" s="90" t="s">
        <v>489</v>
      </c>
      <c r="S1733" s="85"/>
    </row>
    <row r="1734" spans="1:19" hidden="1">
      <c r="A1734" s="89" t="s">
        <v>3405</v>
      </c>
      <c r="B1734" s="85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03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29</v>
      </c>
      <c r="R1734" s="90" t="s">
        <v>489</v>
      </c>
      <c r="S1734" s="85"/>
    </row>
    <row r="1735" spans="1:19" hidden="1">
      <c r="A1735" s="89" t="s">
        <v>3405</v>
      </c>
      <c r="B1735" s="85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03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29</v>
      </c>
      <c r="R1735" s="90" t="s">
        <v>489</v>
      </c>
      <c r="S1735" s="85"/>
    </row>
    <row r="1736" spans="1:19" hidden="1">
      <c r="A1736" s="89" t="s">
        <v>3405</v>
      </c>
      <c r="B1736" s="85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03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29</v>
      </c>
      <c r="R1736" s="90" t="s">
        <v>489</v>
      </c>
      <c r="S1736" s="85"/>
    </row>
    <row r="1737" spans="1:19" hidden="1">
      <c r="A1737" s="89" t="s">
        <v>3405</v>
      </c>
      <c r="B1737" s="85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03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29</v>
      </c>
      <c r="R1737" s="90" t="s">
        <v>489</v>
      </c>
      <c r="S1737" s="85"/>
    </row>
    <row r="1738" spans="1:19" hidden="1">
      <c r="A1738" s="89" t="s">
        <v>3405</v>
      </c>
      <c r="B1738" s="85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03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29</v>
      </c>
      <c r="R1738" s="90" t="s">
        <v>489</v>
      </c>
      <c r="S1738" s="85"/>
    </row>
    <row r="1739" spans="1:19" hidden="1">
      <c r="A1739" s="89" t="s">
        <v>3405</v>
      </c>
      <c r="B1739" s="85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03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29</v>
      </c>
      <c r="R1739" s="90" t="s">
        <v>489</v>
      </c>
      <c r="S1739" s="85"/>
    </row>
    <row r="1740" spans="1:19" hidden="1">
      <c r="A1740" s="89" t="s">
        <v>3405</v>
      </c>
      <c r="B1740" s="85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03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29</v>
      </c>
      <c r="R1740" s="90" t="s">
        <v>489</v>
      </c>
      <c r="S1740" s="85"/>
    </row>
    <row r="1741" spans="1:19" hidden="1">
      <c r="A1741" s="89" t="s">
        <v>3405</v>
      </c>
      <c r="B1741" s="85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03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29</v>
      </c>
      <c r="R1741" s="90" t="s">
        <v>489</v>
      </c>
      <c r="S1741" s="85"/>
    </row>
    <row r="1742" spans="1:19" hidden="1">
      <c r="A1742" s="89" t="s">
        <v>3405</v>
      </c>
      <c r="B1742" s="85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03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29</v>
      </c>
      <c r="R1742" s="90" t="s">
        <v>489</v>
      </c>
      <c r="S1742" s="85"/>
    </row>
    <row r="1743" spans="1:19" hidden="1">
      <c r="A1743" s="89" t="s">
        <v>3405</v>
      </c>
      <c r="B1743" s="85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03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29</v>
      </c>
      <c r="R1743" s="90" t="s">
        <v>489</v>
      </c>
      <c r="S1743" s="85"/>
    </row>
    <row r="1744" spans="1:19" hidden="1">
      <c r="A1744" s="89" t="s">
        <v>3405</v>
      </c>
      <c r="B1744" s="85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03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29</v>
      </c>
      <c r="R1744" s="90" t="s">
        <v>489</v>
      </c>
      <c r="S1744" s="85"/>
    </row>
    <row r="1745" spans="1:19" hidden="1">
      <c r="A1745" s="89" t="s">
        <v>3405</v>
      </c>
      <c r="B1745" s="85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03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29</v>
      </c>
      <c r="R1745" s="90" t="s">
        <v>489</v>
      </c>
      <c r="S1745" s="85"/>
    </row>
    <row r="1746" spans="1:19" hidden="1">
      <c r="A1746" s="89" t="s">
        <v>3405</v>
      </c>
      <c r="B1746" s="85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03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29</v>
      </c>
      <c r="R1746" s="90" t="s">
        <v>489</v>
      </c>
      <c r="S1746" s="85"/>
    </row>
    <row r="1747" spans="1:19" hidden="1">
      <c r="A1747" s="89" t="s">
        <v>3405</v>
      </c>
      <c r="B1747" s="85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03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29</v>
      </c>
      <c r="R1747" s="90" t="s">
        <v>489</v>
      </c>
      <c r="S1747" s="85"/>
    </row>
    <row r="1748" spans="1:19" hidden="1">
      <c r="A1748" s="89" t="s">
        <v>3405</v>
      </c>
      <c r="B1748" s="85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03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29</v>
      </c>
      <c r="R1748" s="90" t="s">
        <v>489</v>
      </c>
      <c r="S1748" s="85"/>
    </row>
    <row r="1749" spans="1:19" hidden="1">
      <c r="A1749" s="89" t="s">
        <v>3405</v>
      </c>
      <c r="B1749" s="85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03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29</v>
      </c>
      <c r="R1749" s="90" t="s">
        <v>489</v>
      </c>
      <c r="S1749" s="85"/>
    </row>
    <row r="1750" spans="1:19" hidden="1">
      <c r="A1750" s="89" t="s">
        <v>3405</v>
      </c>
      <c r="B1750" s="85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03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29</v>
      </c>
      <c r="R1750" s="90" t="s">
        <v>489</v>
      </c>
      <c r="S1750" s="85"/>
    </row>
    <row r="1751" spans="1:19" hidden="1">
      <c r="A1751" s="89" t="s">
        <v>3405</v>
      </c>
      <c r="B1751" s="85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03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29</v>
      </c>
      <c r="R1751" s="90" t="s">
        <v>489</v>
      </c>
      <c r="S1751" s="85"/>
    </row>
    <row r="1752" spans="1:19" hidden="1">
      <c r="A1752" s="89" t="s">
        <v>3405</v>
      </c>
      <c r="B1752" s="85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03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29</v>
      </c>
      <c r="R1752" s="90" t="s">
        <v>489</v>
      </c>
      <c r="S1752" s="85"/>
    </row>
    <row r="1753" spans="1:19" hidden="1">
      <c r="A1753" s="89" t="s">
        <v>3405</v>
      </c>
      <c r="B1753" s="85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03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29</v>
      </c>
      <c r="R1753" s="90" t="s">
        <v>489</v>
      </c>
      <c r="S1753" s="85"/>
    </row>
    <row r="1754" spans="1:19" hidden="1">
      <c r="A1754" s="89" t="s">
        <v>3405</v>
      </c>
      <c r="B1754" s="85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03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29</v>
      </c>
      <c r="R1754" s="90" t="s">
        <v>489</v>
      </c>
      <c r="S1754" s="85"/>
    </row>
    <row r="1755" spans="1:19" hidden="1">
      <c r="A1755" s="89" t="s">
        <v>3405</v>
      </c>
      <c r="B1755" s="85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03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29</v>
      </c>
      <c r="R1755" s="90" t="s">
        <v>489</v>
      </c>
      <c r="S1755" s="85"/>
    </row>
    <row r="1756" spans="1:19" hidden="1">
      <c r="A1756" t="s">
        <v>3548</v>
      </c>
      <c r="B1756" s="85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03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85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03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85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03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85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03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29</v>
      </c>
      <c r="R1759" s="90" t="s">
        <v>489</v>
      </c>
      <c r="S1759" s="85"/>
    </row>
    <row r="1760" spans="1:19" hidden="1">
      <c r="A1760" s="89" t="s">
        <v>3548</v>
      </c>
      <c r="B1760" s="85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03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29</v>
      </c>
      <c r="R1760" s="90" t="s">
        <v>489</v>
      </c>
      <c r="S1760" s="85"/>
    </row>
    <row r="1761" spans="1:19" hidden="1">
      <c r="A1761" s="89" t="s">
        <v>3548</v>
      </c>
      <c r="B1761" s="85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03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29</v>
      </c>
      <c r="R1761" s="90" t="s">
        <v>489</v>
      </c>
      <c r="S1761" s="85"/>
    </row>
    <row r="1762" spans="1:19" hidden="1">
      <c r="A1762" s="89" t="s">
        <v>3548</v>
      </c>
      <c r="B1762" s="85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03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29</v>
      </c>
      <c r="R1762" s="90" t="s">
        <v>489</v>
      </c>
      <c r="S1762" s="85"/>
    </row>
    <row r="1763" spans="1:19" hidden="1">
      <c r="A1763" t="s">
        <v>3560</v>
      </c>
      <c r="B1763" s="85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03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85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03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85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03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85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03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85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03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85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03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85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03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85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03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85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03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85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03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85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03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85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03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85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03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85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03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85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03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85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03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85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03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85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03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85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03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85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03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85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03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85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03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85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03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85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03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85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03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85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03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85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03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85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03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85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03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85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03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85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03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/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85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03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85"/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85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03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85"/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85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03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85"/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85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03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85"/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85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03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85"/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85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03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85"/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85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03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85"/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85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03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85"/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85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03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85"/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85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03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85"/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85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03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85"/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85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03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85"/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85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03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85"/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85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03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85"/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85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03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85"/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85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03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85"/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85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03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85"/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85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03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85"/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85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03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85"/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94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03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94"/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94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03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94"/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94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03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94"/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94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03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94"/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94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03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94"/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94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03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94"/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94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03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94"/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94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03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94"/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94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03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94"/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94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03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94"/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94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03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94"/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94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03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94"/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94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03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94"/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94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03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94"/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94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03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94"/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94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03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94"/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94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03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94"/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94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03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94"/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94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03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94"/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94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03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94"/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94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03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94"/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94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03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94"/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94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03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94"/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94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03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94"/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94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03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94"/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94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03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94"/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94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03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94"/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94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03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94"/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94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03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94"/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94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03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94"/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94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03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94"/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94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03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94"/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94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03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94"/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94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03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94"/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94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03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94"/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94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03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94"/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94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03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94"/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94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03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94"/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94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03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94"/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94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03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94"/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94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03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94"/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94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03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94"/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94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03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94"/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94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03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94"/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94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03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94"/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94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03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94"/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94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03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94"/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94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03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94"/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94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03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94"/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94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03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94"/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94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03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94"/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94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03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94"/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94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03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94"/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94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03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94"/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94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03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94"/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94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03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94"/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94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03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94"/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94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03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94"/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94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03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94"/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94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03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94"/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94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03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94"/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94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94"/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/>
    </row>
    <row r="1875" spans="1:19" hidden="1">
      <c r="A1875" s="93" t="s">
        <v>3641</v>
      </c>
      <c r="B1875" s="94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03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94"/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94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03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94"/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94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03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94"/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94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03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94"/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94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03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94"/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94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03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94"/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94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03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94"/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94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03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94"/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94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03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94"/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94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03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94"/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94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03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94"/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94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03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94"/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94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03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94"/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94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03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94"/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94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03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94"/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94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03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94"/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94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03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94"/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94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03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94"/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94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03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94"/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94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03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94"/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94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03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94"/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94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03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94"/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94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03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94"/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94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03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94"/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94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03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94"/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94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03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94"/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94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03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94"/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94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03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94"/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94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03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94"/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94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03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94"/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94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03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94"/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94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03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94"/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94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03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94"/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94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03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94"/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94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03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94"/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94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03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94"/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94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03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94"/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94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94"/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/>
    </row>
    <row r="1913" spans="1:19" hidden="1">
      <c r="A1913" s="93" t="s">
        <v>3748</v>
      </c>
      <c r="B1913" s="94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03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94"/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94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03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94"/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94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03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94"/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94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03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94"/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94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03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94"/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94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03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94"/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94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03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94"/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94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03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94"/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94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03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94"/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94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03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94"/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94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03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94"/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94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03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94"/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94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03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94"/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94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03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94"/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94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03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94"/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94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03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94"/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94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03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94"/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94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03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94"/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94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03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94"/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94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03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94"/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94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03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94"/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94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03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94"/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94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03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94"/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94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03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94"/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94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03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94"/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94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03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94"/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94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03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94"/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94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03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94"/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94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03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94"/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94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03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94"/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94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03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94"/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94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03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94"/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94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03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94"/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94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03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94"/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94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03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94"/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94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03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94"/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94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03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94"/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94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03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94"/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94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03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94"/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94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03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94"/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94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03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94"/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94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03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94"/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94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03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94"/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94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03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94"/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94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03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94"/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94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03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94"/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94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03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94"/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94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03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94"/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94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03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94"/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94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03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94"/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94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03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94"/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94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03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94"/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94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03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94"/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94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03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94"/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94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03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94"/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94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03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94"/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94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03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94"/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94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03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94"/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94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03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94"/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94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03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94"/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94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03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94"/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94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03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94"/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94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03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94"/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94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03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94"/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94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03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94"/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94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03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94"/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94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03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94"/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94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03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94"/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94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03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94"/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94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03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94"/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94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03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94"/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94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03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94"/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94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03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94"/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94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03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94"/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94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03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94"/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94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03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94"/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94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03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94"/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94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03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94"/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94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03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94"/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94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03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94"/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94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03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94"/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94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03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94"/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94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03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94"/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94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03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94"/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94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03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94"/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94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03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94"/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94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03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94"/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94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03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94"/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94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03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94"/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94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03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94"/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94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03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94"/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94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03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94"/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94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03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94"/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94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03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94"/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94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03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94"/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94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03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94"/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94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03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94"/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94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03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94"/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94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03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94"/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94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03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94"/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94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03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94"/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94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03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94"/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94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03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94"/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94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03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94"/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94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03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94"/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94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03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94"/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94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03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94"/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94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03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94"/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94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03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94"/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94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03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94"/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94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03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94"/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94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03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94"/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94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03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94"/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94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03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94"/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94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03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94"/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94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03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94"/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94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03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94"/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94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03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94"/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94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03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94"/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94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03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94"/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94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03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94"/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94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03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94"/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94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03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94"/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94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03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94"/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94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03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94"/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94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03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94"/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94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03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94"/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94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03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94"/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94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03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94"/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94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03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94"/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94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03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94"/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94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03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94"/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94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03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94"/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94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03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94"/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94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03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94"/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94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03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94"/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94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03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94"/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94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03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94"/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94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03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94"/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94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03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94"/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94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03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94"/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94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03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94"/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94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03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94"/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94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03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94"/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94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03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94"/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94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03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94"/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94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03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94"/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94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03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94"/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94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03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94"/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94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03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94"/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94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03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94"/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94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03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94"/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94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03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94"/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94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03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94"/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94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03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94"/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94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03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94"/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94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03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94"/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94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03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94"/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94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03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94"/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94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03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94"/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94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03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94"/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94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03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94"/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94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03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94"/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94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03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94"/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94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03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94"/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94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03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94"/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94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03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94"/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94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03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94"/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94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03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94"/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94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03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94"/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94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03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94"/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94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03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94"/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94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03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94"/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94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03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94"/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94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03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94"/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94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03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94"/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94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03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94"/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94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03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94"/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94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03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94"/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94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03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94"/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94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03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94"/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94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03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94"/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94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03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94"/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94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03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94"/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94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03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94"/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94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03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94"/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94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03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94"/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94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03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94"/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94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03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94"/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94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03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94"/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94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03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94"/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94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03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94"/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94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03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94"/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94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03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94"/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94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03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94"/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94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03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94"/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94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03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94"/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94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03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94"/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94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03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94"/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94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03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94"/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94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03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94"/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94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03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94"/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94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03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94"/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94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03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94"/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94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03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94"/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94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03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94"/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94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03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94"/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94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03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94"/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94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03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94"/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94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03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94"/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94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03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94"/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94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03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94"/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94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03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94"/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94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03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94"/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94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03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94"/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94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03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94"/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94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03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94"/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94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03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94"/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94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03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94"/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94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03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94"/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94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03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94"/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94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03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94"/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94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03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94"/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94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03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94"/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94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03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94"/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94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03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94"/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94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03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94"/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94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03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94"/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94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03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94"/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94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03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94"/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94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03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94"/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94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03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94"/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94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03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94"/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94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03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94"/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94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03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94"/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94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03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94"/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94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03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94"/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94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03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94"/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94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03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94"/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94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03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94"/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94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03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94"/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94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03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94"/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94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03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94"/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94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03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94"/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94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03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94"/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94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03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94"/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94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03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94"/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94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03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94"/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94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03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94"/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94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03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94"/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94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03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94"/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94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03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94"/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94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03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94"/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94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03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94"/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94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03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94"/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94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03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94"/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94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03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94"/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94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03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94"/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94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03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94"/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94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03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94"/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94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03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94"/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94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03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94"/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94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03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94"/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94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03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94"/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94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03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94"/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94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03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94"/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94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03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94"/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94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03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94"/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94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03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94"/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94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03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94"/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94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03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94"/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94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03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94"/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94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03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94"/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94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03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94"/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94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03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94"/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94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03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94"/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94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03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94"/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94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03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94"/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94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03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94"/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94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03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94"/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94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03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94"/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94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03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94"/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94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03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94"/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94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03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94"/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94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03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94"/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94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03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94"/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94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03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94"/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94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03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94"/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94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03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94"/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94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03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94"/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94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03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94"/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94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03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94"/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94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03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94"/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94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03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94"/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94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03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94"/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94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03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94"/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94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03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94"/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94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03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94"/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94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03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94"/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94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03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94"/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94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03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94"/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94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03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94"/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94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03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94"/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94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03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94"/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94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03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94"/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94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03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94"/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94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03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94"/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94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03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94"/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94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03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94"/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94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03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94"/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94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03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94"/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94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03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94"/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94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03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94"/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94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03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94"/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94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03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94"/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94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03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94"/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94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03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94"/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94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03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94"/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94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03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94"/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94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03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94"/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94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03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94"/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94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03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94"/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94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03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94"/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94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03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94"/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94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03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94"/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94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03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94"/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94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03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94"/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94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03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94"/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94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03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94"/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94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03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94"/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94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03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94"/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94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03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94"/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94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03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94"/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23</v>
      </c>
      <c r="R2245" s="95" t="s">
        <v>764</v>
      </c>
      <c r="S2245" s="94"/>
    </row>
    <row r="2246" spans="1:19" hidden="1">
      <c r="A2246" t="s">
        <v>4098</v>
      </c>
      <c r="B2246" s="94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03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94"/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23</v>
      </c>
      <c r="R2246" s="95" t="s">
        <v>515</v>
      </c>
      <c r="S2246" s="94"/>
    </row>
    <row r="2247" spans="1:19" hidden="1">
      <c r="A2247" t="s">
        <v>4099</v>
      </c>
      <c r="B2247" s="94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03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94"/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94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03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94"/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94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94"/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/>
    </row>
    <row r="2250" spans="1:19" hidden="1">
      <c r="A2250" t="s">
        <v>4116</v>
      </c>
      <c r="B2250" s="94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03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94"/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94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03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94"/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94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03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94"/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94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03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94"/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94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03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94"/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94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03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94"/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94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03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94"/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94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03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94"/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94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03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94"/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94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03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18</v>
      </c>
      <c r="R2259" s="98" t="s">
        <v>515</v>
      </c>
      <c r="S2259" s="94"/>
    </row>
    <row r="2260" spans="1:19" hidden="1">
      <c r="A2260" s="101" t="s">
        <v>4120</v>
      </c>
      <c r="B2260" s="94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03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18</v>
      </c>
      <c r="R2260" s="98" t="s">
        <v>515</v>
      </c>
      <c r="S2260" s="94"/>
    </row>
    <row r="2261" spans="1:19" hidden="1">
      <c r="A2261" t="s">
        <v>4124</v>
      </c>
      <c r="B2261" s="94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03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94"/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94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03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94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03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94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03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94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03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94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03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94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03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94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03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94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03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94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03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94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03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94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03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94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03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94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03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94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03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94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03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94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03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94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03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94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03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94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03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94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03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94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03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94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03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94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03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94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03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94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03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94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03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94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03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94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03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94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03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94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03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94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03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94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03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94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03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94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03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94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03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94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03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94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03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94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03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94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03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94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03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94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94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13</v>
      </c>
      <c r="R2302" s="104" t="s">
        <v>410</v>
      </c>
      <c r="S2302" s="94"/>
    </row>
    <row r="2303" spans="1:19" hidden="1">
      <c r="A2303" s="103" t="s">
        <v>4140</v>
      </c>
      <c r="B2303" s="94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94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13</v>
      </c>
      <c r="R2303" s="104" t="s">
        <v>410</v>
      </c>
      <c r="S2303" s="94"/>
    </row>
    <row r="2304" spans="1:19" hidden="1">
      <c r="A2304" t="s">
        <v>4181</v>
      </c>
      <c r="B2304" s="94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94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13</v>
      </c>
      <c r="R2304" s="106" t="s">
        <v>955</v>
      </c>
      <c r="S2304" s="94"/>
    </row>
    <row r="2305" spans="1:19" hidden="1">
      <c r="A2305" t="s">
        <v>4188</v>
      </c>
      <c r="B2305" s="94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94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13</v>
      </c>
      <c r="R2305" s="106" t="s">
        <v>972</v>
      </c>
      <c r="S2305" s="94"/>
    </row>
    <row r="2306" spans="1:19" hidden="1">
      <c r="A2306" s="103" t="s">
        <v>4188</v>
      </c>
      <c r="B2306" s="94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94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13</v>
      </c>
      <c r="R2306" s="106" t="s">
        <v>972</v>
      </c>
      <c r="S2306" s="94"/>
    </row>
    <row r="2307" spans="1:19" hidden="1">
      <c r="A2307" s="103" t="s">
        <v>4188</v>
      </c>
      <c r="B2307" s="94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94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13</v>
      </c>
      <c r="R2307" s="106" t="s">
        <v>972</v>
      </c>
      <c r="S2307" s="94"/>
    </row>
    <row r="2308" spans="1:19" hidden="1">
      <c r="A2308" s="103" t="s">
        <v>4188</v>
      </c>
      <c r="B2308" s="94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94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13</v>
      </c>
      <c r="R2308" s="106" t="s">
        <v>972</v>
      </c>
      <c r="S2308" s="94"/>
    </row>
    <row r="2309" spans="1:19" hidden="1">
      <c r="A2309" s="103" t="s">
        <v>4188</v>
      </c>
      <c r="B2309" s="94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94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13</v>
      </c>
      <c r="R2309" s="106" t="s">
        <v>972</v>
      </c>
      <c r="S2309" s="94"/>
    </row>
    <row r="2310" spans="1:19" hidden="1">
      <c r="A2310" t="s">
        <v>4189</v>
      </c>
      <c r="B2310" s="94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94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13</v>
      </c>
      <c r="R2310" s="106" t="s">
        <v>780</v>
      </c>
      <c r="S2310" s="94"/>
    </row>
    <row r="2311" spans="1:19" hidden="1">
      <c r="A2311" s="103" t="s">
        <v>4189</v>
      </c>
      <c r="B2311" s="94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94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13</v>
      </c>
      <c r="R2311" s="106" t="s">
        <v>780</v>
      </c>
      <c r="S2311" s="94"/>
    </row>
    <row r="2312" spans="1:19" hidden="1">
      <c r="A2312" s="103" t="s">
        <v>4189</v>
      </c>
      <c r="B2312" s="94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94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13</v>
      </c>
      <c r="R2312" s="106" t="s">
        <v>780</v>
      </c>
      <c r="S2312" s="94"/>
    </row>
    <row r="2313" spans="1:19" hidden="1">
      <c r="A2313" s="103" t="s">
        <v>4189</v>
      </c>
      <c r="B2313" s="94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94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13</v>
      </c>
      <c r="R2313" s="106" t="s">
        <v>780</v>
      </c>
      <c r="S2313" s="94"/>
    </row>
    <row r="2314" spans="1:19" hidden="1">
      <c r="A2314" s="103" t="s">
        <v>4189</v>
      </c>
      <c r="B2314" s="94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94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13</v>
      </c>
      <c r="R2314" s="106" t="s">
        <v>780</v>
      </c>
      <c r="S2314" s="94"/>
    </row>
    <row r="2315" spans="1:19" hidden="1">
      <c r="A2315" s="103" t="s">
        <v>4189</v>
      </c>
      <c r="B2315" s="94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94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13</v>
      </c>
      <c r="R2315" s="106" t="s">
        <v>780</v>
      </c>
      <c r="S2315" s="94"/>
    </row>
    <row r="2316" spans="1:19" hidden="1">
      <c r="A2316" s="103" t="s">
        <v>4189</v>
      </c>
      <c r="B2316" s="94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94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13</v>
      </c>
      <c r="R2316" s="106" t="s">
        <v>780</v>
      </c>
      <c r="S2316" s="94"/>
    </row>
    <row r="2317" spans="1:19" hidden="1">
      <c r="A2317" s="103" t="s">
        <v>4189</v>
      </c>
      <c r="B2317" s="94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94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13</v>
      </c>
      <c r="R2317" s="106" t="s">
        <v>780</v>
      </c>
      <c r="S2317" s="94"/>
    </row>
    <row r="2318" spans="1:19" hidden="1">
      <c r="A2318" s="103" t="s">
        <v>4189</v>
      </c>
      <c r="B2318" s="94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94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13</v>
      </c>
      <c r="R2318" s="106" t="s">
        <v>780</v>
      </c>
      <c r="S2318" s="94"/>
    </row>
    <row r="2319" spans="1:19" hidden="1">
      <c r="A2319" s="103" t="s">
        <v>4189</v>
      </c>
      <c r="B2319" s="94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94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13</v>
      </c>
      <c r="R2319" s="106" t="s">
        <v>780</v>
      </c>
      <c r="S2319" s="94"/>
    </row>
    <row r="2320" spans="1:19" hidden="1">
      <c r="A2320" s="103" t="s">
        <v>4189</v>
      </c>
      <c r="B2320" s="94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94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13</v>
      </c>
      <c r="R2320" s="106" t="s">
        <v>780</v>
      </c>
      <c r="S2320" s="94"/>
    </row>
    <row r="2321" spans="1:19" hidden="1">
      <c r="A2321" s="103" t="s">
        <v>4189</v>
      </c>
      <c r="B2321" s="94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94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13</v>
      </c>
      <c r="R2321" s="106" t="s">
        <v>780</v>
      </c>
      <c r="S2321" s="94"/>
    </row>
    <row r="2322" spans="1:19" hidden="1">
      <c r="A2322" s="103" t="s">
        <v>4189</v>
      </c>
      <c r="B2322" s="94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94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13</v>
      </c>
      <c r="R2322" s="106" t="s">
        <v>780</v>
      </c>
      <c r="S2322" s="94"/>
    </row>
    <row r="2323" spans="1:19" hidden="1">
      <c r="A2323" s="103" t="s">
        <v>4189</v>
      </c>
      <c r="B2323" s="94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94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13</v>
      </c>
      <c r="R2323" s="106" t="s">
        <v>780</v>
      </c>
      <c r="S2323" s="94"/>
    </row>
    <row r="2324" spans="1:19" hidden="1">
      <c r="A2324" s="103" t="s">
        <v>4189</v>
      </c>
      <c r="B2324" s="94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94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13</v>
      </c>
      <c r="R2324" s="106" t="s">
        <v>780</v>
      </c>
      <c r="S2324" s="94"/>
    </row>
    <row r="2325" spans="1:19" hidden="1">
      <c r="A2325" s="103" t="s">
        <v>4189</v>
      </c>
      <c r="B2325" s="94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94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13</v>
      </c>
      <c r="R2325" s="106" t="s">
        <v>780</v>
      </c>
      <c r="S2325" s="94"/>
    </row>
    <row r="2326" spans="1:19" hidden="1">
      <c r="A2326" s="103" t="s">
        <v>4189</v>
      </c>
      <c r="B2326" s="94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94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13</v>
      </c>
      <c r="R2326" s="106" t="s">
        <v>780</v>
      </c>
      <c r="S2326" s="94"/>
    </row>
    <row r="2327" spans="1:19" hidden="1">
      <c r="A2327" s="103" t="s">
        <v>4189</v>
      </c>
      <c r="B2327" s="94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94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13</v>
      </c>
      <c r="R2327" s="106" t="s">
        <v>780</v>
      </c>
      <c r="S2327" s="94"/>
    </row>
    <row r="2328" spans="1:19" hidden="1">
      <c r="A2328" s="103" t="s">
        <v>4189</v>
      </c>
      <c r="B2328" s="94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94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13</v>
      </c>
      <c r="R2328" s="106" t="s">
        <v>780</v>
      </c>
      <c r="S2328" s="94"/>
    </row>
    <row r="2329" spans="1:19" hidden="1">
      <c r="A2329" s="103" t="s">
        <v>4189</v>
      </c>
      <c r="B2329" s="94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94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13</v>
      </c>
      <c r="R2329" s="106" t="s">
        <v>780</v>
      </c>
      <c r="S2329" s="94"/>
    </row>
    <row r="2330" spans="1:19" hidden="1">
      <c r="A2330" s="103" t="s">
        <v>4189</v>
      </c>
      <c r="B2330" s="94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94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13</v>
      </c>
      <c r="R2330" s="106" t="s">
        <v>780</v>
      </c>
      <c r="S2330" s="94"/>
    </row>
    <row r="2331" spans="1:19" hidden="1">
      <c r="A2331" s="103" t="s">
        <v>4189</v>
      </c>
      <c r="B2331" s="94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94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13</v>
      </c>
      <c r="R2331" s="106" t="s">
        <v>780</v>
      </c>
      <c r="S2331" s="94"/>
    </row>
    <row r="2332" spans="1:19" hidden="1">
      <c r="A2332" s="103" t="s">
        <v>4189</v>
      </c>
      <c r="B2332" s="94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94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13</v>
      </c>
      <c r="R2332" s="106" t="s">
        <v>780</v>
      </c>
      <c r="S2332" s="94"/>
    </row>
    <row r="2333" spans="1:19" hidden="1">
      <c r="A2333" s="103" t="s">
        <v>4189</v>
      </c>
      <c r="B2333" s="94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94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13</v>
      </c>
      <c r="R2333" s="106" t="s">
        <v>780</v>
      </c>
      <c r="S2333" s="94"/>
    </row>
    <row r="2334" spans="1:19" hidden="1">
      <c r="A2334" s="103" t="s">
        <v>4189</v>
      </c>
      <c r="B2334" s="94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94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13</v>
      </c>
      <c r="R2334" s="106" t="s">
        <v>780</v>
      </c>
      <c r="S2334" s="94"/>
    </row>
    <row r="2335" spans="1:19" hidden="1">
      <c r="A2335" s="103" t="s">
        <v>4189</v>
      </c>
      <c r="B2335" s="94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94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13</v>
      </c>
      <c r="R2335" s="106" t="s">
        <v>780</v>
      </c>
      <c r="S2335" s="94"/>
    </row>
    <row r="2336" spans="1:19" hidden="1">
      <c r="A2336" s="103" t="s">
        <v>4189</v>
      </c>
      <c r="B2336" s="94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94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13</v>
      </c>
      <c r="R2336" s="106" t="s">
        <v>780</v>
      </c>
      <c r="S2336" s="94"/>
    </row>
    <row r="2337" spans="1:19" hidden="1">
      <c r="A2337" s="103" t="s">
        <v>4189</v>
      </c>
      <c r="B2337" s="94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94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13</v>
      </c>
      <c r="R2337" s="106" t="s">
        <v>780</v>
      </c>
      <c r="S2337" s="94"/>
    </row>
    <row r="2338" spans="1:19" hidden="1">
      <c r="A2338" s="103" t="s">
        <v>4189</v>
      </c>
      <c r="B2338" s="94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94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13</v>
      </c>
      <c r="R2338" s="106" t="s">
        <v>780</v>
      </c>
      <c r="S2338" s="94"/>
    </row>
    <row r="2339" spans="1:19" hidden="1">
      <c r="A2339" s="103" t="s">
        <v>4189</v>
      </c>
      <c r="B2339" s="94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94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13</v>
      </c>
      <c r="R2339" s="106" t="s">
        <v>780</v>
      </c>
      <c r="S2339" s="94"/>
    </row>
    <row r="2340" spans="1:19" hidden="1">
      <c r="A2340" s="103" t="s">
        <v>4189</v>
      </c>
      <c r="B2340" s="94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94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13</v>
      </c>
      <c r="R2340" s="106" t="s">
        <v>780</v>
      </c>
      <c r="S2340" s="94"/>
    </row>
    <row r="2341" spans="1:19" hidden="1">
      <c r="A2341" s="103" t="s">
        <v>4189</v>
      </c>
      <c r="B2341" s="94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94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13</v>
      </c>
      <c r="R2341" s="106" t="s">
        <v>780</v>
      </c>
      <c r="S2341" s="94"/>
    </row>
    <row r="2342" spans="1:19" hidden="1">
      <c r="A2342" s="103" t="s">
        <v>4189</v>
      </c>
      <c r="B2342" s="94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94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13</v>
      </c>
      <c r="R2342" s="106" t="s">
        <v>780</v>
      </c>
      <c r="S2342" s="94"/>
    </row>
    <row r="2343" spans="1:19" hidden="1">
      <c r="A2343" s="103" t="s">
        <v>4189</v>
      </c>
      <c r="B2343" s="94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94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13</v>
      </c>
      <c r="R2343" s="106" t="s">
        <v>780</v>
      </c>
      <c r="S2343" s="94"/>
    </row>
    <row r="2344" spans="1:19" hidden="1">
      <c r="A2344" s="103" t="s">
        <v>4189</v>
      </c>
      <c r="B2344" s="94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94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13</v>
      </c>
      <c r="R2344" s="106" t="s">
        <v>780</v>
      </c>
      <c r="S2344" s="94"/>
    </row>
    <row r="2345" spans="1:19" hidden="1">
      <c r="A2345" s="103" t="s">
        <v>4189</v>
      </c>
      <c r="B2345" s="94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94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13</v>
      </c>
      <c r="R2345" s="106" t="s">
        <v>780</v>
      </c>
      <c r="S2345" s="94"/>
    </row>
    <row r="2346" spans="1:19" hidden="1">
      <c r="A2346" s="103" t="s">
        <v>4189</v>
      </c>
      <c r="B2346" s="94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94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13</v>
      </c>
      <c r="R2346" s="106" t="s">
        <v>780</v>
      </c>
      <c r="S2346" s="94"/>
    </row>
    <row r="2347" spans="1:19" hidden="1">
      <c r="A2347" s="103" t="s">
        <v>4189</v>
      </c>
      <c r="B2347" s="94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94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13</v>
      </c>
      <c r="R2347" s="106" t="s">
        <v>780</v>
      </c>
      <c r="S2347" s="94"/>
    </row>
    <row r="2348" spans="1:19" hidden="1">
      <c r="A2348" s="103" t="s">
        <v>4189</v>
      </c>
      <c r="B2348" s="94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94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13</v>
      </c>
      <c r="R2348" s="106" t="s">
        <v>780</v>
      </c>
      <c r="S2348" s="94"/>
    </row>
    <row r="2349" spans="1:19" hidden="1">
      <c r="A2349" s="103" t="s">
        <v>4189</v>
      </c>
      <c r="B2349" s="94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94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13</v>
      </c>
      <c r="R2349" s="106" t="s">
        <v>780</v>
      </c>
      <c r="S2349" s="94"/>
    </row>
    <row r="2350" spans="1:19" hidden="1">
      <c r="A2350" s="103" t="s">
        <v>4189</v>
      </c>
      <c r="B2350" s="94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94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13</v>
      </c>
      <c r="R2350" s="106" t="s">
        <v>780</v>
      </c>
      <c r="S2350" s="94"/>
    </row>
    <row r="2351" spans="1:19" hidden="1">
      <c r="A2351" s="103" t="s">
        <v>4189</v>
      </c>
      <c r="B2351" s="94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94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13</v>
      </c>
      <c r="R2351" s="106" t="s">
        <v>780</v>
      </c>
      <c r="S2351" s="94"/>
    </row>
    <row r="2352" spans="1:19" hidden="1">
      <c r="A2352" s="103" t="s">
        <v>4189</v>
      </c>
      <c r="B2352" s="94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94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13</v>
      </c>
      <c r="R2352" s="106" t="s">
        <v>780</v>
      </c>
      <c r="S2352" s="94"/>
    </row>
    <row r="2353" spans="1:19" hidden="1">
      <c r="A2353" s="103" t="s">
        <v>4189</v>
      </c>
      <c r="B2353" s="94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94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13</v>
      </c>
      <c r="R2353" s="106" t="s">
        <v>780</v>
      </c>
      <c r="S2353" s="94"/>
    </row>
    <row r="2354" spans="1:19" hidden="1">
      <c r="A2354" s="103" t="s">
        <v>4189</v>
      </c>
      <c r="B2354" s="94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94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13</v>
      </c>
      <c r="R2354" s="106" t="s">
        <v>780</v>
      </c>
      <c r="S2354" s="94"/>
    </row>
    <row r="2355" spans="1:19" hidden="1">
      <c r="A2355" s="103" t="s">
        <v>4189</v>
      </c>
      <c r="B2355" s="94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94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13</v>
      </c>
      <c r="R2355" s="106" t="s">
        <v>780</v>
      </c>
      <c r="S2355" s="94"/>
    </row>
    <row r="2356" spans="1:19" hidden="1">
      <c r="A2356" s="103" t="s">
        <v>4189</v>
      </c>
      <c r="B2356" s="94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94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13</v>
      </c>
      <c r="R2356" s="106" t="s">
        <v>780</v>
      </c>
      <c r="S2356" s="94"/>
    </row>
    <row r="2357" spans="1:19" hidden="1">
      <c r="A2357" s="103" t="s">
        <v>4189</v>
      </c>
      <c r="B2357" s="94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94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13</v>
      </c>
      <c r="R2357" s="106" t="s">
        <v>780</v>
      </c>
      <c r="S2357" s="94"/>
    </row>
    <row r="2358" spans="1:19" hidden="1">
      <c r="A2358" s="103" t="s">
        <v>4189</v>
      </c>
      <c r="B2358" s="94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94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13</v>
      </c>
      <c r="R2358" s="106" t="s">
        <v>780</v>
      </c>
      <c r="S2358" s="94"/>
    </row>
    <row r="2359" spans="1:19" hidden="1">
      <c r="A2359" s="103" t="s">
        <v>4189</v>
      </c>
      <c r="B2359" s="94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94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13</v>
      </c>
      <c r="R2359" s="106" t="s">
        <v>780</v>
      </c>
      <c r="S2359" s="94"/>
    </row>
    <row r="2360" spans="1:19" hidden="1">
      <c r="A2360" s="103" t="s">
        <v>4189</v>
      </c>
      <c r="B2360" s="94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94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13</v>
      </c>
      <c r="R2360" s="106" t="s">
        <v>780</v>
      </c>
      <c r="S2360" s="94"/>
    </row>
    <row r="2361" spans="1:19" hidden="1">
      <c r="A2361" s="103" t="s">
        <v>4189</v>
      </c>
      <c r="B2361" s="94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03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13</v>
      </c>
      <c r="R2361" s="106" t="s">
        <v>780</v>
      </c>
      <c r="S2361" s="94"/>
    </row>
    <row r="2362" spans="1:19" hidden="1">
      <c r="A2362" s="103" t="s">
        <v>4189</v>
      </c>
      <c r="B2362" s="94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03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13</v>
      </c>
      <c r="R2362" s="106" t="s">
        <v>780</v>
      </c>
      <c r="S2362" s="94"/>
    </row>
    <row r="2363" spans="1:19" hidden="1">
      <c r="A2363" s="103" t="s">
        <v>4189</v>
      </c>
      <c r="B2363" s="94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03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13</v>
      </c>
      <c r="R2363" s="106" t="s">
        <v>780</v>
      </c>
      <c r="S2363" s="94"/>
    </row>
    <row r="2364" spans="1:19" hidden="1">
      <c r="A2364" s="103" t="s">
        <v>4189</v>
      </c>
      <c r="B2364" s="94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03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13</v>
      </c>
      <c r="R2364" s="106" t="s">
        <v>780</v>
      </c>
      <c r="S2364" s="94"/>
    </row>
    <row r="2365" spans="1:19" hidden="1">
      <c r="A2365" s="103" t="s">
        <v>4189</v>
      </c>
      <c r="B2365" s="94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03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13</v>
      </c>
      <c r="R2365" s="106" t="s">
        <v>780</v>
      </c>
      <c r="S2365" s="94"/>
    </row>
    <row r="2366" spans="1:19" hidden="1">
      <c r="A2366" s="103" t="s">
        <v>4189</v>
      </c>
      <c r="B2366" s="94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94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13</v>
      </c>
      <c r="R2366" s="106" t="s">
        <v>780</v>
      </c>
      <c r="S2366" s="94"/>
    </row>
    <row r="2367" spans="1:19" hidden="1">
      <c r="A2367" s="103" t="s">
        <v>4189</v>
      </c>
      <c r="B2367" s="94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94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13</v>
      </c>
      <c r="R2367" s="106" t="s">
        <v>780</v>
      </c>
      <c r="S2367" s="94"/>
    </row>
    <row r="2368" spans="1:19" hidden="1">
      <c r="A2368" s="103" t="s">
        <v>4189</v>
      </c>
      <c r="B2368" s="94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94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13</v>
      </c>
      <c r="R2368" s="106" t="s">
        <v>780</v>
      </c>
      <c r="S2368" s="94"/>
    </row>
    <row r="2369" spans="1:19" hidden="1">
      <c r="A2369" s="103" t="s">
        <v>4189</v>
      </c>
      <c r="B2369" s="94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94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13</v>
      </c>
      <c r="R2369" s="106" t="s">
        <v>780</v>
      </c>
      <c r="S2369" s="94"/>
    </row>
    <row r="2370" spans="1:19" hidden="1">
      <c r="A2370" s="103" t="s">
        <v>4189</v>
      </c>
      <c r="B2370" s="94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94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13</v>
      </c>
      <c r="R2370" s="106" t="s">
        <v>780</v>
      </c>
      <c r="S2370" s="94"/>
    </row>
    <row r="2371" spans="1:19" hidden="1">
      <c r="A2371" s="103" t="s">
        <v>4189</v>
      </c>
      <c r="B2371" s="94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94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13</v>
      </c>
      <c r="R2371" s="106" t="s">
        <v>780</v>
      </c>
      <c r="S2371" s="94"/>
    </row>
    <row r="2372" spans="1:19" hidden="1">
      <c r="A2372" s="103" t="s">
        <v>4189</v>
      </c>
      <c r="B2372" s="94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94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13</v>
      </c>
      <c r="R2372" s="106" t="s">
        <v>780</v>
      </c>
      <c r="S2372" s="94"/>
    </row>
    <row r="2373" spans="1:19" hidden="1">
      <c r="A2373" s="103" t="s">
        <v>4189</v>
      </c>
      <c r="B2373" s="94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94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13</v>
      </c>
      <c r="R2373" s="106" t="s">
        <v>780</v>
      </c>
      <c r="S2373" s="94"/>
    </row>
    <row r="2374" spans="1:19" hidden="1">
      <c r="A2374" s="103" t="s">
        <v>4189</v>
      </c>
      <c r="B2374" s="94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94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13</v>
      </c>
      <c r="R2374" s="106" t="s">
        <v>780</v>
      </c>
      <c r="S2374" s="94"/>
    </row>
    <row r="2375" spans="1:19" hidden="1">
      <c r="A2375" s="103" t="s">
        <v>4189</v>
      </c>
      <c r="B2375" s="94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94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13</v>
      </c>
      <c r="R2375" s="106" t="s">
        <v>780</v>
      </c>
      <c r="S2375" s="94"/>
    </row>
    <row r="2376" spans="1:19" hidden="1">
      <c r="A2376" s="103" t="s">
        <v>4189</v>
      </c>
      <c r="B2376" s="94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94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13</v>
      </c>
      <c r="R2376" s="106" t="s">
        <v>780</v>
      </c>
      <c r="S2376" s="94"/>
    </row>
    <row r="2377" spans="1:19" hidden="1">
      <c r="A2377" s="103" t="s">
        <v>4189</v>
      </c>
      <c r="B2377" s="94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94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13</v>
      </c>
      <c r="R2377" s="106" t="s">
        <v>780</v>
      </c>
      <c r="S2377" s="94"/>
    </row>
    <row r="2378" spans="1:19" hidden="1">
      <c r="A2378" s="103" t="s">
        <v>4189</v>
      </c>
      <c r="B2378" s="94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94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13</v>
      </c>
      <c r="R2378" s="106" t="s">
        <v>780</v>
      </c>
      <c r="S2378" s="94"/>
    </row>
    <row r="2379" spans="1:19" hidden="1">
      <c r="A2379" s="103" t="s">
        <v>4189</v>
      </c>
      <c r="B2379" s="94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94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13</v>
      </c>
      <c r="R2379" s="106" t="s">
        <v>780</v>
      </c>
      <c r="S2379" s="94"/>
    </row>
    <row r="2380" spans="1:19" hidden="1">
      <c r="A2380" s="103" t="s">
        <v>4189</v>
      </c>
      <c r="B2380" s="94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94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13</v>
      </c>
      <c r="R2380" s="106" t="s">
        <v>780</v>
      </c>
      <c r="S2380" s="94"/>
    </row>
    <row r="2381" spans="1:19" hidden="1">
      <c r="A2381" s="103" t="s">
        <v>4189</v>
      </c>
      <c r="B2381" s="94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94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13</v>
      </c>
      <c r="R2381" s="106" t="s">
        <v>780</v>
      </c>
      <c r="S2381" s="94"/>
    </row>
    <row r="2382" spans="1:19" hidden="1">
      <c r="A2382" s="103" t="s">
        <v>4189</v>
      </c>
      <c r="B2382" s="94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94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13</v>
      </c>
      <c r="R2382" s="106" t="s">
        <v>780</v>
      </c>
      <c r="S2382" s="94"/>
    </row>
    <row r="2383" spans="1:19" hidden="1">
      <c r="A2383" s="103" t="s">
        <v>4189</v>
      </c>
      <c r="B2383" s="94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94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13</v>
      </c>
      <c r="R2383" s="106" t="s">
        <v>780</v>
      </c>
      <c r="S2383" s="94"/>
    </row>
    <row r="2384" spans="1:19" hidden="1">
      <c r="A2384" s="103" t="s">
        <v>4189</v>
      </c>
      <c r="B2384" s="94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94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13</v>
      </c>
      <c r="R2384" s="106" t="s">
        <v>780</v>
      </c>
      <c r="S2384" s="94"/>
    </row>
    <row r="2385" spans="1:19" hidden="1">
      <c r="A2385" s="103" t="s">
        <v>4189</v>
      </c>
      <c r="B2385" s="94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94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13</v>
      </c>
      <c r="R2385" s="106" t="s">
        <v>780</v>
      </c>
      <c r="S2385" s="94"/>
    </row>
    <row r="2386" spans="1:19" hidden="1">
      <c r="A2386" s="103" t="s">
        <v>4189</v>
      </c>
      <c r="B2386" s="94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94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13</v>
      </c>
      <c r="R2386" s="106" t="s">
        <v>780</v>
      </c>
      <c r="S2386" s="94"/>
    </row>
    <row r="2387" spans="1:19" hidden="1">
      <c r="A2387" s="103" t="s">
        <v>4189</v>
      </c>
      <c r="B2387" s="94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94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13</v>
      </c>
      <c r="R2387" s="106" t="s">
        <v>780</v>
      </c>
      <c r="S2387" s="94"/>
    </row>
    <row r="2388" spans="1:19" hidden="1">
      <c r="A2388" s="103" t="s">
        <v>4189</v>
      </c>
      <c r="B2388" s="94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94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13</v>
      </c>
      <c r="R2388" s="106" t="s">
        <v>780</v>
      </c>
      <c r="S2388" s="94"/>
    </row>
    <row r="2389" spans="1:19" hidden="1">
      <c r="A2389" s="103" t="s">
        <v>4189</v>
      </c>
      <c r="B2389" s="94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94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13</v>
      </c>
      <c r="R2389" s="106" t="s">
        <v>780</v>
      </c>
      <c r="S2389" s="94"/>
    </row>
    <row r="2390" spans="1:19" hidden="1">
      <c r="A2390" s="103" t="s">
        <v>4189</v>
      </c>
      <c r="B2390" s="94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94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13</v>
      </c>
      <c r="R2390" s="106" t="s">
        <v>780</v>
      </c>
      <c r="S2390" s="94"/>
    </row>
    <row r="2391" spans="1:19" hidden="1">
      <c r="A2391" s="103" t="s">
        <v>4189</v>
      </c>
      <c r="B2391" s="94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94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13</v>
      </c>
      <c r="R2391" s="106" t="s">
        <v>780</v>
      </c>
      <c r="S2391" s="94"/>
    </row>
    <row r="2392" spans="1:19" hidden="1">
      <c r="A2392" t="s">
        <v>4288</v>
      </c>
      <c r="B2392" s="94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94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13</v>
      </c>
      <c r="R2392" s="106" t="s">
        <v>780</v>
      </c>
      <c r="S2392" s="94"/>
    </row>
    <row r="2393" spans="1:19" hidden="1">
      <c r="A2393" s="103" t="s">
        <v>4288</v>
      </c>
      <c r="B2393" s="94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94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13</v>
      </c>
      <c r="R2393" s="106" t="s">
        <v>780</v>
      </c>
      <c r="S2393" s="94"/>
    </row>
    <row r="2394" spans="1:19" hidden="1">
      <c r="A2394" s="103" t="s">
        <v>4288</v>
      </c>
      <c r="B2394" s="94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94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13</v>
      </c>
      <c r="R2394" s="106" t="s">
        <v>780</v>
      </c>
      <c r="S2394" s="94"/>
    </row>
    <row r="2395" spans="1:19" hidden="1">
      <c r="A2395" s="103" t="s">
        <v>4288</v>
      </c>
      <c r="B2395" s="94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94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13</v>
      </c>
      <c r="R2395" s="106" t="s">
        <v>780</v>
      </c>
      <c r="S2395" s="94"/>
    </row>
    <row r="2396" spans="1:19" hidden="1">
      <c r="A2396" s="103" t="s">
        <v>4288</v>
      </c>
      <c r="B2396" s="94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94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13</v>
      </c>
      <c r="R2396" s="106" t="s">
        <v>780</v>
      </c>
      <c r="S2396" s="94"/>
    </row>
    <row r="2397" spans="1:19" hidden="1">
      <c r="A2397" s="103" t="s">
        <v>4288</v>
      </c>
      <c r="B2397" s="94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94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13</v>
      </c>
      <c r="R2397" s="106" t="s">
        <v>780</v>
      </c>
      <c r="S2397" s="94"/>
    </row>
    <row r="2398" spans="1:19" hidden="1">
      <c r="A2398" s="103" t="s">
        <v>4288</v>
      </c>
      <c r="B2398" s="94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94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13</v>
      </c>
      <c r="R2398" s="106" t="s">
        <v>780</v>
      </c>
      <c r="S2398" s="94"/>
    </row>
    <row r="2399" spans="1:19" hidden="1">
      <c r="A2399" s="103" t="s">
        <v>4288</v>
      </c>
      <c r="B2399" s="94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94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13</v>
      </c>
      <c r="R2399" s="106" t="s">
        <v>780</v>
      </c>
      <c r="S2399" s="94"/>
    </row>
    <row r="2400" spans="1:19" hidden="1">
      <c r="A2400" s="103" t="s">
        <v>4288</v>
      </c>
      <c r="B2400" s="94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94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13</v>
      </c>
      <c r="R2400" s="106" t="s">
        <v>780</v>
      </c>
      <c r="S2400" s="94"/>
    </row>
    <row r="2401" spans="1:19" hidden="1">
      <c r="A2401" s="103" t="s">
        <v>4288</v>
      </c>
      <c r="B2401" s="94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94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13</v>
      </c>
      <c r="R2401" s="106" t="s">
        <v>780</v>
      </c>
      <c r="S2401" s="94"/>
    </row>
    <row r="2402" spans="1:19" hidden="1">
      <c r="A2402" s="103" t="s">
        <v>4288</v>
      </c>
      <c r="B2402" s="94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94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13</v>
      </c>
      <c r="R2402" s="106" t="s">
        <v>780</v>
      </c>
      <c r="S2402" s="94"/>
    </row>
    <row r="2403" spans="1:19" hidden="1">
      <c r="A2403" s="103" t="s">
        <v>4288</v>
      </c>
      <c r="B2403" s="94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94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13</v>
      </c>
      <c r="R2403" s="106" t="s">
        <v>780</v>
      </c>
      <c r="S2403" s="94"/>
    </row>
    <row r="2404" spans="1:19" hidden="1">
      <c r="A2404" s="103" t="s">
        <v>4288</v>
      </c>
      <c r="B2404" s="94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94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13</v>
      </c>
      <c r="R2404" s="106" t="s">
        <v>780</v>
      </c>
      <c r="S2404" s="94"/>
    </row>
    <row r="2405" spans="1:19" hidden="1">
      <c r="A2405" s="103" t="s">
        <v>4288</v>
      </c>
      <c r="B2405" s="94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94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13</v>
      </c>
      <c r="R2405" s="106" t="s">
        <v>780</v>
      </c>
      <c r="S2405" s="94"/>
    </row>
    <row r="2406" spans="1:19" hidden="1">
      <c r="A2406" t="s">
        <v>4291</v>
      </c>
      <c r="B2406" s="94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94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13</v>
      </c>
      <c r="R2406" s="106" t="s">
        <v>3640</v>
      </c>
      <c r="S2406" s="94"/>
    </row>
    <row r="2407" spans="1:19" hidden="1">
      <c r="A2407" t="s">
        <v>4294</v>
      </c>
      <c r="B2407" s="94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94"/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94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94" t="s">
        <v>4296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0</v>
      </c>
      <c r="K2408" s="94" t="str">
        <f>IF(Proc[[#This Row],[Author]]="Marcela Urrego",VLOOKUP(LEFT(Proc[[#This Row],[Requested]],1),Table3[#All],2,0),VLOOKUP(Proc[[#This Row],[Author]],Table4[],2,0))</f>
        <v>LS</v>
      </c>
      <c r="L2408" s="94"/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4304</v>
      </c>
      <c r="B2409" s="94" t="str">
        <f>IFERROR(VLOOKUP(Proc[[#This Row],[App]],Table2[],3,0),"open")</f>
        <v>open</v>
      </c>
      <c r="C2409" t="s">
        <v>377</v>
      </c>
      <c r="D2409" t="s">
        <v>4298</v>
      </c>
      <c r="E2409" t="s">
        <v>4302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4305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94"/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10</v>
      </c>
      <c r="R2409" s="108" t="s">
        <v>415</v>
      </c>
      <c r="S2409" s="94"/>
    </row>
    <row r="2410" spans="1:19" hidden="1">
      <c r="A2410" s="103" t="s">
        <v>4304</v>
      </c>
      <c r="B2410" s="94" t="str">
        <f>IFERROR(VLOOKUP(Proc[[#This Row],[App]],Table2[],3,0),"open")</f>
        <v>open</v>
      </c>
      <c r="C2410" s="103" t="s">
        <v>369</v>
      </c>
      <c r="D2410" t="s">
        <v>4299</v>
      </c>
      <c r="E2410" t="s">
        <v>4303</v>
      </c>
      <c r="F2410" s="94"/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0</v>
      </c>
      <c r="K2410" s="94" t="str">
        <f>IF(Proc[[#This Row],[Author]]="Marcela Urrego",VLOOKUP(LEFT(Proc[[#This Row],[Requested]],1),Table3[#All],2,0),VLOOKUP(Proc[[#This Row],[Author]],Table4[],2,0))</f>
        <v>HC</v>
      </c>
      <c r="L2410" s="94"/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10</v>
      </c>
      <c r="R2410" s="108" t="s">
        <v>415</v>
      </c>
      <c r="S2410" s="94"/>
    </row>
    <row r="2411" spans="1:19" hidden="1">
      <c r="A2411" s="103" t="s">
        <v>4304</v>
      </c>
      <c r="B2411" s="94" t="str">
        <f>IFERROR(VLOOKUP(Proc[[#This Row],[App]],Table2[],3,0),"open")</f>
        <v>open</v>
      </c>
      <c r="C2411" s="103" t="s">
        <v>369</v>
      </c>
      <c r="D2411" t="s">
        <v>4300</v>
      </c>
      <c r="E2411" t="s">
        <v>4303</v>
      </c>
      <c r="F2411" s="94"/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0</v>
      </c>
      <c r="K2411" s="94" t="str">
        <f>IF(Proc[[#This Row],[Author]]="Marcela Urrego",VLOOKUP(LEFT(Proc[[#This Row],[Requested]],1),Table3[#All],2,0),VLOOKUP(Proc[[#This Row],[Author]],Table4[],2,0))</f>
        <v>HC</v>
      </c>
      <c r="L2411" s="94"/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10</v>
      </c>
      <c r="R2411" s="108" t="s">
        <v>415</v>
      </c>
      <c r="S2411" s="94"/>
    </row>
    <row r="2412" spans="1:19" hidden="1">
      <c r="A2412" s="103" t="s">
        <v>4304</v>
      </c>
      <c r="B2412" s="94" t="str">
        <f>IFERROR(VLOOKUP(Proc[[#This Row],[App]],Table2[],3,0),"open")</f>
        <v>open</v>
      </c>
      <c r="C2412" s="103" t="s">
        <v>370</v>
      </c>
      <c r="D2412" t="s">
        <v>4301</v>
      </c>
      <c r="E2412" t="s">
        <v>4303</v>
      </c>
      <c r="F2412" s="94"/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0</v>
      </c>
      <c r="K2412" s="94" t="str">
        <f>IF(Proc[[#This Row],[Author]]="Marcela Urrego",VLOOKUP(LEFT(Proc[[#This Row],[Requested]],1),Table3[#All],2,0),VLOOKUP(Proc[[#This Row],[Author]],Table4[],2,0))</f>
        <v>HC</v>
      </c>
      <c r="L2412" s="94"/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10</v>
      </c>
      <c r="R2412" s="108" t="s">
        <v>415</v>
      </c>
      <c r="S2412" s="94"/>
    </row>
    <row r="2413" spans="1:19" hidden="1">
      <c r="A2413" t="s">
        <v>4294</v>
      </c>
      <c r="B2413" s="94" t="str">
        <f>IFERROR(VLOOKUP(Proc[[#This Row],[App]],Table2[],3,0),"open")</f>
        <v>ok</v>
      </c>
      <c r="C2413" s="103" t="s">
        <v>369</v>
      </c>
      <c r="D2413" s="103" t="s">
        <v>4306</v>
      </c>
      <c r="E2413" s="103" t="s">
        <v>4293</v>
      </c>
      <c r="F2413" s="94"/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0</v>
      </c>
      <c r="K2413" s="94" t="str">
        <f>IF(Proc[[#This Row],[Author]]="Marcela Urrego",VLOOKUP(LEFT(Proc[[#This Row],[Requested]],1),Table3[#All],2,0),VLOOKUP(Proc[[#This Row],[Author]],Table4[],2,0))</f>
        <v>LS</v>
      </c>
      <c r="L2413" s="94"/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11</v>
      </c>
      <c r="R2413" s="108" t="s">
        <v>972</v>
      </c>
      <c r="S2413" s="94"/>
    </row>
    <row r="2414" spans="1:19" hidden="1">
      <c r="A2414" t="s">
        <v>4307</v>
      </c>
      <c r="B2414" s="94" t="str">
        <f>IFERROR(VLOOKUP(Proc[[#This Row],[App]],Table2[],3,0),"open")</f>
        <v>ok</v>
      </c>
      <c r="C2414" t="s">
        <v>369</v>
      </c>
      <c r="D2414" t="s">
        <v>4308</v>
      </c>
      <c r="E2414" t="s">
        <v>4310</v>
      </c>
      <c r="F2414" s="94"/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0</v>
      </c>
      <c r="K2414" s="94" t="str">
        <f>IF(Proc[[#This Row],[Author]]="Marcela Urrego",VLOOKUP(LEFT(Proc[[#This Row],[Requested]],1),Table3[#All],2,0),VLOOKUP(Proc[[#This Row],[Author]],Table4[],2,0))</f>
        <v>LS</v>
      </c>
      <c r="L2414" s="94"/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4307</v>
      </c>
      <c r="B2415" s="94" t="str">
        <f>IFERROR(VLOOKUP(Proc[[#This Row],[App]],Table2[],3,0),"open")</f>
        <v>ok</v>
      </c>
      <c r="C2415" s="103" t="s">
        <v>369</v>
      </c>
      <c r="D2415" t="s">
        <v>4309</v>
      </c>
      <c r="E2415" t="s">
        <v>2600</v>
      </c>
      <c r="F2415" s="94"/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0</v>
      </c>
      <c r="K2415" s="94" t="str">
        <f>IF(Proc[[#This Row],[Author]]="Marcela Urrego",VLOOKUP(LEFT(Proc[[#This Row],[Requested]],1),Table3[#All],2,0),VLOOKUP(Proc[[#This Row],[Author]],Table4[],2,0))</f>
        <v>LS</v>
      </c>
      <c r="L2415" s="94"/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4311</v>
      </c>
      <c r="B2416" s="94" t="str">
        <f>IFERROR(VLOOKUP(Proc[[#This Row],[App]],Table2[],3,0),"open")</f>
        <v>open</v>
      </c>
      <c r="C2416" s="103" t="s">
        <v>375</v>
      </c>
      <c r="D2416" t="s">
        <v>4312</v>
      </c>
      <c r="E2416" t="s">
        <v>4314</v>
      </c>
      <c r="F2416" s="94" t="s">
        <v>1951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4315</v>
      </c>
      <c r="J2416" s="94" t="b">
        <f>Proc[[#This Row],[Requested]]=Proc[[#This Row],[CurrentParent]]</f>
        <v>0</v>
      </c>
      <c r="K2416" s="94" t="str">
        <f>IF(Proc[[#This Row],[Author]]="Marcela Urrego",VLOOKUP(LEFT(Proc[[#This Row],[Requested]],1),Table3[#All],2,0),VLOOKUP(Proc[[#This Row],[Author]],Table4[],2,0))</f>
        <v>MGF</v>
      </c>
      <c r="L2416" s="94"/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8</v>
      </c>
      <c r="R2416" s="110" t="s">
        <v>515</v>
      </c>
      <c r="S2416" s="94"/>
    </row>
    <row r="2417" spans="1:19" hidden="1">
      <c r="A2417" s="103" t="s">
        <v>4311</v>
      </c>
      <c r="B2417" s="94" t="str">
        <f>IFERROR(VLOOKUP(Proc[[#This Row],[App]],Table2[],3,0),"open")</f>
        <v>open</v>
      </c>
      <c r="C2417" s="103" t="s">
        <v>375</v>
      </c>
      <c r="D2417" t="s">
        <v>4313</v>
      </c>
      <c r="E2417" t="s">
        <v>474</v>
      </c>
      <c r="F2417" s="94" t="s">
        <v>476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4315</v>
      </c>
      <c r="J2417" s="94" t="b">
        <f>Proc[[#This Row],[Requested]]=Proc[[#This Row],[CurrentParent]]</f>
        <v>0</v>
      </c>
      <c r="K2417" s="94" t="str">
        <f>IF(Proc[[#This Row],[Author]]="Marcela Urrego",VLOOKUP(LEFT(Proc[[#This Row],[Requested]],1),Table3[#All],2,0),VLOOKUP(Proc[[#This Row],[Author]],Table4[],2,0))</f>
        <v>MGF</v>
      </c>
      <c r="L2417" s="94"/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8</v>
      </c>
      <c r="R2417" s="110" t="s">
        <v>515</v>
      </c>
      <c r="S2417" s="94"/>
    </row>
    <row r="2418" spans="1:19" hidden="1">
      <c r="A2418" t="s">
        <v>4316</v>
      </c>
      <c r="B2418" s="94" t="str">
        <f>IFERROR(VLOOKUP(Proc[[#This Row],[App]],Table2[],3,0),"open")</f>
        <v>ok</v>
      </c>
      <c r="C2418" s="103" t="s">
        <v>369</v>
      </c>
      <c r="D2418" t="s">
        <v>4317</v>
      </c>
      <c r="E2418" t="s">
        <v>4326</v>
      </c>
      <c r="F2418" s="94" t="s">
        <v>4327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4329</v>
      </c>
      <c r="J2418" s="94" t="b">
        <f>Proc[[#This Row],[Requested]]=Proc[[#This Row],[CurrentParent]]</f>
        <v>0</v>
      </c>
      <c r="K2418" s="94" t="str">
        <f>IF(Proc[[#This Row],[Author]]="Marcela Urrego",VLOOKUP(LEFT(Proc[[#This Row],[Requested]],1),Table3[#All],2,0),VLOOKUP(Proc[[#This Row],[Author]],Table4[],2,0))</f>
        <v>EL</v>
      </c>
      <c r="L2418" s="94"/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4316</v>
      </c>
      <c r="B2419" s="94" t="str">
        <f>IFERROR(VLOOKUP(Proc[[#This Row],[App]],Table2[],3,0),"open")</f>
        <v>ok</v>
      </c>
      <c r="C2419" s="103" t="s">
        <v>369</v>
      </c>
      <c r="D2419" t="s">
        <v>4318</v>
      </c>
      <c r="E2419" t="s">
        <v>4326</v>
      </c>
      <c r="F2419" s="94" t="s">
        <v>4327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4329</v>
      </c>
      <c r="J2419" s="94" t="b">
        <f>Proc[[#This Row],[Requested]]=Proc[[#This Row],[CurrentParent]]</f>
        <v>0</v>
      </c>
      <c r="K2419" s="94" t="str">
        <f>IF(Proc[[#This Row],[Author]]="Marcela Urrego",VLOOKUP(LEFT(Proc[[#This Row],[Requested]],1),Table3[#All],2,0),VLOOKUP(Proc[[#This Row],[Author]],Table4[],2,0))</f>
        <v>EL</v>
      </c>
      <c r="L2419" s="94"/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4316</v>
      </c>
      <c r="B2420" s="94" t="str">
        <f>IFERROR(VLOOKUP(Proc[[#This Row],[App]],Table2[],3,0),"open")</f>
        <v>ok</v>
      </c>
      <c r="C2420" s="103" t="s">
        <v>369</v>
      </c>
      <c r="D2420" t="s">
        <v>4319</v>
      </c>
      <c r="E2420" t="s">
        <v>4326</v>
      </c>
      <c r="F2420" s="94" t="s">
        <v>4327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4329</v>
      </c>
      <c r="J2420" s="94" t="b">
        <f>Proc[[#This Row],[Requested]]=Proc[[#This Row],[CurrentParent]]</f>
        <v>0</v>
      </c>
      <c r="K2420" s="94" t="str">
        <f>IF(Proc[[#This Row],[Author]]="Marcela Urrego",VLOOKUP(LEFT(Proc[[#This Row],[Requested]],1),Table3[#All],2,0),VLOOKUP(Proc[[#This Row],[Author]],Table4[],2,0))</f>
        <v>EL</v>
      </c>
      <c r="L2420" s="94"/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4316</v>
      </c>
      <c r="B2421" s="94" t="str">
        <f>IFERROR(VLOOKUP(Proc[[#This Row],[App]],Table2[],3,0),"open")</f>
        <v>ok</v>
      </c>
      <c r="C2421" s="103" t="s">
        <v>369</v>
      </c>
      <c r="D2421" t="s">
        <v>4320</v>
      </c>
      <c r="E2421" t="s">
        <v>4326</v>
      </c>
      <c r="F2421" s="94" t="s">
        <v>4327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4329</v>
      </c>
      <c r="J2421" s="94" t="b">
        <f>Proc[[#This Row],[Requested]]=Proc[[#This Row],[CurrentParent]]</f>
        <v>0</v>
      </c>
      <c r="K2421" s="94" t="str">
        <f>IF(Proc[[#This Row],[Author]]="Marcela Urrego",VLOOKUP(LEFT(Proc[[#This Row],[Requested]],1),Table3[#All],2,0),VLOOKUP(Proc[[#This Row],[Author]],Table4[],2,0))</f>
        <v>EL</v>
      </c>
      <c r="L2421" s="94"/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4316</v>
      </c>
      <c r="B2422" s="94" t="str">
        <f>IFERROR(VLOOKUP(Proc[[#This Row],[App]],Table2[],3,0),"open")</f>
        <v>ok</v>
      </c>
      <c r="C2422" s="103" t="s">
        <v>369</v>
      </c>
      <c r="D2422" t="s">
        <v>4321</v>
      </c>
      <c r="E2422" t="s">
        <v>4326</v>
      </c>
      <c r="F2422" s="94" t="s">
        <v>4327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4329</v>
      </c>
      <c r="J2422" s="94" t="b">
        <f>Proc[[#This Row],[Requested]]=Proc[[#This Row],[CurrentParent]]</f>
        <v>0</v>
      </c>
      <c r="K2422" s="94" t="str">
        <f>IF(Proc[[#This Row],[Author]]="Marcela Urrego",VLOOKUP(LEFT(Proc[[#This Row],[Requested]],1),Table3[#All],2,0),VLOOKUP(Proc[[#This Row],[Author]],Table4[],2,0))</f>
        <v>EL</v>
      </c>
      <c r="L2422" s="94"/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4316</v>
      </c>
      <c r="B2423" s="94" t="str">
        <f>IFERROR(VLOOKUP(Proc[[#This Row],[App]],Table2[],3,0),"open")</f>
        <v>ok</v>
      </c>
      <c r="C2423" s="103" t="s">
        <v>369</v>
      </c>
      <c r="D2423" t="s">
        <v>4322</v>
      </c>
      <c r="E2423" t="s">
        <v>4326</v>
      </c>
      <c r="F2423" s="94" t="s">
        <v>4327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4329</v>
      </c>
      <c r="J2423" s="94" t="b">
        <f>Proc[[#This Row],[Requested]]=Proc[[#This Row],[CurrentParent]]</f>
        <v>0</v>
      </c>
      <c r="K2423" s="94" t="str">
        <f>IF(Proc[[#This Row],[Author]]="Marcela Urrego",VLOOKUP(LEFT(Proc[[#This Row],[Requested]],1),Table3[#All],2,0),VLOOKUP(Proc[[#This Row],[Author]],Table4[],2,0))</f>
        <v>EL</v>
      </c>
      <c r="L2423" s="94"/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4316</v>
      </c>
      <c r="B2424" s="94" t="str">
        <f>IFERROR(VLOOKUP(Proc[[#This Row],[App]],Table2[],3,0),"open")</f>
        <v>ok</v>
      </c>
      <c r="C2424" s="103" t="s">
        <v>369</v>
      </c>
      <c r="D2424" t="s">
        <v>4325</v>
      </c>
      <c r="E2424" t="s">
        <v>4326</v>
      </c>
      <c r="F2424" s="94" t="s">
        <v>4327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4329</v>
      </c>
      <c r="J2424" s="94" t="b">
        <f>Proc[[#This Row],[Requested]]=Proc[[#This Row],[CurrentParent]]</f>
        <v>0</v>
      </c>
      <c r="K2424" s="94" t="str">
        <f>IF(Proc[[#This Row],[Author]]="Marcela Urrego",VLOOKUP(LEFT(Proc[[#This Row],[Requested]],1),Table3[#All],2,0),VLOOKUP(Proc[[#This Row],[Author]],Table4[],2,0))</f>
        <v>EL</v>
      </c>
      <c r="L2424" s="94"/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4316</v>
      </c>
      <c r="B2425" s="94" t="str">
        <f>IFERROR(VLOOKUP(Proc[[#This Row],[App]],Table2[],3,0),"open")</f>
        <v>ok</v>
      </c>
      <c r="C2425" s="103" t="s">
        <v>377</v>
      </c>
      <c r="D2425" t="s">
        <v>4323</v>
      </c>
      <c r="E2425" t="s">
        <v>4326</v>
      </c>
      <c r="F2425" s="94" t="s">
        <v>4327</v>
      </c>
      <c r="G2425" s="103" t="s">
        <v>400</v>
      </c>
      <c r="H2425" s="94" t="str">
        <f>IF(Proc[[#This Row],[type]]="LFF (MDG-F)",MID(Proc[[#This Row],[Obj]],13,10),"")</f>
        <v/>
      </c>
      <c r="I2425" t="s">
        <v>4328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94"/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4316</v>
      </c>
      <c r="B2426" s="94" t="str">
        <f>IFERROR(VLOOKUP(Proc[[#This Row],[App]],Table2[],3,0),"open")</f>
        <v>ok</v>
      </c>
      <c r="C2426" s="103" t="s">
        <v>377</v>
      </c>
      <c r="D2426" t="s">
        <v>4324</v>
      </c>
      <c r="E2426" t="s">
        <v>4326</v>
      </c>
      <c r="F2426" s="94" t="s">
        <v>4327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4328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94"/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4332</v>
      </c>
      <c r="B2427" s="94" t="str">
        <f>IFERROR(VLOOKUP(Proc[[#This Row],[App]],Table2[],3,0),"open")</f>
        <v>ok</v>
      </c>
      <c r="C2427" t="s">
        <v>369</v>
      </c>
      <c r="D2427" t="s">
        <v>4331</v>
      </c>
      <c r="E2427" t="s">
        <v>4334</v>
      </c>
      <c r="F2427" s="94"/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0</v>
      </c>
      <c r="K2427" s="94" t="str">
        <f>IF(Proc[[#This Row],[Author]]="Marcela Urrego",VLOOKUP(LEFT(Proc[[#This Row],[Requested]],1),Table3[#All],2,0),VLOOKUP(Proc[[#This Row],[Author]],Table4[],2,0))</f>
        <v>MGF</v>
      </c>
      <c r="L2427" s="94"/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4332</v>
      </c>
      <c r="B2428" s="94" t="str">
        <f>IFERROR(VLOOKUP(Proc[[#This Row],[App]],Table2[],3,0),"open")</f>
        <v>ok</v>
      </c>
      <c r="C2428" s="103" t="s">
        <v>369</v>
      </c>
      <c r="D2428" t="s">
        <v>4333</v>
      </c>
      <c r="E2428" t="s">
        <v>4335</v>
      </c>
      <c r="F2428" s="94"/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0</v>
      </c>
      <c r="K2428" s="94" t="str">
        <f>IF(Proc[[#This Row],[Author]]="Marcela Urrego",VLOOKUP(LEFT(Proc[[#This Row],[Requested]],1),Table3[#All],2,0),VLOOKUP(Proc[[#This Row],[Author]],Table4[],2,0))</f>
        <v>MGF</v>
      </c>
      <c r="L2428" s="94"/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4339</v>
      </c>
      <c r="B2429" s="94" t="str">
        <f>IFERROR(VLOOKUP(Proc[[#This Row],[App]],Table2[],3,0),"open")</f>
        <v>ok</v>
      </c>
      <c r="C2429" t="s">
        <v>369</v>
      </c>
      <c r="D2429" t="s">
        <v>4336</v>
      </c>
      <c r="E2429" t="s">
        <v>4337</v>
      </c>
      <c r="F2429" s="94" t="s">
        <v>4338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0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/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4340</v>
      </c>
      <c r="B2430" s="94" t="str">
        <f>IFERROR(VLOOKUP(Proc[[#This Row],[App]],Table2[],3,0),"open")</f>
        <v>ok</v>
      </c>
      <c r="C2430" s="103" t="s">
        <v>369</v>
      </c>
      <c r="D2430" t="s">
        <v>4341</v>
      </c>
      <c r="E2430" t="s">
        <v>1830</v>
      </c>
      <c r="F2430" s="94" t="s">
        <v>4342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0</v>
      </c>
      <c r="K2430" s="94" t="str">
        <f>IF(Proc[[#This Row],[Author]]="Marcela Urrego",VLOOKUP(LEFT(Proc[[#This Row],[Requested]],1),Table3[#All],2,0),VLOOKUP(Proc[[#This Row],[Author]],Table4[],2,0))</f>
        <v>LS</v>
      </c>
      <c r="L2430" s="94"/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4340</v>
      </c>
      <c r="B2431" s="94" t="str">
        <f>IFERROR(VLOOKUP(Proc[[#This Row],[App]],Table2[],3,0),"open")</f>
        <v>ok</v>
      </c>
      <c r="C2431" s="103" t="s">
        <v>369</v>
      </c>
      <c r="D2431" t="s">
        <v>4343</v>
      </c>
      <c r="E2431" t="s">
        <v>1830</v>
      </c>
      <c r="F2431" s="94" t="s">
        <v>4342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0</v>
      </c>
      <c r="K2431" s="94" t="str">
        <f>IF(Proc[[#This Row],[Author]]="Marcela Urrego",VLOOKUP(LEFT(Proc[[#This Row],[Requested]],1),Table3[#All],2,0),VLOOKUP(Proc[[#This Row],[Author]],Table4[],2,0))</f>
        <v>LS</v>
      </c>
      <c r="L2431" s="94"/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4340</v>
      </c>
      <c r="B2432" s="94" t="str">
        <f>IFERROR(VLOOKUP(Proc[[#This Row],[App]],Table2[],3,0),"open")</f>
        <v>ok</v>
      </c>
      <c r="C2432" s="103" t="s">
        <v>369</v>
      </c>
      <c r="D2432" t="s">
        <v>4344</v>
      </c>
      <c r="E2432" t="s">
        <v>1830</v>
      </c>
      <c r="F2432" s="94" t="s">
        <v>4342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0</v>
      </c>
      <c r="K2432" s="94" t="str">
        <f>IF(Proc[[#This Row],[Author]]="Marcela Urrego",VLOOKUP(LEFT(Proc[[#This Row],[Requested]],1),Table3[#All],2,0),VLOOKUP(Proc[[#This Row],[Author]],Table4[],2,0))</f>
        <v>LS</v>
      </c>
      <c r="L2432" s="94"/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4340</v>
      </c>
      <c r="B2433" s="94" t="str">
        <f>IFERROR(VLOOKUP(Proc[[#This Row],[App]],Table2[],3,0),"open")</f>
        <v>ok</v>
      </c>
      <c r="C2433" s="103" t="s">
        <v>369</v>
      </c>
      <c r="D2433" t="s">
        <v>4345</v>
      </c>
      <c r="E2433" t="s">
        <v>1830</v>
      </c>
      <c r="F2433" s="94" t="s">
        <v>4342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0</v>
      </c>
      <c r="K2433" s="94" t="str">
        <f>IF(Proc[[#This Row],[Author]]="Marcela Urrego",VLOOKUP(LEFT(Proc[[#This Row],[Requested]],1),Table3[#All],2,0),VLOOKUP(Proc[[#This Row],[Author]],Table4[],2,0))</f>
        <v>LS</v>
      </c>
      <c r="L2433" s="94"/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4340</v>
      </c>
      <c r="B2434" s="94" t="str">
        <f>IFERROR(VLOOKUP(Proc[[#This Row],[App]],Table2[],3,0),"open")</f>
        <v>ok</v>
      </c>
      <c r="C2434" s="103" t="s">
        <v>369</v>
      </c>
      <c r="D2434" t="s">
        <v>4346</v>
      </c>
      <c r="E2434" t="s">
        <v>1830</v>
      </c>
      <c r="F2434" s="94" t="s">
        <v>4342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0</v>
      </c>
      <c r="K2434" s="94" t="str">
        <f>IF(Proc[[#This Row],[Author]]="Marcela Urrego",VLOOKUP(LEFT(Proc[[#This Row],[Requested]],1),Table3[#All],2,0),VLOOKUP(Proc[[#This Row],[Author]],Table4[],2,0))</f>
        <v>LS</v>
      </c>
      <c r="L2434" s="94"/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4340</v>
      </c>
      <c r="B2435" s="94" t="str">
        <f>IFERROR(VLOOKUP(Proc[[#This Row],[App]],Table2[],3,0),"open")</f>
        <v>ok</v>
      </c>
      <c r="C2435" s="103" t="s">
        <v>369</v>
      </c>
      <c r="D2435" t="s">
        <v>4347</v>
      </c>
      <c r="E2435" t="s">
        <v>1830</v>
      </c>
      <c r="F2435" s="94" t="s">
        <v>4342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0</v>
      </c>
      <c r="K2435" s="94" t="str">
        <f>IF(Proc[[#This Row],[Author]]="Marcela Urrego",VLOOKUP(LEFT(Proc[[#This Row],[Requested]],1),Table3[#All],2,0),VLOOKUP(Proc[[#This Row],[Author]],Table4[],2,0))</f>
        <v>LS</v>
      </c>
      <c r="L2435" s="94"/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4340</v>
      </c>
      <c r="B2436" s="94" t="str">
        <f>IFERROR(VLOOKUP(Proc[[#This Row],[App]],Table2[],3,0),"open")</f>
        <v>ok</v>
      </c>
      <c r="C2436" s="103" t="s">
        <v>369</v>
      </c>
      <c r="D2436" t="s">
        <v>4348</v>
      </c>
      <c r="E2436" t="s">
        <v>1830</v>
      </c>
      <c r="F2436" s="94" t="s">
        <v>4342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0</v>
      </c>
      <c r="K2436" s="94" t="str">
        <f>IF(Proc[[#This Row],[Author]]="Marcela Urrego",VLOOKUP(LEFT(Proc[[#This Row],[Requested]],1),Table3[#All],2,0),VLOOKUP(Proc[[#This Row],[Author]],Table4[],2,0))</f>
        <v>LS</v>
      </c>
      <c r="L2436" s="94"/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4340</v>
      </c>
      <c r="B2437" s="94" t="str">
        <f>IFERROR(VLOOKUP(Proc[[#This Row],[App]],Table2[],3,0),"open")</f>
        <v>ok</v>
      </c>
      <c r="C2437" s="103" t="s">
        <v>369</v>
      </c>
      <c r="D2437" t="s">
        <v>4349</v>
      </c>
      <c r="E2437" t="s">
        <v>1830</v>
      </c>
      <c r="F2437" s="94" t="s">
        <v>4342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0</v>
      </c>
      <c r="K2437" s="94" t="str">
        <f>IF(Proc[[#This Row],[Author]]="Marcela Urrego",VLOOKUP(LEFT(Proc[[#This Row],[Requested]],1),Table3[#All],2,0),VLOOKUP(Proc[[#This Row],[Author]],Table4[],2,0))</f>
        <v>LS</v>
      </c>
      <c r="L2437" s="94"/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4340</v>
      </c>
      <c r="B2438" s="94" t="str">
        <f>IFERROR(VLOOKUP(Proc[[#This Row],[App]],Table2[],3,0),"open")</f>
        <v>ok</v>
      </c>
      <c r="C2438" s="103" t="s">
        <v>369</v>
      </c>
      <c r="D2438" t="s">
        <v>4350</v>
      </c>
      <c r="E2438" t="s">
        <v>1830</v>
      </c>
      <c r="F2438" s="94" t="s">
        <v>4342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0</v>
      </c>
      <c r="K2438" s="94" t="str">
        <f>IF(Proc[[#This Row],[Author]]="Marcela Urrego",VLOOKUP(LEFT(Proc[[#This Row],[Requested]],1),Table3[#All],2,0),VLOOKUP(Proc[[#This Row],[Author]],Table4[],2,0))</f>
        <v>LS</v>
      </c>
      <c r="L2438" s="94"/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4340</v>
      </c>
      <c r="B2439" s="94" t="str">
        <f>IFERROR(VLOOKUP(Proc[[#This Row],[App]],Table2[],3,0),"open")</f>
        <v>ok</v>
      </c>
      <c r="C2439" s="103" t="s">
        <v>369</v>
      </c>
      <c r="D2439" t="s">
        <v>4351</v>
      </c>
      <c r="E2439" t="s">
        <v>1830</v>
      </c>
      <c r="F2439" s="94" t="s">
        <v>4342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0</v>
      </c>
      <c r="K2439" s="94" t="str">
        <f>IF(Proc[[#This Row],[Author]]="Marcela Urrego",VLOOKUP(LEFT(Proc[[#This Row],[Requested]],1),Table3[#All],2,0),VLOOKUP(Proc[[#This Row],[Author]],Table4[],2,0))</f>
        <v>LS</v>
      </c>
      <c r="L2439" s="94"/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4340</v>
      </c>
      <c r="B2440" s="94" t="str">
        <f>IFERROR(VLOOKUP(Proc[[#This Row],[App]],Table2[],3,0),"open")</f>
        <v>ok</v>
      </c>
      <c r="C2440" s="103" t="s">
        <v>369</v>
      </c>
      <c r="D2440" t="s">
        <v>4352</v>
      </c>
      <c r="E2440" t="s">
        <v>1830</v>
      </c>
      <c r="F2440" s="94" t="s">
        <v>4342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0</v>
      </c>
      <c r="K2440" s="94" t="str">
        <f>IF(Proc[[#This Row],[Author]]="Marcela Urrego",VLOOKUP(LEFT(Proc[[#This Row],[Requested]],1),Table3[#All],2,0),VLOOKUP(Proc[[#This Row],[Author]],Table4[],2,0))</f>
        <v>LS</v>
      </c>
      <c r="L2440" s="94"/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4340</v>
      </c>
      <c r="B2441" s="94" t="str">
        <f>IFERROR(VLOOKUP(Proc[[#This Row],[App]],Table2[],3,0),"open")</f>
        <v>ok</v>
      </c>
      <c r="C2441" s="103" t="s">
        <v>369</v>
      </c>
      <c r="D2441" t="s">
        <v>4353</v>
      </c>
      <c r="E2441" t="s">
        <v>1830</v>
      </c>
      <c r="F2441" s="94" t="s">
        <v>4342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0</v>
      </c>
      <c r="K2441" s="94" t="str">
        <f>IF(Proc[[#This Row],[Author]]="Marcela Urrego",VLOOKUP(LEFT(Proc[[#This Row],[Requested]],1),Table3[#All],2,0),VLOOKUP(Proc[[#This Row],[Author]],Table4[],2,0))</f>
        <v>LS</v>
      </c>
      <c r="L2441" s="94"/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4340</v>
      </c>
      <c r="B2442" s="94" t="str">
        <f>IFERROR(VLOOKUP(Proc[[#This Row],[App]],Table2[],3,0),"open")</f>
        <v>ok</v>
      </c>
      <c r="C2442" s="103" t="s">
        <v>369</v>
      </c>
      <c r="D2442" t="s">
        <v>4354</v>
      </c>
      <c r="E2442" t="s">
        <v>1830</v>
      </c>
      <c r="F2442" s="94" t="s">
        <v>4342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0</v>
      </c>
      <c r="K2442" s="94" t="str">
        <f>IF(Proc[[#This Row],[Author]]="Marcela Urrego",VLOOKUP(LEFT(Proc[[#This Row],[Requested]],1),Table3[#All],2,0),VLOOKUP(Proc[[#This Row],[Author]],Table4[],2,0))</f>
        <v>LS</v>
      </c>
      <c r="L2442" s="94"/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4340</v>
      </c>
      <c r="B2443" s="94" t="str">
        <f>IFERROR(VLOOKUP(Proc[[#This Row],[App]],Table2[],3,0),"open")</f>
        <v>ok</v>
      </c>
      <c r="C2443" s="103" t="s">
        <v>369</v>
      </c>
      <c r="D2443" t="s">
        <v>4355</v>
      </c>
      <c r="E2443" t="s">
        <v>1830</v>
      </c>
      <c r="F2443" s="94" t="s">
        <v>4342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0</v>
      </c>
      <c r="K2443" s="94" t="str">
        <f>IF(Proc[[#This Row],[Author]]="Marcela Urrego",VLOOKUP(LEFT(Proc[[#This Row],[Requested]],1),Table3[#All],2,0),VLOOKUP(Proc[[#This Row],[Author]],Table4[],2,0))</f>
        <v>LS</v>
      </c>
      <c r="L2443" s="94"/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4340</v>
      </c>
      <c r="B2444" s="94" t="str">
        <f>IFERROR(VLOOKUP(Proc[[#This Row],[App]],Table2[],3,0),"open")</f>
        <v>ok</v>
      </c>
      <c r="C2444" s="103" t="s">
        <v>369</v>
      </c>
      <c r="D2444" t="s">
        <v>4356</v>
      </c>
      <c r="E2444" t="s">
        <v>1830</v>
      </c>
      <c r="F2444" s="94" t="s">
        <v>4342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0</v>
      </c>
      <c r="K2444" s="94" t="str">
        <f>IF(Proc[[#This Row],[Author]]="Marcela Urrego",VLOOKUP(LEFT(Proc[[#This Row],[Requested]],1),Table3[#All],2,0),VLOOKUP(Proc[[#This Row],[Author]],Table4[],2,0))</f>
        <v>LS</v>
      </c>
      <c r="L2444" s="94"/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4340</v>
      </c>
      <c r="B2445" s="94" t="str">
        <f>IFERROR(VLOOKUP(Proc[[#This Row],[App]],Table2[],3,0),"open")</f>
        <v>ok</v>
      </c>
      <c r="C2445" s="103" t="s">
        <v>369</v>
      </c>
      <c r="D2445" t="s">
        <v>4357</v>
      </c>
      <c r="E2445" t="s">
        <v>1830</v>
      </c>
      <c r="F2445" s="94" t="s">
        <v>4342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0</v>
      </c>
      <c r="K2445" s="94" t="str">
        <f>IF(Proc[[#This Row],[Author]]="Marcela Urrego",VLOOKUP(LEFT(Proc[[#This Row],[Requested]],1),Table3[#All],2,0),VLOOKUP(Proc[[#This Row],[Author]],Table4[],2,0))</f>
        <v>LS</v>
      </c>
      <c r="L2445" s="94"/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4340</v>
      </c>
      <c r="B2446" s="94" t="str">
        <f>IFERROR(VLOOKUP(Proc[[#This Row],[App]],Table2[],3,0),"open")</f>
        <v>ok</v>
      </c>
      <c r="C2446" s="103" t="s">
        <v>369</v>
      </c>
      <c r="D2446" t="s">
        <v>4358</v>
      </c>
      <c r="E2446" t="s">
        <v>1830</v>
      </c>
      <c r="F2446" s="94" t="s">
        <v>4342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0</v>
      </c>
      <c r="K2446" s="94" t="str">
        <f>IF(Proc[[#This Row],[Author]]="Marcela Urrego",VLOOKUP(LEFT(Proc[[#This Row],[Requested]],1),Table3[#All],2,0),VLOOKUP(Proc[[#This Row],[Author]],Table4[],2,0))</f>
        <v>LS</v>
      </c>
      <c r="L2446" s="94"/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4340</v>
      </c>
      <c r="B2447" s="94" t="str">
        <f>IFERROR(VLOOKUP(Proc[[#This Row],[App]],Table2[],3,0),"open")</f>
        <v>ok</v>
      </c>
      <c r="C2447" s="103" t="s">
        <v>369</v>
      </c>
      <c r="D2447" t="s">
        <v>4359</v>
      </c>
      <c r="E2447" t="s">
        <v>1830</v>
      </c>
      <c r="F2447" s="94" t="s">
        <v>4342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0</v>
      </c>
      <c r="K2447" s="94" t="str">
        <f>IF(Proc[[#This Row],[Author]]="Marcela Urrego",VLOOKUP(LEFT(Proc[[#This Row],[Requested]],1),Table3[#All],2,0),VLOOKUP(Proc[[#This Row],[Author]],Table4[],2,0))</f>
        <v>LS</v>
      </c>
      <c r="L2447" s="94"/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4340</v>
      </c>
      <c r="B2448" s="94" t="str">
        <f>IFERROR(VLOOKUP(Proc[[#This Row],[App]],Table2[],3,0),"open")</f>
        <v>ok</v>
      </c>
      <c r="C2448" s="103" t="s">
        <v>369</v>
      </c>
      <c r="D2448" t="s">
        <v>4360</v>
      </c>
      <c r="E2448" t="s">
        <v>1830</v>
      </c>
      <c r="F2448" s="94" t="s">
        <v>4361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0</v>
      </c>
      <c r="K2448" s="94" t="str">
        <f>IF(Proc[[#This Row],[Author]]="Marcela Urrego",VLOOKUP(LEFT(Proc[[#This Row],[Requested]],1),Table3[#All],2,0),VLOOKUP(Proc[[#This Row],[Author]],Table4[],2,0))</f>
        <v>LS</v>
      </c>
      <c r="L2448" s="94"/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4340</v>
      </c>
      <c r="B2449" s="94" t="str">
        <f>IFERROR(VLOOKUP(Proc[[#This Row],[App]],Table2[],3,0),"open")</f>
        <v>ok</v>
      </c>
      <c r="C2449" s="103" t="s">
        <v>369</v>
      </c>
      <c r="D2449" t="s">
        <v>4362</v>
      </c>
      <c r="E2449" t="s">
        <v>1830</v>
      </c>
      <c r="F2449" s="94" t="s">
        <v>4361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0</v>
      </c>
      <c r="K2449" s="94" t="str">
        <f>IF(Proc[[#This Row],[Author]]="Marcela Urrego",VLOOKUP(LEFT(Proc[[#This Row],[Requested]],1),Table3[#All],2,0),VLOOKUP(Proc[[#This Row],[Author]],Table4[],2,0))</f>
        <v>LS</v>
      </c>
      <c r="L2449" s="94"/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4340</v>
      </c>
      <c r="B2450" s="94" t="str">
        <f>IFERROR(VLOOKUP(Proc[[#This Row],[App]],Table2[],3,0),"open")</f>
        <v>ok</v>
      </c>
      <c r="C2450" s="103" t="s">
        <v>369</v>
      </c>
      <c r="D2450" t="s">
        <v>4363</v>
      </c>
      <c r="E2450" t="s">
        <v>1830</v>
      </c>
      <c r="F2450" s="94" t="s">
        <v>4361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0</v>
      </c>
      <c r="K2450" s="94" t="str">
        <f>IF(Proc[[#This Row],[Author]]="Marcela Urrego",VLOOKUP(LEFT(Proc[[#This Row],[Requested]],1),Table3[#All],2,0),VLOOKUP(Proc[[#This Row],[Author]],Table4[],2,0))</f>
        <v>LS</v>
      </c>
      <c r="L2450" s="94"/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4340</v>
      </c>
      <c r="B2451" s="94" t="str">
        <f>IFERROR(VLOOKUP(Proc[[#This Row],[App]],Table2[],3,0),"open")</f>
        <v>ok</v>
      </c>
      <c r="C2451" s="103" t="s">
        <v>369</v>
      </c>
      <c r="D2451" t="s">
        <v>4364</v>
      </c>
      <c r="E2451" t="s">
        <v>1830</v>
      </c>
      <c r="F2451" s="94" t="s">
        <v>4361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0</v>
      </c>
      <c r="K2451" s="94" t="str">
        <f>IF(Proc[[#This Row],[Author]]="Marcela Urrego",VLOOKUP(LEFT(Proc[[#This Row],[Requested]],1),Table3[#All],2,0),VLOOKUP(Proc[[#This Row],[Author]],Table4[],2,0))</f>
        <v>LS</v>
      </c>
      <c r="L2451" s="94"/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4340</v>
      </c>
      <c r="B2452" s="94" t="str">
        <f>IFERROR(VLOOKUP(Proc[[#This Row],[App]],Table2[],3,0),"open")</f>
        <v>ok</v>
      </c>
      <c r="C2452" s="103" t="s">
        <v>369</v>
      </c>
      <c r="D2452" t="s">
        <v>4365</v>
      </c>
      <c r="E2452" t="s">
        <v>1830</v>
      </c>
      <c r="F2452" s="94" t="s">
        <v>4361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0</v>
      </c>
      <c r="K2452" s="94" t="str">
        <f>IF(Proc[[#This Row],[Author]]="Marcela Urrego",VLOOKUP(LEFT(Proc[[#This Row],[Requested]],1),Table3[#All],2,0),VLOOKUP(Proc[[#This Row],[Author]],Table4[],2,0))</f>
        <v>LS</v>
      </c>
      <c r="L2452" s="94"/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4340</v>
      </c>
      <c r="B2453" s="94" t="str">
        <f>IFERROR(VLOOKUP(Proc[[#This Row],[App]],Table2[],3,0),"open")</f>
        <v>ok</v>
      </c>
      <c r="C2453" s="103" t="s">
        <v>369</v>
      </c>
      <c r="D2453" t="s">
        <v>4366</v>
      </c>
      <c r="E2453" t="s">
        <v>1830</v>
      </c>
      <c r="F2453" s="94" t="s">
        <v>4361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0</v>
      </c>
      <c r="K2453" s="94" t="str">
        <f>IF(Proc[[#This Row],[Author]]="Marcela Urrego",VLOOKUP(LEFT(Proc[[#This Row],[Requested]],1),Table3[#All],2,0),VLOOKUP(Proc[[#This Row],[Author]],Table4[],2,0))</f>
        <v>LS</v>
      </c>
      <c r="L2453" s="94"/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4340</v>
      </c>
      <c r="B2454" s="94" t="str">
        <f>IFERROR(VLOOKUP(Proc[[#This Row],[App]],Table2[],3,0),"open")</f>
        <v>ok</v>
      </c>
      <c r="C2454" s="103" t="s">
        <v>369</v>
      </c>
      <c r="D2454" t="s">
        <v>4367</v>
      </c>
      <c r="E2454" t="s">
        <v>1830</v>
      </c>
      <c r="F2454" s="94" t="s">
        <v>4361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0</v>
      </c>
      <c r="K2454" s="94" t="str">
        <f>IF(Proc[[#This Row],[Author]]="Marcela Urrego",VLOOKUP(LEFT(Proc[[#This Row],[Requested]],1),Table3[#All],2,0),VLOOKUP(Proc[[#This Row],[Author]],Table4[],2,0))</f>
        <v>LS</v>
      </c>
      <c r="L2454" s="94"/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4340</v>
      </c>
      <c r="B2455" s="94" t="str">
        <f>IFERROR(VLOOKUP(Proc[[#This Row],[App]],Table2[],3,0),"open")</f>
        <v>ok</v>
      </c>
      <c r="C2455" s="103" t="s">
        <v>369</v>
      </c>
      <c r="D2455" t="s">
        <v>4368</v>
      </c>
      <c r="E2455" t="s">
        <v>1830</v>
      </c>
      <c r="F2455" s="94" t="s">
        <v>4361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0</v>
      </c>
      <c r="K2455" s="94" t="str">
        <f>IF(Proc[[#This Row],[Author]]="Marcela Urrego",VLOOKUP(LEFT(Proc[[#This Row],[Requested]],1),Table3[#All],2,0),VLOOKUP(Proc[[#This Row],[Author]],Table4[],2,0))</f>
        <v>LS</v>
      </c>
      <c r="L2455" s="94"/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4340</v>
      </c>
      <c r="B2456" s="94" t="str">
        <f>IFERROR(VLOOKUP(Proc[[#This Row],[App]],Table2[],3,0),"open")</f>
        <v>ok</v>
      </c>
      <c r="C2456" s="103" t="s">
        <v>369</v>
      </c>
      <c r="D2456" t="s">
        <v>4369</v>
      </c>
      <c r="E2456" t="s">
        <v>1830</v>
      </c>
      <c r="F2456" s="94" t="s">
        <v>4361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0</v>
      </c>
      <c r="K2456" s="94" t="str">
        <f>IF(Proc[[#This Row],[Author]]="Marcela Urrego",VLOOKUP(LEFT(Proc[[#This Row],[Requested]],1),Table3[#All],2,0),VLOOKUP(Proc[[#This Row],[Author]],Table4[],2,0))</f>
        <v>LS</v>
      </c>
      <c r="L2456" s="94"/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4340</v>
      </c>
      <c r="B2457" s="94" t="str">
        <f>IFERROR(VLOOKUP(Proc[[#This Row],[App]],Table2[],3,0),"open")</f>
        <v>ok</v>
      </c>
      <c r="C2457" s="103" t="s">
        <v>369</v>
      </c>
      <c r="D2457" t="s">
        <v>4370</v>
      </c>
      <c r="E2457" t="s">
        <v>1830</v>
      </c>
      <c r="F2457" s="94" t="s">
        <v>4361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0</v>
      </c>
      <c r="K2457" s="94" t="str">
        <f>IF(Proc[[#This Row],[Author]]="Marcela Urrego",VLOOKUP(LEFT(Proc[[#This Row],[Requested]],1),Table3[#All],2,0),VLOOKUP(Proc[[#This Row],[Author]],Table4[],2,0))</f>
        <v>LS</v>
      </c>
      <c r="L2457" s="94"/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4340</v>
      </c>
      <c r="B2458" s="94" t="str">
        <f>IFERROR(VLOOKUP(Proc[[#This Row],[App]],Table2[],3,0),"open")</f>
        <v>ok</v>
      </c>
      <c r="C2458" s="103" t="s">
        <v>369</v>
      </c>
      <c r="D2458" t="s">
        <v>4371</v>
      </c>
      <c r="E2458" t="s">
        <v>1830</v>
      </c>
      <c r="F2458" s="94" t="s">
        <v>4361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0</v>
      </c>
      <c r="K2458" s="94" t="str">
        <f>IF(Proc[[#This Row],[Author]]="Marcela Urrego",VLOOKUP(LEFT(Proc[[#This Row],[Requested]],1),Table3[#All],2,0),VLOOKUP(Proc[[#This Row],[Author]],Table4[],2,0))</f>
        <v>LS</v>
      </c>
      <c r="L2458" s="94"/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4340</v>
      </c>
      <c r="B2459" s="94" t="str">
        <f>IFERROR(VLOOKUP(Proc[[#This Row],[App]],Table2[],3,0),"open")</f>
        <v>ok</v>
      </c>
      <c r="C2459" s="103" t="s">
        <v>369</v>
      </c>
      <c r="D2459" t="s">
        <v>4372</v>
      </c>
      <c r="E2459" t="s">
        <v>1830</v>
      </c>
      <c r="F2459" s="94" t="s">
        <v>4361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0</v>
      </c>
      <c r="K2459" s="94" t="str">
        <f>IF(Proc[[#This Row],[Author]]="Marcela Urrego",VLOOKUP(LEFT(Proc[[#This Row],[Requested]],1),Table3[#All],2,0),VLOOKUP(Proc[[#This Row],[Author]],Table4[],2,0))</f>
        <v>LS</v>
      </c>
      <c r="L2459" s="94"/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4340</v>
      </c>
      <c r="B2460" s="94" t="str">
        <f>IFERROR(VLOOKUP(Proc[[#This Row],[App]],Table2[],3,0),"open")</f>
        <v>ok</v>
      </c>
      <c r="C2460" s="103" t="s">
        <v>369</v>
      </c>
      <c r="D2460" t="s">
        <v>4373</v>
      </c>
      <c r="E2460" t="s">
        <v>1830</v>
      </c>
      <c r="F2460" s="94" t="s">
        <v>4361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0</v>
      </c>
      <c r="K2460" s="94" t="str">
        <f>IF(Proc[[#This Row],[Author]]="Marcela Urrego",VLOOKUP(LEFT(Proc[[#This Row],[Requested]],1),Table3[#All],2,0),VLOOKUP(Proc[[#This Row],[Author]],Table4[],2,0))</f>
        <v>LS</v>
      </c>
      <c r="L2460" s="94"/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4340</v>
      </c>
      <c r="B2461" s="94" t="str">
        <f>IFERROR(VLOOKUP(Proc[[#This Row],[App]],Table2[],3,0),"open")</f>
        <v>ok</v>
      </c>
      <c r="C2461" s="103" t="s">
        <v>369</v>
      </c>
      <c r="D2461" t="s">
        <v>4374</v>
      </c>
      <c r="E2461" t="s">
        <v>1830</v>
      </c>
      <c r="F2461" s="94" t="s">
        <v>4361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0</v>
      </c>
      <c r="K2461" s="94" t="str">
        <f>IF(Proc[[#This Row],[Author]]="Marcela Urrego",VLOOKUP(LEFT(Proc[[#This Row],[Requested]],1),Table3[#All],2,0),VLOOKUP(Proc[[#This Row],[Author]],Table4[],2,0))</f>
        <v>LS</v>
      </c>
      <c r="L2461" s="94"/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4340</v>
      </c>
      <c r="B2462" s="94" t="str">
        <f>IFERROR(VLOOKUP(Proc[[#This Row],[App]],Table2[],3,0),"open")</f>
        <v>ok</v>
      </c>
      <c r="C2462" s="103" t="s">
        <v>369</v>
      </c>
      <c r="D2462" t="s">
        <v>4375</v>
      </c>
      <c r="E2462" t="s">
        <v>1830</v>
      </c>
      <c r="F2462" s="94" t="s">
        <v>4361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0</v>
      </c>
      <c r="K2462" s="94" t="str">
        <f>IF(Proc[[#This Row],[Author]]="Marcela Urrego",VLOOKUP(LEFT(Proc[[#This Row],[Requested]],1),Table3[#All],2,0),VLOOKUP(Proc[[#This Row],[Author]],Table4[],2,0))</f>
        <v>LS</v>
      </c>
      <c r="L2462" s="94"/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4340</v>
      </c>
      <c r="B2463" s="94" t="str">
        <f>IFERROR(VLOOKUP(Proc[[#This Row],[App]],Table2[],3,0),"open")</f>
        <v>ok</v>
      </c>
      <c r="C2463" s="103" t="s">
        <v>369</v>
      </c>
      <c r="D2463" t="s">
        <v>4376</v>
      </c>
      <c r="E2463" t="s">
        <v>1830</v>
      </c>
      <c r="F2463" s="94" t="s">
        <v>4361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0</v>
      </c>
      <c r="K2463" s="94" t="str">
        <f>IF(Proc[[#This Row],[Author]]="Marcela Urrego",VLOOKUP(LEFT(Proc[[#This Row],[Requested]],1),Table3[#All],2,0),VLOOKUP(Proc[[#This Row],[Author]],Table4[],2,0))</f>
        <v>LS</v>
      </c>
      <c r="L2463" s="94"/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4340</v>
      </c>
      <c r="B2464" s="94" t="str">
        <f>IFERROR(VLOOKUP(Proc[[#This Row],[App]],Table2[],3,0),"open")</f>
        <v>ok</v>
      </c>
      <c r="C2464" s="103" t="s">
        <v>369</v>
      </c>
      <c r="D2464" t="s">
        <v>4377</v>
      </c>
      <c r="E2464" t="s">
        <v>1830</v>
      </c>
      <c r="F2464" s="94" t="s">
        <v>4361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0</v>
      </c>
      <c r="K2464" s="94" t="str">
        <f>IF(Proc[[#This Row],[Author]]="Marcela Urrego",VLOOKUP(LEFT(Proc[[#This Row],[Requested]],1),Table3[#All],2,0),VLOOKUP(Proc[[#This Row],[Author]],Table4[],2,0))</f>
        <v>LS</v>
      </c>
      <c r="L2464" s="94"/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4340</v>
      </c>
      <c r="B2465" s="94" t="str">
        <f>IFERROR(VLOOKUP(Proc[[#This Row],[App]],Table2[],3,0),"open")</f>
        <v>ok</v>
      </c>
      <c r="C2465" s="103" t="s">
        <v>369</v>
      </c>
      <c r="D2465" t="s">
        <v>4378</v>
      </c>
      <c r="E2465" t="s">
        <v>1830</v>
      </c>
      <c r="F2465" s="94" t="s">
        <v>4361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0</v>
      </c>
      <c r="K2465" s="94" t="str">
        <f>IF(Proc[[#This Row],[Author]]="Marcela Urrego",VLOOKUP(LEFT(Proc[[#This Row],[Requested]],1),Table3[#All],2,0),VLOOKUP(Proc[[#This Row],[Author]],Table4[],2,0))</f>
        <v>LS</v>
      </c>
      <c r="L2465" s="94"/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4340</v>
      </c>
      <c r="B2466" s="94" t="str">
        <f>IFERROR(VLOOKUP(Proc[[#This Row],[App]],Table2[],3,0),"open")</f>
        <v>ok</v>
      </c>
      <c r="C2466" s="103" t="s">
        <v>369</v>
      </c>
      <c r="D2466" t="s">
        <v>4379</v>
      </c>
      <c r="E2466" t="s">
        <v>1830</v>
      </c>
      <c r="F2466" s="94" t="s">
        <v>4361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0</v>
      </c>
      <c r="K2466" s="94" t="str">
        <f>IF(Proc[[#This Row],[Author]]="Marcela Urrego",VLOOKUP(LEFT(Proc[[#This Row],[Requested]],1),Table3[#All],2,0),VLOOKUP(Proc[[#This Row],[Author]],Table4[],2,0))</f>
        <v>LS</v>
      </c>
      <c r="L2466" s="94"/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4340</v>
      </c>
      <c r="B2467" s="94" t="str">
        <f>IFERROR(VLOOKUP(Proc[[#This Row],[App]],Table2[],3,0),"open")</f>
        <v>ok</v>
      </c>
      <c r="C2467" s="103" t="s">
        <v>369</v>
      </c>
      <c r="D2467" t="s">
        <v>4380</v>
      </c>
      <c r="E2467" t="s">
        <v>1830</v>
      </c>
      <c r="F2467" s="94" t="s">
        <v>4361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0</v>
      </c>
      <c r="K2467" s="94" t="str">
        <f>IF(Proc[[#This Row],[Author]]="Marcela Urrego",VLOOKUP(LEFT(Proc[[#This Row],[Requested]],1),Table3[#All],2,0),VLOOKUP(Proc[[#This Row],[Author]],Table4[],2,0))</f>
        <v>LS</v>
      </c>
      <c r="L2467" s="94"/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4340</v>
      </c>
      <c r="B2468" s="94" t="str">
        <f>IFERROR(VLOOKUP(Proc[[#This Row],[App]],Table2[],3,0),"open")</f>
        <v>ok</v>
      </c>
      <c r="C2468" s="103" t="s">
        <v>369</v>
      </c>
      <c r="D2468" t="s">
        <v>4381</v>
      </c>
      <c r="E2468" t="s">
        <v>1830</v>
      </c>
      <c r="F2468" s="94" t="s">
        <v>4382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0</v>
      </c>
      <c r="K2468" s="94" t="str">
        <f>IF(Proc[[#This Row],[Author]]="Marcela Urrego",VLOOKUP(LEFT(Proc[[#This Row],[Requested]],1),Table3[#All],2,0),VLOOKUP(Proc[[#This Row],[Author]],Table4[],2,0))</f>
        <v>LS</v>
      </c>
      <c r="L2468" s="94"/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4340</v>
      </c>
      <c r="B2469" s="94" t="str">
        <f>IFERROR(VLOOKUP(Proc[[#This Row],[App]],Table2[],3,0),"open")</f>
        <v>ok</v>
      </c>
      <c r="C2469" s="103" t="s">
        <v>369</v>
      </c>
      <c r="D2469" t="s">
        <v>4383</v>
      </c>
      <c r="E2469" t="s">
        <v>1830</v>
      </c>
      <c r="F2469" s="94" t="s">
        <v>4382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0</v>
      </c>
      <c r="K2469" s="94" t="str">
        <f>IF(Proc[[#This Row],[Author]]="Marcela Urrego",VLOOKUP(LEFT(Proc[[#This Row],[Requested]],1),Table3[#All],2,0),VLOOKUP(Proc[[#This Row],[Author]],Table4[],2,0))</f>
        <v>LS</v>
      </c>
      <c r="L2469" s="94"/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4340</v>
      </c>
      <c r="B2470" s="94" t="str">
        <f>IFERROR(VLOOKUP(Proc[[#This Row],[App]],Table2[],3,0),"open")</f>
        <v>ok</v>
      </c>
      <c r="C2470" s="103" t="s">
        <v>369</v>
      </c>
      <c r="D2470" t="s">
        <v>4384</v>
      </c>
      <c r="E2470" t="s">
        <v>1830</v>
      </c>
      <c r="F2470" s="94" t="s">
        <v>4382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0</v>
      </c>
      <c r="K2470" s="94" t="str">
        <f>IF(Proc[[#This Row],[Author]]="Marcela Urrego",VLOOKUP(LEFT(Proc[[#This Row],[Requested]],1),Table3[#All],2,0),VLOOKUP(Proc[[#This Row],[Author]],Table4[],2,0))</f>
        <v>LS</v>
      </c>
      <c r="L2470" s="94"/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4340</v>
      </c>
      <c r="B2471" s="94" t="str">
        <f>IFERROR(VLOOKUP(Proc[[#This Row],[App]],Table2[],3,0),"open")</f>
        <v>ok</v>
      </c>
      <c r="C2471" s="103" t="s">
        <v>369</v>
      </c>
      <c r="D2471" t="s">
        <v>4385</v>
      </c>
      <c r="E2471" t="s">
        <v>1830</v>
      </c>
      <c r="F2471" s="94" t="s">
        <v>4382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0</v>
      </c>
      <c r="K2471" s="94" t="str">
        <f>IF(Proc[[#This Row],[Author]]="Marcela Urrego",VLOOKUP(LEFT(Proc[[#This Row],[Requested]],1),Table3[#All],2,0),VLOOKUP(Proc[[#This Row],[Author]],Table4[],2,0))</f>
        <v>LS</v>
      </c>
      <c r="L2471" s="94"/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4340</v>
      </c>
      <c r="B2472" s="94" t="str">
        <f>IFERROR(VLOOKUP(Proc[[#This Row],[App]],Table2[],3,0),"open")</f>
        <v>ok</v>
      </c>
      <c r="C2472" s="103" t="s">
        <v>369</v>
      </c>
      <c r="D2472" t="s">
        <v>4386</v>
      </c>
      <c r="E2472" t="s">
        <v>1830</v>
      </c>
      <c r="F2472" s="94" t="s">
        <v>4382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0</v>
      </c>
      <c r="K2472" s="94" t="str">
        <f>IF(Proc[[#This Row],[Author]]="Marcela Urrego",VLOOKUP(LEFT(Proc[[#This Row],[Requested]],1),Table3[#All],2,0),VLOOKUP(Proc[[#This Row],[Author]],Table4[],2,0))</f>
        <v>LS</v>
      </c>
      <c r="L2472" s="94"/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4340</v>
      </c>
      <c r="B2473" s="94" t="str">
        <f>IFERROR(VLOOKUP(Proc[[#This Row],[App]],Table2[],3,0),"open")</f>
        <v>ok</v>
      </c>
      <c r="C2473" s="103" t="s">
        <v>369</v>
      </c>
      <c r="D2473" t="s">
        <v>4387</v>
      </c>
      <c r="E2473" t="s">
        <v>1830</v>
      </c>
      <c r="F2473" s="94" t="s">
        <v>4382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0</v>
      </c>
      <c r="K2473" s="94" t="str">
        <f>IF(Proc[[#This Row],[Author]]="Marcela Urrego",VLOOKUP(LEFT(Proc[[#This Row],[Requested]],1),Table3[#All],2,0),VLOOKUP(Proc[[#This Row],[Author]],Table4[],2,0))</f>
        <v>LS</v>
      </c>
      <c r="L2473" s="94"/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4340</v>
      </c>
      <c r="B2474" s="94" t="str">
        <f>IFERROR(VLOOKUP(Proc[[#This Row],[App]],Table2[],3,0),"open")</f>
        <v>ok</v>
      </c>
      <c r="C2474" s="103" t="s">
        <v>369</v>
      </c>
      <c r="D2474" t="s">
        <v>4388</v>
      </c>
      <c r="E2474" t="s">
        <v>1830</v>
      </c>
      <c r="F2474" s="94" t="s">
        <v>4382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0</v>
      </c>
      <c r="K2474" s="94" t="str">
        <f>IF(Proc[[#This Row],[Author]]="Marcela Urrego",VLOOKUP(LEFT(Proc[[#This Row],[Requested]],1),Table3[#All],2,0),VLOOKUP(Proc[[#This Row],[Author]],Table4[],2,0))</f>
        <v>LS</v>
      </c>
      <c r="L2474" s="94"/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4340</v>
      </c>
      <c r="B2475" s="94" t="str">
        <f>IFERROR(VLOOKUP(Proc[[#This Row],[App]],Table2[],3,0),"open")</f>
        <v>ok</v>
      </c>
      <c r="C2475" s="103" t="s">
        <v>369</v>
      </c>
      <c r="D2475" t="s">
        <v>4389</v>
      </c>
      <c r="E2475" t="s">
        <v>1830</v>
      </c>
      <c r="F2475" s="94" t="s">
        <v>4382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0</v>
      </c>
      <c r="K2475" s="94" t="str">
        <f>IF(Proc[[#This Row],[Author]]="Marcela Urrego",VLOOKUP(LEFT(Proc[[#This Row],[Requested]],1),Table3[#All],2,0),VLOOKUP(Proc[[#This Row],[Author]],Table4[],2,0))</f>
        <v>LS</v>
      </c>
      <c r="L2475" s="94"/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4340</v>
      </c>
      <c r="B2476" s="94" t="str">
        <f>IFERROR(VLOOKUP(Proc[[#This Row],[App]],Table2[],3,0),"open")</f>
        <v>ok</v>
      </c>
      <c r="C2476" s="103" t="s">
        <v>369</v>
      </c>
      <c r="D2476" t="s">
        <v>4390</v>
      </c>
      <c r="E2476" t="s">
        <v>1830</v>
      </c>
      <c r="F2476" s="94" t="s">
        <v>4382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0</v>
      </c>
      <c r="K2476" s="94" t="str">
        <f>IF(Proc[[#This Row],[Author]]="Marcela Urrego",VLOOKUP(LEFT(Proc[[#This Row],[Requested]],1),Table3[#All],2,0),VLOOKUP(Proc[[#This Row],[Author]],Table4[],2,0))</f>
        <v>LS</v>
      </c>
      <c r="L2476" s="94"/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4340</v>
      </c>
      <c r="B2477" s="94" t="str">
        <f>IFERROR(VLOOKUP(Proc[[#This Row],[App]],Table2[],3,0),"open")</f>
        <v>ok</v>
      </c>
      <c r="C2477" s="103" t="s">
        <v>369</v>
      </c>
      <c r="D2477" t="s">
        <v>4391</v>
      </c>
      <c r="E2477" t="s">
        <v>4392</v>
      </c>
      <c r="F2477" s="94" t="s">
        <v>4393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0</v>
      </c>
      <c r="K2477" s="94" t="str">
        <f>IF(Proc[[#This Row],[Author]]="Marcela Urrego",VLOOKUP(LEFT(Proc[[#This Row],[Requested]],1),Table3[#All],2,0),VLOOKUP(Proc[[#This Row],[Author]],Table4[],2,0))</f>
        <v>LS</v>
      </c>
      <c r="L2477" s="94"/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4340</v>
      </c>
      <c r="B2478" s="94" t="str">
        <f>IFERROR(VLOOKUP(Proc[[#This Row],[App]],Table2[],3,0),"open")</f>
        <v>ok</v>
      </c>
      <c r="C2478" s="103" t="s">
        <v>369</v>
      </c>
      <c r="D2478" t="s">
        <v>4394</v>
      </c>
      <c r="E2478" t="s">
        <v>2370</v>
      </c>
      <c r="F2478" s="94" t="s">
        <v>4395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0</v>
      </c>
      <c r="K2478" s="94" t="str">
        <f>IF(Proc[[#This Row],[Author]]="Marcela Urrego",VLOOKUP(LEFT(Proc[[#This Row],[Requested]],1),Table3[#All],2,0),VLOOKUP(Proc[[#This Row],[Author]],Table4[],2,0))</f>
        <v>LS</v>
      </c>
      <c r="L2478" s="94"/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4340</v>
      </c>
      <c r="B2479" s="94" t="str">
        <f>IFERROR(VLOOKUP(Proc[[#This Row],[App]],Table2[],3,0),"open")</f>
        <v>ok</v>
      </c>
      <c r="C2479" s="103" t="s">
        <v>369</v>
      </c>
      <c r="D2479" t="s">
        <v>4396</v>
      </c>
      <c r="E2479" t="s">
        <v>4397</v>
      </c>
      <c r="F2479" s="94" t="s">
        <v>4398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0</v>
      </c>
      <c r="K2479" s="94" t="str">
        <f>IF(Proc[[#This Row],[Author]]="Marcela Urrego",VLOOKUP(LEFT(Proc[[#This Row],[Requested]],1),Table3[#All],2,0),VLOOKUP(Proc[[#This Row],[Author]],Table4[],2,0))</f>
        <v>LS</v>
      </c>
      <c r="L2479" s="94"/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4340</v>
      </c>
      <c r="B2480" s="94" t="str">
        <f>IFERROR(VLOOKUP(Proc[[#This Row],[App]],Table2[],3,0),"open")</f>
        <v>ok</v>
      </c>
      <c r="C2480" s="103" t="s">
        <v>369</v>
      </c>
      <c r="D2480" t="s">
        <v>4399</v>
      </c>
      <c r="E2480" t="s">
        <v>4400</v>
      </c>
      <c r="F2480" s="94" t="s">
        <v>4401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0</v>
      </c>
      <c r="K2480" s="94" t="str">
        <f>IF(Proc[[#This Row],[Author]]="Marcela Urrego",VLOOKUP(LEFT(Proc[[#This Row],[Requested]],1),Table3[#All],2,0),VLOOKUP(Proc[[#This Row],[Author]],Table4[],2,0))</f>
        <v>LS</v>
      </c>
      <c r="L2480" s="94"/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4340</v>
      </c>
      <c r="B2481" s="94" t="str">
        <f>IFERROR(VLOOKUP(Proc[[#This Row],[App]],Table2[],3,0),"open")</f>
        <v>ok</v>
      </c>
      <c r="C2481" s="103" t="s">
        <v>369</v>
      </c>
      <c r="D2481" t="s">
        <v>4402</v>
      </c>
      <c r="E2481" t="s">
        <v>4403</v>
      </c>
      <c r="F2481" s="94" t="s">
        <v>4401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0</v>
      </c>
      <c r="K2481" s="94" t="str">
        <f>IF(Proc[[#This Row],[Author]]="Marcela Urrego",VLOOKUP(LEFT(Proc[[#This Row],[Requested]],1),Table3[#All],2,0),VLOOKUP(Proc[[#This Row],[Author]],Table4[],2,0))</f>
        <v>LS</v>
      </c>
      <c r="L2481" s="94"/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4340</v>
      </c>
      <c r="B2482" s="94" t="str">
        <f>IFERROR(VLOOKUP(Proc[[#This Row],[App]],Table2[],3,0),"open")</f>
        <v>ok</v>
      </c>
      <c r="C2482" s="103" t="s">
        <v>369</v>
      </c>
      <c r="D2482" t="s">
        <v>4404</v>
      </c>
      <c r="E2482" t="s">
        <v>524</v>
      </c>
      <c r="F2482" s="94" t="s">
        <v>4405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0</v>
      </c>
      <c r="K2482" s="94" t="str">
        <f>IF(Proc[[#This Row],[Author]]="Marcela Urrego",VLOOKUP(LEFT(Proc[[#This Row],[Requested]],1),Table3[#All],2,0),VLOOKUP(Proc[[#This Row],[Author]],Table4[],2,0))</f>
        <v>LS</v>
      </c>
      <c r="L2482" s="94"/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4340</v>
      </c>
      <c r="B2483" s="94" t="str">
        <f>IFERROR(VLOOKUP(Proc[[#This Row],[App]],Table2[],3,0),"open")</f>
        <v>ok</v>
      </c>
      <c r="C2483" s="103" t="s">
        <v>369</v>
      </c>
      <c r="D2483" t="s">
        <v>4406</v>
      </c>
      <c r="E2483" t="s">
        <v>524</v>
      </c>
      <c r="F2483" s="94" t="s">
        <v>4405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0</v>
      </c>
      <c r="K2483" s="94" t="str">
        <f>IF(Proc[[#This Row],[Author]]="Marcela Urrego",VLOOKUP(LEFT(Proc[[#This Row],[Requested]],1),Table3[#All],2,0),VLOOKUP(Proc[[#This Row],[Author]],Table4[],2,0))</f>
        <v>LS</v>
      </c>
      <c r="L2483" s="94"/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4340</v>
      </c>
      <c r="B2484" s="94" t="str">
        <f>IFERROR(VLOOKUP(Proc[[#This Row],[App]],Table2[],3,0),"open")</f>
        <v>ok</v>
      </c>
      <c r="C2484" s="103" t="s">
        <v>369</v>
      </c>
      <c r="D2484" t="s">
        <v>4407</v>
      </c>
      <c r="E2484" t="s">
        <v>4408</v>
      </c>
      <c r="F2484" s="94" t="s">
        <v>4409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0</v>
      </c>
      <c r="K2484" s="94" t="str">
        <f>IF(Proc[[#This Row],[Author]]="Marcela Urrego",VLOOKUP(LEFT(Proc[[#This Row],[Requested]],1),Table3[#All],2,0),VLOOKUP(Proc[[#This Row],[Author]],Table4[],2,0))</f>
        <v>LS</v>
      </c>
      <c r="L2484" s="94"/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4340</v>
      </c>
      <c r="B2485" s="94" t="str">
        <f>IFERROR(VLOOKUP(Proc[[#This Row],[App]],Table2[],3,0),"open")</f>
        <v>ok</v>
      </c>
      <c r="C2485" s="103" t="s">
        <v>369</v>
      </c>
      <c r="D2485" t="s">
        <v>4410</v>
      </c>
      <c r="E2485" t="s">
        <v>3529</v>
      </c>
      <c r="F2485" s="94" t="s">
        <v>4411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0</v>
      </c>
      <c r="K2485" s="94" t="str">
        <f>IF(Proc[[#This Row],[Author]]="Marcela Urrego",VLOOKUP(LEFT(Proc[[#This Row],[Requested]],1),Table3[#All],2,0),VLOOKUP(Proc[[#This Row],[Author]],Table4[],2,0))</f>
        <v>LS</v>
      </c>
      <c r="L2485" s="94"/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4340</v>
      </c>
      <c r="B2486" s="94" t="str">
        <f>IFERROR(VLOOKUP(Proc[[#This Row],[App]],Table2[],3,0),"open")</f>
        <v>ok</v>
      </c>
      <c r="C2486" s="103" t="s">
        <v>369</v>
      </c>
      <c r="D2486" t="s">
        <v>4412</v>
      </c>
      <c r="E2486" t="s">
        <v>3529</v>
      </c>
      <c r="F2486" s="94" t="s">
        <v>4413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0</v>
      </c>
      <c r="K2486" s="94" t="str">
        <f>IF(Proc[[#This Row],[Author]]="Marcela Urrego",VLOOKUP(LEFT(Proc[[#This Row],[Requested]],1),Table3[#All],2,0),VLOOKUP(Proc[[#This Row],[Author]],Table4[],2,0))</f>
        <v>LS</v>
      </c>
      <c r="L2486" s="94"/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4340</v>
      </c>
      <c r="B2487" s="94" t="str">
        <f>IFERROR(VLOOKUP(Proc[[#This Row],[App]],Table2[],3,0),"open")</f>
        <v>ok</v>
      </c>
      <c r="C2487" s="103" t="s">
        <v>369</v>
      </c>
      <c r="D2487" t="s">
        <v>4414</v>
      </c>
      <c r="E2487" t="s">
        <v>4415</v>
      </c>
      <c r="F2487" s="94" t="s">
        <v>4413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0</v>
      </c>
      <c r="K2487" s="94" t="str">
        <f>IF(Proc[[#This Row],[Author]]="Marcela Urrego",VLOOKUP(LEFT(Proc[[#This Row],[Requested]],1),Table3[#All],2,0),VLOOKUP(Proc[[#This Row],[Author]],Table4[],2,0))</f>
        <v>LS</v>
      </c>
      <c r="L2487" s="94"/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4435</v>
      </c>
      <c r="B2488" s="94" t="str">
        <f>IFERROR(VLOOKUP(Proc[[#This Row],[App]],Table2[],3,0),"open")</f>
        <v>open</v>
      </c>
      <c r="C2488" t="s">
        <v>369</v>
      </c>
      <c r="D2488" t="s">
        <v>4416</v>
      </c>
      <c r="E2488" t="s">
        <v>4425</v>
      </c>
      <c r="F2488" s="94" t="s">
        <v>4428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4436</v>
      </c>
      <c r="J2488" s="94" t="b">
        <f>Proc[[#This Row],[Requested]]=Proc[[#This Row],[CurrentParent]]</f>
        <v>0</v>
      </c>
      <c r="K2488" s="94" t="str">
        <f>IF(Proc[[#This Row],[Author]]="Marcela Urrego",VLOOKUP(LEFT(Proc[[#This Row],[Requested]],1),Table3[#All],2,0),VLOOKUP(Proc[[#This Row],[Author]],Table4[],2,0))</f>
        <v>MGF</v>
      </c>
      <c r="L2488" s="94"/>
      <c r="M2488" s="109">
        <v>45839.516793981478</v>
      </c>
      <c r="N2488" s="109">
        <v>45841</v>
      </c>
      <c r="O2488" s="109">
        <v>45841</v>
      </c>
      <c r="P2488" s="110" t="str">
        <f ca="1">IF(Proc[[#This Row],[DaysAgeing]]&gt;5,"yep","on track")</f>
        <v>on track</v>
      </c>
      <c r="Q2488" s="3">
        <f ca="1">IF(Proc[[#This Row],[DateClosed]]="",ABS(NETWORKDAYS(Proc[[#This Row],[DateOpened]],TODAY()))-1,ABS(NETWORKDAYS(Proc[[#This Row],[DateOpened]],Proc[[#This Row],[DateClosed]]))-1)</f>
        <v>2</v>
      </c>
      <c r="R2488" s="110" t="s">
        <v>1459</v>
      </c>
      <c r="S2488" s="94"/>
    </row>
    <row r="2489" spans="1:19" hidden="1">
      <c r="A2489" s="103" t="s">
        <v>4435</v>
      </c>
      <c r="B2489" s="94" t="str">
        <f>IFERROR(VLOOKUP(Proc[[#This Row],[App]],Table2[],3,0),"open")</f>
        <v>open</v>
      </c>
      <c r="C2489" s="103" t="s">
        <v>375</v>
      </c>
      <c r="D2489" t="s">
        <v>2319</v>
      </c>
      <c r="E2489" t="s">
        <v>430</v>
      </c>
      <c r="F2489" s="94" t="s">
        <v>4429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4436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94"/>
      <c r="M2489" s="109">
        <v>45839.516793981478</v>
      </c>
      <c r="N2489" s="109"/>
      <c r="O2489" s="109"/>
      <c r="P2489" s="110" t="str">
        <f ca="1">IF(Proc[[#This Row],[DaysAgeing]]&gt;5,"yep","on track")</f>
        <v>on track</v>
      </c>
      <c r="Q2489" s="3">
        <f ca="1">IF(Proc[[#This Row],[DateClosed]]="",ABS(NETWORKDAYS(Proc[[#This Row],[DateOpened]],TODAY()))-1,ABS(NETWORKDAYS(Proc[[#This Row],[DateOpened]],Proc[[#This Row],[DateClosed]]))-1)</f>
        <v>3</v>
      </c>
      <c r="R2489" s="110" t="s">
        <v>1459</v>
      </c>
      <c r="S2489" s="94"/>
    </row>
    <row r="2490" spans="1:19" hidden="1">
      <c r="A2490" s="103" t="s">
        <v>4435</v>
      </c>
      <c r="B2490" s="94" t="str">
        <f>IFERROR(VLOOKUP(Proc[[#This Row],[App]],Table2[],3,0),"open")</f>
        <v>open</v>
      </c>
      <c r="C2490" s="103" t="s">
        <v>369</v>
      </c>
      <c r="D2490" t="s">
        <v>4417</v>
      </c>
      <c r="E2490" t="s">
        <v>4426</v>
      </c>
      <c r="F2490" s="94" t="s">
        <v>4428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4436</v>
      </c>
      <c r="J2490" s="94" t="b">
        <f>Proc[[#This Row],[Requested]]=Proc[[#This Row],[CurrentParent]]</f>
        <v>0</v>
      </c>
      <c r="K2490" s="94" t="str">
        <f>IF(Proc[[#This Row],[Author]]="Marcela Urrego",VLOOKUP(LEFT(Proc[[#This Row],[Requested]],1),Table3[#All],2,0),VLOOKUP(Proc[[#This Row],[Author]],Table4[],2,0))</f>
        <v>MGF</v>
      </c>
      <c r="L2490" s="94"/>
      <c r="M2490" s="109">
        <v>45839.516793981478</v>
      </c>
      <c r="N2490" s="109">
        <v>45841</v>
      </c>
      <c r="O2490" s="109">
        <v>45841</v>
      </c>
      <c r="P2490" s="110" t="str">
        <f ca="1">IF(Proc[[#This Row],[DaysAgeing]]&gt;5,"yep","on track")</f>
        <v>on track</v>
      </c>
      <c r="Q2490" s="3">
        <f ca="1">IF(Proc[[#This Row],[DateClosed]]="",ABS(NETWORKDAYS(Proc[[#This Row],[DateOpened]],TODAY()))-1,ABS(NETWORKDAYS(Proc[[#This Row],[DateOpened]],Proc[[#This Row],[DateClosed]]))-1)</f>
        <v>2</v>
      </c>
      <c r="R2490" s="110" t="s">
        <v>1459</v>
      </c>
      <c r="S2490" s="94"/>
    </row>
    <row r="2491" spans="1:19" hidden="1">
      <c r="A2491" s="103" t="s">
        <v>4435</v>
      </c>
      <c r="B2491" s="94" t="str">
        <f>IFERROR(VLOOKUP(Proc[[#This Row],[App]],Table2[],3,0),"open")</f>
        <v>open</v>
      </c>
      <c r="C2491" s="103" t="s">
        <v>369</v>
      </c>
      <c r="D2491" t="s">
        <v>4418</v>
      </c>
      <c r="E2491" t="s">
        <v>2616</v>
      </c>
      <c r="F2491" s="94" t="s">
        <v>427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4436</v>
      </c>
      <c r="J2491" s="94" t="b">
        <f>Proc[[#This Row],[Requested]]=Proc[[#This Row],[CurrentParent]]</f>
        <v>0</v>
      </c>
      <c r="K2491" s="94" t="str">
        <f>IF(Proc[[#This Row],[Author]]="Marcela Urrego",VLOOKUP(LEFT(Proc[[#This Row],[Requested]],1),Table3[#All],2,0),VLOOKUP(Proc[[#This Row],[Author]],Table4[],2,0))</f>
        <v>MGF</v>
      </c>
      <c r="L2491" s="94"/>
      <c r="M2491" s="109">
        <v>45839.516793981478</v>
      </c>
      <c r="N2491" s="109">
        <v>45841</v>
      </c>
      <c r="O2491" s="109">
        <v>45841</v>
      </c>
      <c r="P2491" s="110" t="str">
        <f ca="1">IF(Proc[[#This Row],[DaysAgeing]]&gt;5,"yep","on track")</f>
        <v>on track</v>
      </c>
      <c r="Q2491" s="3">
        <f ca="1">IF(Proc[[#This Row],[DateClosed]]="",ABS(NETWORKDAYS(Proc[[#This Row],[DateOpened]],TODAY()))-1,ABS(NETWORKDAYS(Proc[[#This Row],[DateOpened]],Proc[[#This Row],[DateClosed]]))-1)</f>
        <v>2</v>
      </c>
      <c r="R2491" s="110" t="s">
        <v>1459</v>
      </c>
      <c r="S2491" s="94"/>
    </row>
    <row r="2492" spans="1:19" hidden="1">
      <c r="A2492" s="103" t="s">
        <v>4435</v>
      </c>
      <c r="B2492" s="94" t="str">
        <f>IFERROR(VLOOKUP(Proc[[#This Row],[App]],Table2[],3,0),"open")</f>
        <v>open</v>
      </c>
      <c r="C2492" s="103" t="s">
        <v>369</v>
      </c>
      <c r="D2492" t="s">
        <v>4419</v>
      </c>
      <c r="E2492" t="s">
        <v>427</v>
      </c>
      <c r="F2492" s="94" t="s">
        <v>4430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0</v>
      </c>
      <c r="K2492" s="94" t="str">
        <f>IF(Proc[[#This Row],[Author]]="Marcela Urrego",VLOOKUP(LEFT(Proc[[#This Row],[Requested]],1),Table3[#All],2,0),VLOOKUP(Proc[[#This Row],[Author]],Table4[],2,0))</f>
        <v>MGF</v>
      </c>
      <c r="L2492" s="94"/>
      <c r="M2492" s="109">
        <v>45839.516793981478</v>
      </c>
      <c r="N2492" s="109">
        <v>45841</v>
      </c>
      <c r="O2492" s="109">
        <v>45841</v>
      </c>
      <c r="P2492" s="110" t="str">
        <f ca="1">IF(Proc[[#This Row],[DaysAgeing]]&gt;5,"yep","on track")</f>
        <v>on track</v>
      </c>
      <c r="Q2492" s="3">
        <f ca="1">IF(Proc[[#This Row],[DateClosed]]="",ABS(NETWORKDAYS(Proc[[#This Row],[DateOpened]],TODAY()))-1,ABS(NETWORKDAYS(Proc[[#This Row],[DateOpened]],Proc[[#This Row],[DateClosed]]))-1)</f>
        <v>2</v>
      </c>
      <c r="R2492" s="110" t="s">
        <v>1459</v>
      </c>
      <c r="S2492" s="94"/>
    </row>
    <row r="2493" spans="1:19" hidden="1">
      <c r="A2493" s="103" t="s">
        <v>4435</v>
      </c>
      <c r="B2493" s="94" t="str">
        <f>IFERROR(VLOOKUP(Proc[[#This Row],[App]],Table2[],3,0),"open")</f>
        <v>open</v>
      </c>
      <c r="C2493" s="103" t="s">
        <v>369</v>
      </c>
      <c r="D2493" t="s">
        <v>4420</v>
      </c>
      <c r="E2493" t="s">
        <v>4427</v>
      </c>
      <c r="F2493" s="94" t="s">
        <v>4431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0</v>
      </c>
      <c r="K2493" s="94" t="str">
        <f>IF(Proc[[#This Row],[Author]]="Marcela Urrego",VLOOKUP(LEFT(Proc[[#This Row],[Requested]],1),Table3[#All],2,0),VLOOKUP(Proc[[#This Row],[Author]],Table4[],2,0))</f>
        <v>MGF</v>
      </c>
      <c r="L2493" s="94"/>
      <c r="M2493" s="109">
        <v>45839.516793981478</v>
      </c>
      <c r="N2493" s="109">
        <v>45841</v>
      </c>
      <c r="O2493" s="109">
        <v>45841</v>
      </c>
      <c r="P2493" s="110" t="str">
        <f ca="1">IF(Proc[[#This Row],[DaysAgeing]]&gt;5,"yep","on track")</f>
        <v>on track</v>
      </c>
      <c r="Q2493" s="3">
        <f ca="1">IF(Proc[[#This Row],[DateClosed]]="",ABS(NETWORKDAYS(Proc[[#This Row],[DateOpened]],TODAY()))-1,ABS(NETWORKDAYS(Proc[[#This Row],[DateOpened]],Proc[[#This Row],[DateClosed]]))-1)</f>
        <v>2</v>
      </c>
      <c r="R2493" s="110" t="s">
        <v>1459</v>
      </c>
      <c r="S2493" s="94"/>
    </row>
    <row r="2494" spans="1:19" hidden="1">
      <c r="A2494" s="103" t="s">
        <v>4435</v>
      </c>
      <c r="B2494" s="94" t="str">
        <f>IFERROR(VLOOKUP(Proc[[#This Row],[App]],Table2[],3,0),"open")</f>
        <v>open</v>
      </c>
      <c r="C2494" s="103" t="s">
        <v>369</v>
      </c>
      <c r="D2494" t="s">
        <v>4421</v>
      </c>
      <c r="E2494" t="s">
        <v>427</v>
      </c>
      <c r="F2494" s="94" t="s">
        <v>4432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0</v>
      </c>
      <c r="K2494" s="94" t="str">
        <f>IF(Proc[[#This Row],[Author]]="Marcela Urrego",VLOOKUP(LEFT(Proc[[#This Row],[Requested]],1),Table3[#All],2,0),VLOOKUP(Proc[[#This Row],[Author]],Table4[],2,0))</f>
        <v>MGF</v>
      </c>
      <c r="L2494" s="94"/>
      <c r="M2494" s="109">
        <v>45839.516793981478</v>
      </c>
      <c r="N2494" s="109">
        <v>45841</v>
      </c>
      <c r="O2494" s="109">
        <v>45841</v>
      </c>
      <c r="P2494" s="110" t="str">
        <f ca="1">IF(Proc[[#This Row],[DaysAgeing]]&gt;5,"yep","on track")</f>
        <v>on track</v>
      </c>
      <c r="Q2494" s="3">
        <f ca="1">IF(Proc[[#This Row],[DateClosed]]="",ABS(NETWORKDAYS(Proc[[#This Row],[DateOpened]],TODAY()))-1,ABS(NETWORKDAYS(Proc[[#This Row],[DateOpened]],Proc[[#This Row],[DateClosed]]))-1)</f>
        <v>2</v>
      </c>
      <c r="R2494" s="110" t="s">
        <v>1459</v>
      </c>
      <c r="S2494" s="94"/>
    </row>
    <row r="2495" spans="1:19" hidden="1">
      <c r="A2495" s="103" t="s">
        <v>4435</v>
      </c>
      <c r="B2495" s="94" t="str">
        <f>IFERROR(VLOOKUP(Proc[[#This Row],[App]],Table2[],3,0),"open")</f>
        <v>open</v>
      </c>
      <c r="C2495" s="103" t="s">
        <v>369</v>
      </c>
      <c r="D2495" t="s">
        <v>4422</v>
      </c>
      <c r="E2495" t="s">
        <v>4427</v>
      </c>
      <c r="F2495" s="94" t="s">
        <v>4433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0</v>
      </c>
      <c r="K2495" s="94" t="str">
        <f>IF(Proc[[#This Row],[Author]]="Marcela Urrego",VLOOKUP(LEFT(Proc[[#This Row],[Requested]],1),Table3[#All],2,0),VLOOKUP(Proc[[#This Row],[Author]],Table4[],2,0))</f>
        <v>MGF</v>
      </c>
      <c r="L2495" s="94"/>
      <c r="M2495" s="109">
        <v>45839.516793981478</v>
      </c>
      <c r="N2495" s="109">
        <v>45841</v>
      </c>
      <c r="O2495" s="109">
        <v>45841</v>
      </c>
      <c r="P2495" s="110" t="str">
        <f ca="1">IF(Proc[[#This Row],[DaysAgeing]]&gt;5,"yep","on track")</f>
        <v>on track</v>
      </c>
      <c r="Q2495" s="3">
        <f ca="1">IF(Proc[[#This Row],[DateClosed]]="",ABS(NETWORKDAYS(Proc[[#This Row],[DateOpened]],TODAY()))-1,ABS(NETWORKDAYS(Proc[[#This Row],[DateOpened]],Proc[[#This Row],[DateClosed]]))-1)</f>
        <v>2</v>
      </c>
      <c r="R2495" s="110" t="s">
        <v>1459</v>
      </c>
      <c r="S2495" s="94"/>
    </row>
    <row r="2496" spans="1:19" hidden="1">
      <c r="A2496" s="103" t="s">
        <v>4435</v>
      </c>
      <c r="B2496" s="94" t="str">
        <f>IFERROR(VLOOKUP(Proc[[#This Row],[App]],Table2[],3,0),"open")</f>
        <v>open</v>
      </c>
      <c r="C2496" s="103" t="s">
        <v>369</v>
      </c>
      <c r="D2496" t="s">
        <v>4423</v>
      </c>
      <c r="E2496" t="s">
        <v>4427</v>
      </c>
      <c r="F2496" s="94" t="s">
        <v>4434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0</v>
      </c>
      <c r="K2496" s="94" t="str">
        <f>IF(Proc[[#This Row],[Author]]="Marcela Urrego",VLOOKUP(LEFT(Proc[[#This Row],[Requested]],1),Table3[#All],2,0),VLOOKUP(Proc[[#This Row],[Author]],Table4[],2,0))</f>
        <v>MGF</v>
      </c>
      <c r="L2496" s="94"/>
      <c r="M2496" s="109">
        <v>45839.516793981478</v>
      </c>
      <c r="N2496" s="109">
        <v>45841</v>
      </c>
      <c r="O2496" s="109">
        <v>45841</v>
      </c>
      <c r="P2496" s="110" t="str">
        <f ca="1">IF(Proc[[#This Row],[DaysAgeing]]&gt;5,"yep","on track")</f>
        <v>on track</v>
      </c>
      <c r="Q2496" s="3">
        <f ca="1">IF(Proc[[#This Row],[DateClosed]]="",ABS(NETWORKDAYS(Proc[[#This Row],[DateOpened]],TODAY()))-1,ABS(NETWORKDAYS(Proc[[#This Row],[DateOpened]],Proc[[#This Row],[DateClosed]]))-1)</f>
        <v>2</v>
      </c>
      <c r="R2496" s="110" t="s">
        <v>1459</v>
      </c>
      <c r="S2496" s="94"/>
    </row>
    <row r="2497" spans="1:19" hidden="1">
      <c r="A2497" s="103" t="s">
        <v>4435</v>
      </c>
      <c r="B2497" s="94" t="str">
        <f>IFERROR(VLOOKUP(Proc[[#This Row],[App]],Table2[],3,0),"open")</f>
        <v>open</v>
      </c>
      <c r="C2497" s="103" t="s">
        <v>369</v>
      </c>
      <c r="D2497" t="s">
        <v>4424</v>
      </c>
      <c r="E2497" t="s">
        <v>425</v>
      </c>
      <c r="F2497" s="94" t="s">
        <v>1458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0</v>
      </c>
      <c r="K2497" s="94" t="str">
        <f>IF(Proc[[#This Row],[Author]]="Marcela Urrego",VLOOKUP(LEFT(Proc[[#This Row],[Requested]],1),Table3[#All],2,0),VLOOKUP(Proc[[#This Row],[Author]],Table4[],2,0))</f>
        <v>MGF</v>
      </c>
      <c r="L2497" s="94"/>
      <c r="M2497" s="109">
        <v>45839.516793981478</v>
      </c>
      <c r="N2497" s="109">
        <v>45841</v>
      </c>
      <c r="O2497" s="109">
        <v>45841</v>
      </c>
      <c r="P2497" s="110" t="str">
        <f ca="1">IF(Proc[[#This Row],[DaysAgeing]]&gt;5,"yep","on track")</f>
        <v>on track</v>
      </c>
      <c r="Q2497" s="3">
        <f ca="1">IF(Proc[[#This Row],[DateClosed]]="",ABS(NETWORKDAYS(Proc[[#This Row],[DateOpened]],TODAY()))-1,ABS(NETWORKDAYS(Proc[[#This Row],[DateOpened]],Proc[[#This Row],[DateClosed]]))-1)</f>
        <v>2</v>
      </c>
      <c r="R2497" s="110" t="s">
        <v>1459</v>
      </c>
      <c r="S2497" s="94"/>
    </row>
    <row r="2498" spans="1:19" hidden="1">
      <c r="A2498" s="103" t="s">
        <v>4435</v>
      </c>
      <c r="B2498" s="94" t="str">
        <f>IFERROR(VLOOKUP(Proc[[#This Row],[App]],Table2[],3,0),"open")</f>
        <v>open</v>
      </c>
      <c r="C2498" s="103" t="s">
        <v>369</v>
      </c>
      <c r="D2498" t="s">
        <v>2609</v>
      </c>
      <c r="E2498" t="s">
        <v>2616</v>
      </c>
      <c r="F2498" s="94" t="s">
        <v>427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0</v>
      </c>
      <c r="K2498" s="94" t="str">
        <f>IF(Proc[[#This Row],[Author]]="Marcela Urrego",VLOOKUP(LEFT(Proc[[#This Row],[Requested]],1),Table3[#All],2,0),VLOOKUP(Proc[[#This Row],[Author]],Table4[],2,0))</f>
        <v>MGF</v>
      </c>
      <c r="L2498" s="94"/>
      <c r="M2498" s="109">
        <v>45839.516793981478</v>
      </c>
      <c r="N2498" s="109">
        <v>45841</v>
      </c>
      <c r="O2498" s="109">
        <v>45841</v>
      </c>
      <c r="P2498" s="110" t="str">
        <f ca="1">IF(Proc[[#This Row],[DaysAgeing]]&gt;5,"yep","on track")</f>
        <v>on track</v>
      </c>
      <c r="Q2498" s="3">
        <f ca="1">IF(Proc[[#This Row],[DateClosed]]="",ABS(NETWORKDAYS(Proc[[#This Row],[DateOpened]],TODAY()))-1,ABS(NETWORKDAYS(Proc[[#This Row],[DateOpened]],Proc[[#This Row],[DateClosed]]))-1)</f>
        <v>2</v>
      </c>
      <c r="R2498" s="110" t="s">
        <v>1459</v>
      </c>
      <c r="S2498" s="94"/>
    </row>
    <row r="2499" spans="1:19" hidden="1">
      <c r="A2499" t="s">
        <v>4438</v>
      </c>
      <c r="B2499" s="94" t="str">
        <f>IFERROR(VLOOKUP(Proc[[#This Row],[App]],Table2[],3,0),"open")</f>
        <v>ok</v>
      </c>
      <c r="C2499" s="103" t="s">
        <v>369</v>
      </c>
      <c r="D2499" t="s">
        <v>4437</v>
      </c>
      <c r="E2499" t="s">
        <v>2522</v>
      </c>
      <c r="F2499" s="94"/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0</v>
      </c>
      <c r="K2499" s="94" t="str">
        <f>IF(Proc[[#This Row],[Author]]="Marcela Urrego",VLOOKUP(LEFT(Proc[[#This Row],[Requested]],1),Table3[#All],2,0),VLOOKUP(Proc[[#This Row],[Author]],Table4[],2,0))</f>
        <v>HC</v>
      </c>
      <c r="L2499" s="94"/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4439</v>
      </c>
      <c r="S2499" s="94"/>
    </row>
    <row r="2500" spans="1:19" hidden="1">
      <c r="A2500" t="s">
        <v>4443</v>
      </c>
      <c r="B2500" s="94" t="str">
        <f>IFERROR(VLOOKUP(Proc[[#This Row],[App]],Table2[],3,0),"open")</f>
        <v>open</v>
      </c>
      <c r="C2500" s="103" t="s">
        <v>370</v>
      </c>
      <c r="D2500" t="s">
        <v>4440</v>
      </c>
      <c r="E2500" t="s">
        <v>4441</v>
      </c>
      <c r="F2500" s="94" t="s">
        <v>4442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0</v>
      </c>
      <c r="K2500" s="94" t="str">
        <f>IF(Proc[[#This Row],[Author]]="Marcela Urrego",VLOOKUP(LEFT(Proc[[#This Row],[Requested]],1),Table3[#All],2,0),VLOOKUP(Proc[[#This Row],[Author]],Table4[],2,0))</f>
        <v>LS</v>
      </c>
      <c r="L2500" s="94"/>
      <c r="M2500" s="109">
        <v>45841.242280092592</v>
      </c>
      <c r="N2500" s="109"/>
      <c r="O2500" s="109"/>
      <c r="P2500" s="110" t="str">
        <f ca="1">IF(Proc[[#This Row],[DaysAgeing]]&gt;5,"yep","on track")</f>
        <v>on track</v>
      </c>
      <c r="Q2500" s="3">
        <f ca="1">IF(Proc[[#This Row],[DateClosed]]="",ABS(NETWORKDAYS(Proc[[#This Row],[DateOpened]],TODAY()))-1,ABS(NETWORKDAYS(Proc[[#This Row],[DateOpened]],Proc[[#This Row],[DateClosed]]))-1)</f>
        <v>1</v>
      </c>
      <c r="R2500" s="110" t="s">
        <v>489</v>
      </c>
      <c r="S2500" s="94"/>
    </row>
    <row r="2501" spans="1:19" hidden="1">
      <c r="A2501" t="s">
        <v>4445</v>
      </c>
      <c r="B2501" s="94" t="str">
        <f>IFERROR(VLOOKUP(Proc[[#This Row],[App]],Table2[],3,0),"open")</f>
        <v>open</v>
      </c>
      <c r="C2501" s="103" t="s">
        <v>370</v>
      </c>
      <c r="D2501" t="s">
        <v>4444</v>
      </c>
      <c r="E2501" t="s">
        <v>4446</v>
      </c>
      <c r="F2501" s="94" t="s">
        <v>4447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0</v>
      </c>
      <c r="K2501" s="94" t="str">
        <f>IF(Proc[[#This Row],[Author]]="Marcela Urrego",VLOOKUP(LEFT(Proc[[#This Row],[Requested]],1),Table3[#All],2,0),VLOOKUP(Proc[[#This Row],[Author]],Table4[],2,0))</f>
        <v>LS</v>
      </c>
      <c r="L2501" s="94"/>
      <c r="M2501" s="109">
        <v>45841.224687499998</v>
      </c>
      <c r="N2501" s="109"/>
      <c r="O2501" s="109"/>
      <c r="P2501" s="110" t="str">
        <f ca="1">IF(Proc[[#This Row],[DaysAgeing]]&gt;5,"yep","on track")</f>
        <v>on track</v>
      </c>
      <c r="Q2501" s="3">
        <f ca="1">IF(Proc[[#This Row],[DateClosed]]="",ABS(NETWORKDAYS(Proc[[#This Row],[DateOpened]],TODAY()))-1,ABS(NETWORKDAYS(Proc[[#This Row],[DateOpened]],Proc[[#This Row],[DateClosed]]))-1)</f>
        <v>1</v>
      </c>
      <c r="R2501" s="110" t="s">
        <v>489</v>
      </c>
      <c r="S2501" s="94"/>
    </row>
    <row r="2502" spans="1:19">
      <c r="A2502" t="s">
        <v>4448</v>
      </c>
      <c r="B2502" s="94" t="str">
        <f>IFERROR(VLOOKUP(Proc[[#This Row],[App]],Table2[],3,0),"open")</f>
        <v>open</v>
      </c>
      <c r="C2502" s="103" t="s">
        <v>375</v>
      </c>
      <c r="D2502" t="s">
        <v>4449</v>
      </c>
      <c r="E2502" t="s">
        <v>4760</v>
      </c>
      <c r="F2502" s="94" t="s">
        <v>4781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4873</v>
      </c>
      <c r="J2502" s="94" t="b">
        <f>Proc[[#This Row],[Requested]]=Proc[[#This Row],[CurrentParent]]</f>
        <v>0</v>
      </c>
      <c r="K2502" s="94" t="str">
        <f>IF(Proc[[#This Row],[Author]]="Marcela Urrego",VLOOKUP(LEFT(Proc[[#This Row],[Requested]],1),Table3[#All],2,0),VLOOKUP(Proc[[#This Row],[Author]],Table4[],2,0))</f>
        <v>MGF</v>
      </c>
      <c r="L2502" s="94"/>
      <c r="M2502" s="109">
        <v>45841.453541666669</v>
      </c>
      <c r="N2502" s="109"/>
      <c r="O2502" s="109"/>
      <c r="P2502" s="110" t="str">
        <f ca="1">IF(Proc[[#This Row],[DaysAgeing]]&gt;5,"yep","on track")</f>
        <v>on track</v>
      </c>
      <c r="Q2502" s="3">
        <f ca="1">IF(Proc[[#This Row],[DateClosed]]="",ABS(NETWORKDAYS(Proc[[#This Row],[DateOpened]],TODAY()))-1,ABS(NETWORKDAYS(Proc[[#This Row],[DateOpened]],Proc[[#This Row],[DateClosed]]))-1)</f>
        <v>1</v>
      </c>
      <c r="R2502" s="110" t="s">
        <v>485</v>
      </c>
      <c r="S2502" s="94"/>
    </row>
    <row r="2503" spans="1:19">
      <c r="A2503" s="103" t="s">
        <v>4448</v>
      </c>
      <c r="B2503" s="94" t="str">
        <f>IFERROR(VLOOKUP(Proc[[#This Row],[App]],Table2[],3,0),"open")</f>
        <v>open</v>
      </c>
      <c r="C2503" s="103" t="s">
        <v>375</v>
      </c>
      <c r="D2503" t="s">
        <v>4450</v>
      </c>
      <c r="E2503" t="s">
        <v>4760</v>
      </c>
      <c r="F2503" s="94" t="s">
        <v>4782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4873</v>
      </c>
      <c r="J2503" s="94" t="b">
        <f>Proc[[#This Row],[Requested]]=Proc[[#This Row],[CurrentParent]]</f>
        <v>0</v>
      </c>
      <c r="K2503" s="94" t="str">
        <f>IF(Proc[[#This Row],[Author]]="Marcela Urrego",VLOOKUP(LEFT(Proc[[#This Row],[Requested]],1),Table3[#All],2,0),VLOOKUP(Proc[[#This Row],[Author]],Table4[],2,0))</f>
        <v>MGF</v>
      </c>
      <c r="L2503" s="94"/>
      <c r="M2503" s="109">
        <v>45841.453541666669</v>
      </c>
      <c r="N2503" s="109"/>
      <c r="O2503" s="109"/>
      <c r="P2503" s="110" t="str">
        <f ca="1">IF(Proc[[#This Row],[DaysAgeing]]&gt;5,"yep","on track")</f>
        <v>on track</v>
      </c>
      <c r="Q2503" s="3">
        <f ca="1">IF(Proc[[#This Row],[DateClosed]]="",ABS(NETWORKDAYS(Proc[[#This Row],[DateOpened]],TODAY()))-1,ABS(NETWORKDAYS(Proc[[#This Row],[DateOpened]],Proc[[#This Row],[DateClosed]]))-1)</f>
        <v>1</v>
      </c>
      <c r="R2503" s="110" t="s">
        <v>485</v>
      </c>
      <c r="S2503" s="94"/>
    </row>
    <row r="2504" spans="1:19">
      <c r="A2504" s="103" t="s">
        <v>4448</v>
      </c>
      <c r="B2504" s="94" t="str">
        <f>IFERROR(VLOOKUP(Proc[[#This Row],[App]],Table2[],3,0),"open")</f>
        <v>open</v>
      </c>
      <c r="C2504" s="103" t="s">
        <v>375</v>
      </c>
      <c r="D2504" t="s">
        <v>4451</v>
      </c>
      <c r="E2504" t="s">
        <v>4761</v>
      </c>
      <c r="F2504" s="94" t="s">
        <v>4783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4873</v>
      </c>
      <c r="J2504" s="94" t="b">
        <f>Proc[[#This Row],[Requested]]=Proc[[#This Row],[CurrentParent]]</f>
        <v>0</v>
      </c>
      <c r="K2504" s="94" t="str">
        <f>IF(Proc[[#This Row],[Author]]="Marcela Urrego",VLOOKUP(LEFT(Proc[[#This Row],[Requested]],1),Table3[#All],2,0),VLOOKUP(Proc[[#This Row],[Author]],Table4[],2,0))</f>
        <v>MGF</v>
      </c>
      <c r="L2504" s="94"/>
      <c r="M2504" s="109">
        <v>45841.453541666669</v>
      </c>
      <c r="N2504" s="109"/>
      <c r="O2504" s="109"/>
      <c r="P2504" s="110" t="str">
        <f ca="1">IF(Proc[[#This Row],[DaysAgeing]]&gt;5,"yep","on track")</f>
        <v>on track</v>
      </c>
      <c r="Q2504" s="3">
        <f ca="1">IF(Proc[[#This Row],[DateClosed]]="",ABS(NETWORKDAYS(Proc[[#This Row],[DateOpened]],TODAY()))-1,ABS(NETWORKDAYS(Proc[[#This Row],[DateOpened]],Proc[[#This Row],[DateClosed]]))-1)</f>
        <v>1</v>
      </c>
      <c r="R2504" s="110" t="s">
        <v>485</v>
      </c>
      <c r="S2504" s="94"/>
    </row>
    <row r="2505" spans="1:19">
      <c r="A2505" s="103" t="s">
        <v>4448</v>
      </c>
      <c r="B2505" s="94" t="str">
        <f>IFERROR(VLOOKUP(Proc[[#This Row],[App]],Table2[],3,0),"open")</f>
        <v>open</v>
      </c>
      <c r="C2505" s="103" t="s">
        <v>375</v>
      </c>
      <c r="D2505" t="s">
        <v>4452</v>
      </c>
      <c r="E2505" t="s">
        <v>4761</v>
      </c>
      <c r="F2505" s="94" t="s">
        <v>4783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4873</v>
      </c>
      <c r="J2505" s="94" t="b">
        <f>Proc[[#This Row],[Requested]]=Proc[[#This Row],[CurrentParent]]</f>
        <v>0</v>
      </c>
      <c r="K2505" s="94" t="str">
        <f>IF(Proc[[#This Row],[Author]]="Marcela Urrego",VLOOKUP(LEFT(Proc[[#This Row],[Requested]],1),Table3[#All],2,0),VLOOKUP(Proc[[#This Row],[Author]],Table4[],2,0))</f>
        <v>MGF</v>
      </c>
      <c r="L2505" s="94"/>
      <c r="M2505" s="109">
        <v>45841.453541666669</v>
      </c>
      <c r="N2505" s="109"/>
      <c r="O2505" s="109"/>
      <c r="P2505" s="110" t="str">
        <f ca="1">IF(Proc[[#This Row],[DaysAgeing]]&gt;5,"yep","on track")</f>
        <v>on track</v>
      </c>
      <c r="Q2505" s="3">
        <f ca="1">IF(Proc[[#This Row],[DateClosed]]="",ABS(NETWORKDAYS(Proc[[#This Row],[DateOpened]],TODAY()))-1,ABS(NETWORKDAYS(Proc[[#This Row],[DateOpened]],Proc[[#This Row],[DateClosed]]))-1)</f>
        <v>1</v>
      </c>
      <c r="R2505" s="110" t="s">
        <v>485</v>
      </c>
      <c r="S2505" s="94"/>
    </row>
    <row r="2506" spans="1:19">
      <c r="A2506" s="103" t="s">
        <v>4448</v>
      </c>
      <c r="B2506" s="94" t="str">
        <f>IFERROR(VLOOKUP(Proc[[#This Row],[App]],Table2[],3,0),"open")</f>
        <v>open</v>
      </c>
      <c r="C2506" s="103" t="s">
        <v>375</v>
      </c>
      <c r="D2506" t="s">
        <v>4453</v>
      </c>
      <c r="E2506" t="s">
        <v>4761</v>
      </c>
      <c r="F2506" s="94" t="s">
        <v>4783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4873</v>
      </c>
      <c r="J2506" s="94" t="b">
        <f>Proc[[#This Row],[Requested]]=Proc[[#This Row],[CurrentParent]]</f>
        <v>0</v>
      </c>
      <c r="K2506" s="94" t="str">
        <f>IF(Proc[[#This Row],[Author]]="Marcela Urrego",VLOOKUP(LEFT(Proc[[#This Row],[Requested]],1),Table3[#All],2,0),VLOOKUP(Proc[[#This Row],[Author]],Table4[],2,0))</f>
        <v>MGF</v>
      </c>
      <c r="L2506" s="94"/>
      <c r="M2506" s="109">
        <v>45841.453541666669</v>
      </c>
      <c r="N2506" s="109"/>
      <c r="O2506" s="109"/>
      <c r="P2506" s="110" t="str">
        <f ca="1">IF(Proc[[#This Row],[DaysAgeing]]&gt;5,"yep","on track")</f>
        <v>on track</v>
      </c>
      <c r="Q2506" s="3">
        <f ca="1">IF(Proc[[#This Row],[DateClosed]]="",ABS(NETWORKDAYS(Proc[[#This Row],[DateOpened]],TODAY()))-1,ABS(NETWORKDAYS(Proc[[#This Row],[DateOpened]],Proc[[#This Row],[DateClosed]]))-1)</f>
        <v>1</v>
      </c>
      <c r="R2506" s="110" t="s">
        <v>485</v>
      </c>
      <c r="S2506" s="94"/>
    </row>
    <row r="2507" spans="1:19">
      <c r="A2507" s="103" t="s">
        <v>4448</v>
      </c>
      <c r="B2507" s="94" t="str">
        <f>IFERROR(VLOOKUP(Proc[[#This Row],[App]],Table2[],3,0),"open")</f>
        <v>open</v>
      </c>
      <c r="C2507" s="103" t="s">
        <v>375</v>
      </c>
      <c r="D2507" t="s">
        <v>4454</v>
      </c>
      <c r="E2507" t="s">
        <v>4762</v>
      </c>
      <c r="F2507" s="94" t="s">
        <v>4784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4873</v>
      </c>
      <c r="J2507" s="94" t="b">
        <f>Proc[[#This Row],[Requested]]=Proc[[#This Row],[CurrentParent]]</f>
        <v>0</v>
      </c>
      <c r="K2507" s="94" t="str">
        <f>IF(Proc[[#This Row],[Author]]="Marcela Urrego",VLOOKUP(LEFT(Proc[[#This Row],[Requested]],1),Table3[#All],2,0),VLOOKUP(Proc[[#This Row],[Author]],Table4[],2,0))</f>
        <v>MGF</v>
      </c>
      <c r="L2507" s="94"/>
      <c r="M2507" s="109">
        <v>45841.453541666669</v>
      </c>
      <c r="N2507" s="109"/>
      <c r="O2507" s="109"/>
      <c r="P2507" s="110" t="str">
        <f ca="1">IF(Proc[[#This Row],[DaysAgeing]]&gt;5,"yep","on track")</f>
        <v>on track</v>
      </c>
      <c r="Q2507" s="3">
        <f ca="1">IF(Proc[[#This Row],[DateClosed]]="",ABS(NETWORKDAYS(Proc[[#This Row],[DateOpened]],TODAY()))-1,ABS(NETWORKDAYS(Proc[[#This Row],[DateOpened]],Proc[[#This Row],[DateClosed]]))-1)</f>
        <v>1</v>
      </c>
      <c r="R2507" s="110" t="s">
        <v>485</v>
      </c>
      <c r="S2507" s="94"/>
    </row>
    <row r="2508" spans="1:19">
      <c r="A2508" s="103" t="s">
        <v>4448</v>
      </c>
      <c r="B2508" s="94" t="str">
        <f>IFERROR(VLOOKUP(Proc[[#This Row],[App]],Table2[],3,0),"open")</f>
        <v>open</v>
      </c>
      <c r="C2508" s="103" t="s">
        <v>375</v>
      </c>
      <c r="D2508" t="s">
        <v>4455</v>
      </c>
      <c r="E2508" t="s">
        <v>4762</v>
      </c>
      <c r="F2508" s="94" t="s">
        <v>4784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4873</v>
      </c>
      <c r="J2508" s="94" t="b">
        <f>Proc[[#This Row],[Requested]]=Proc[[#This Row],[CurrentParent]]</f>
        <v>0</v>
      </c>
      <c r="K2508" s="94" t="str">
        <f>IF(Proc[[#This Row],[Author]]="Marcela Urrego",VLOOKUP(LEFT(Proc[[#This Row],[Requested]],1),Table3[#All],2,0),VLOOKUP(Proc[[#This Row],[Author]],Table4[],2,0))</f>
        <v>MGF</v>
      </c>
      <c r="L2508" s="94"/>
      <c r="M2508" s="109">
        <v>45841.453541666669</v>
      </c>
      <c r="N2508" s="109"/>
      <c r="O2508" s="109"/>
      <c r="P2508" s="110" t="str">
        <f ca="1">IF(Proc[[#This Row],[DaysAgeing]]&gt;5,"yep","on track")</f>
        <v>on track</v>
      </c>
      <c r="Q2508" s="3">
        <f ca="1">IF(Proc[[#This Row],[DateClosed]]="",ABS(NETWORKDAYS(Proc[[#This Row],[DateOpened]],TODAY()))-1,ABS(NETWORKDAYS(Proc[[#This Row],[DateOpened]],Proc[[#This Row],[DateClosed]]))-1)</f>
        <v>1</v>
      </c>
      <c r="R2508" s="110" t="s">
        <v>485</v>
      </c>
      <c r="S2508" s="94"/>
    </row>
    <row r="2509" spans="1:19">
      <c r="A2509" s="103" t="s">
        <v>4448</v>
      </c>
      <c r="B2509" s="94" t="str">
        <f>IFERROR(VLOOKUP(Proc[[#This Row],[App]],Table2[],3,0),"open")</f>
        <v>open</v>
      </c>
      <c r="C2509" s="103" t="s">
        <v>375</v>
      </c>
      <c r="D2509" t="s">
        <v>4456</v>
      </c>
      <c r="E2509" t="s">
        <v>4762</v>
      </c>
      <c r="F2509" s="94" t="s">
        <v>4784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4873</v>
      </c>
      <c r="J2509" s="94" t="b">
        <f>Proc[[#This Row],[Requested]]=Proc[[#This Row],[CurrentParent]]</f>
        <v>0</v>
      </c>
      <c r="K2509" s="94" t="str">
        <f>IF(Proc[[#This Row],[Author]]="Marcela Urrego",VLOOKUP(LEFT(Proc[[#This Row],[Requested]],1),Table3[#All],2,0),VLOOKUP(Proc[[#This Row],[Author]],Table4[],2,0))</f>
        <v>MGF</v>
      </c>
      <c r="L2509" s="94"/>
      <c r="M2509" s="109">
        <v>45841.453541666669</v>
      </c>
      <c r="N2509" s="109"/>
      <c r="O2509" s="109"/>
      <c r="P2509" s="110" t="str">
        <f ca="1">IF(Proc[[#This Row],[DaysAgeing]]&gt;5,"yep","on track")</f>
        <v>on track</v>
      </c>
      <c r="Q2509" s="3">
        <f ca="1">IF(Proc[[#This Row],[DateClosed]]="",ABS(NETWORKDAYS(Proc[[#This Row],[DateOpened]],TODAY()))-1,ABS(NETWORKDAYS(Proc[[#This Row],[DateOpened]],Proc[[#This Row],[DateClosed]]))-1)</f>
        <v>1</v>
      </c>
      <c r="R2509" s="110" t="s">
        <v>485</v>
      </c>
      <c r="S2509" s="94"/>
    </row>
    <row r="2510" spans="1:19">
      <c r="A2510" s="103" t="s">
        <v>4448</v>
      </c>
      <c r="B2510" s="94" t="str">
        <f>IFERROR(VLOOKUP(Proc[[#This Row],[App]],Table2[],3,0),"open")</f>
        <v>open</v>
      </c>
      <c r="C2510" s="103" t="s">
        <v>375</v>
      </c>
      <c r="D2510" t="s">
        <v>4457</v>
      </c>
      <c r="E2510" t="s">
        <v>4762</v>
      </c>
      <c r="F2510" s="94" t="s">
        <v>4784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4873</v>
      </c>
      <c r="J2510" s="94" t="b">
        <f>Proc[[#This Row],[Requested]]=Proc[[#This Row],[CurrentParent]]</f>
        <v>0</v>
      </c>
      <c r="K2510" s="94" t="str">
        <f>IF(Proc[[#This Row],[Author]]="Marcela Urrego",VLOOKUP(LEFT(Proc[[#This Row],[Requested]],1),Table3[#All],2,0),VLOOKUP(Proc[[#This Row],[Author]],Table4[],2,0))</f>
        <v>MGF</v>
      </c>
      <c r="L2510" s="94"/>
      <c r="M2510" s="109">
        <v>45841.453541666669</v>
      </c>
      <c r="N2510" s="109"/>
      <c r="O2510" s="109"/>
      <c r="P2510" s="110" t="str">
        <f ca="1">IF(Proc[[#This Row],[DaysAgeing]]&gt;5,"yep","on track")</f>
        <v>on track</v>
      </c>
      <c r="Q2510" s="3">
        <f ca="1">IF(Proc[[#This Row],[DateClosed]]="",ABS(NETWORKDAYS(Proc[[#This Row],[DateOpened]],TODAY()))-1,ABS(NETWORKDAYS(Proc[[#This Row],[DateOpened]],Proc[[#This Row],[DateClosed]]))-1)</f>
        <v>1</v>
      </c>
      <c r="R2510" s="110" t="s">
        <v>485</v>
      </c>
      <c r="S2510" s="94"/>
    </row>
    <row r="2511" spans="1:19">
      <c r="A2511" s="103" t="s">
        <v>4448</v>
      </c>
      <c r="B2511" s="94" t="str">
        <f>IFERROR(VLOOKUP(Proc[[#This Row],[App]],Table2[],3,0),"open")</f>
        <v>open</v>
      </c>
      <c r="C2511" s="103" t="s">
        <v>375</v>
      </c>
      <c r="D2511" t="s">
        <v>4458</v>
      </c>
      <c r="E2511" t="s">
        <v>4762</v>
      </c>
      <c r="F2511" s="94" t="s">
        <v>4784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4873</v>
      </c>
      <c r="J2511" s="94" t="b">
        <f>Proc[[#This Row],[Requested]]=Proc[[#This Row],[CurrentParent]]</f>
        <v>0</v>
      </c>
      <c r="K2511" s="94" t="str">
        <f>IF(Proc[[#This Row],[Author]]="Marcela Urrego",VLOOKUP(LEFT(Proc[[#This Row],[Requested]],1),Table3[#All],2,0),VLOOKUP(Proc[[#This Row],[Author]],Table4[],2,0))</f>
        <v>MGF</v>
      </c>
      <c r="L2511" s="94"/>
      <c r="M2511" s="109">
        <v>45841.453541666669</v>
      </c>
      <c r="N2511" s="109"/>
      <c r="O2511" s="109"/>
      <c r="P2511" s="110" t="str">
        <f ca="1">IF(Proc[[#This Row],[DaysAgeing]]&gt;5,"yep","on track")</f>
        <v>on track</v>
      </c>
      <c r="Q2511" s="3">
        <f ca="1">IF(Proc[[#This Row],[DateClosed]]="",ABS(NETWORKDAYS(Proc[[#This Row],[DateOpened]],TODAY()))-1,ABS(NETWORKDAYS(Proc[[#This Row],[DateOpened]],Proc[[#This Row],[DateClosed]]))-1)</f>
        <v>1</v>
      </c>
      <c r="R2511" s="110" t="s">
        <v>485</v>
      </c>
      <c r="S2511" s="94"/>
    </row>
    <row r="2512" spans="1:19">
      <c r="A2512" s="103" t="s">
        <v>4448</v>
      </c>
      <c r="B2512" s="94" t="str">
        <f>IFERROR(VLOOKUP(Proc[[#This Row],[App]],Table2[],3,0),"open")</f>
        <v>open</v>
      </c>
      <c r="C2512" s="103" t="s">
        <v>375</v>
      </c>
      <c r="D2512" t="s">
        <v>4459</v>
      </c>
      <c r="E2512" t="s">
        <v>4762</v>
      </c>
      <c r="F2512" s="94" t="s">
        <v>4784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4873</v>
      </c>
      <c r="J2512" s="94" t="b">
        <f>Proc[[#This Row],[Requested]]=Proc[[#This Row],[CurrentParent]]</f>
        <v>0</v>
      </c>
      <c r="K2512" s="94" t="str">
        <f>IF(Proc[[#This Row],[Author]]="Marcela Urrego",VLOOKUP(LEFT(Proc[[#This Row],[Requested]],1),Table3[#All],2,0),VLOOKUP(Proc[[#This Row],[Author]],Table4[],2,0))</f>
        <v>MGF</v>
      </c>
      <c r="L2512" s="94"/>
      <c r="M2512" s="109">
        <v>45841.453541666669</v>
      </c>
      <c r="N2512" s="109"/>
      <c r="O2512" s="109"/>
      <c r="P2512" s="110" t="str">
        <f ca="1">IF(Proc[[#This Row],[DaysAgeing]]&gt;5,"yep","on track")</f>
        <v>on track</v>
      </c>
      <c r="Q2512" s="3">
        <f ca="1">IF(Proc[[#This Row],[DateClosed]]="",ABS(NETWORKDAYS(Proc[[#This Row],[DateOpened]],TODAY()))-1,ABS(NETWORKDAYS(Proc[[#This Row],[DateOpened]],Proc[[#This Row],[DateClosed]]))-1)</f>
        <v>1</v>
      </c>
      <c r="R2512" s="110" t="s">
        <v>485</v>
      </c>
      <c r="S2512" s="94"/>
    </row>
    <row r="2513" spans="1:19">
      <c r="A2513" s="103" t="s">
        <v>4448</v>
      </c>
      <c r="B2513" s="94" t="str">
        <f>IFERROR(VLOOKUP(Proc[[#This Row],[App]],Table2[],3,0),"open")</f>
        <v>open</v>
      </c>
      <c r="C2513" s="103" t="s">
        <v>375</v>
      </c>
      <c r="D2513" t="s">
        <v>4460</v>
      </c>
      <c r="E2513" t="s">
        <v>4762</v>
      </c>
      <c r="F2513" s="94" t="s">
        <v>4784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4873</v>
      </c>
      <c r="J2513" s="94" t="b">
        <f>Proc[[#This Row],[Requested]]=Proc[[#This Row],[CurrentParent]]</f>
        <v>0</v>
      </c>
      <c r="K2513" s="94" t="str">
        <f>IF(Proc[[#This Row],[Author]]="Marcela Urrego",VLOOKUP(LEFT(Proc[[#This Row],[Requested]],1),Table3[#All],2,0),VLOOKUP(Proc[[#This Row],[Author]],Table4[],2,0))</f>
        <v>MGF</v>
      </c>
      <c r="L2513" s="94"/>
      <c r="M2513" s="109">
        <v>45841.453541666669</v>
      </c>
      <c r="N2513" s="109"/>
      <c r="O2513" s="109"/>
      <c r="P2513" s="110" t="str">
        <f ca="1">IF(Proc[[#This Row],[DaysAgeing]]&gt;5,"yep","on track")</f>
        <v>on track</v>
      </c>
      <c r="Q2513" s="3">
        <f ca="1">IF(Proc[[#This Row],[DateClosed]]="",ABS(NETWORKDAYS(Proc[[#This Row],[DateOpened]],TODAY()))-1,ABS(NETWORKDAYS(Proc[[#This Row],[DateOpened]],Proc[[#This Row],[DateClosed]]))-1)</f>
        <v>1</v>
      </c>
      <c r="R2513" s="110" t="s">
        <v>485</v>
      </c>
      <c r="S2513" s="94"/>
    </row>
    <row r="2514" spans="1:19">
      <c r="A2514" s="103" t="s">
        <v>4448</v>
      </c>
      <c r="B2514" s="94" t="str">
        <f>IFERROR(VLOOKUP(Proc[[#This Row],[App]],Table2[],3,0),"open")</f>
        <v>open</v>
      </c>
      <c r="C2514" s="103" t="s">
        <v>375</v>
      </c>
      <c r="D2514" t="s">
        <v>4461</v>
      </c>
      <c r="E2514" t="s">
        <v>4763</v>
      </c>
      <c r="F2514" s="94" t="s">
        <v>4785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4873</v>
      </c>
      <c r="J2514" s="94" t="b">
        <f>Proc[[#This Row],[Requested]]=Proc[[#This Row],[CurrentParent]]</f>
        <v>0</v>
      </c>
      <c r="K2514" s="94" t="str">
        <f>IF(Proc[[#This Row],[Author]]="Marcela Urrego",VLOOKUP(LEFT(Proc[[#This Row],[Requested]],1),Table3[#All],2,0),VLOOKUP(Proc[[#This Row],[Author]],Table4[],2,0))</f>
        <v>MGF</v>
      </c>
      <c r="L2514" s="94"/>
      <c r="M2514" s="109">
        <v>45841.453541666669</v>
      </c>
      <c r="N2514" s="109"/>
      <c r="O2514" s="109"/>
      <c r="P2514" s="110" t="str">
        <f ca="1">IF(Proc[[#This Row],[DaysAgeing]]&gt;5,"yep","on track")</f>
        <v>on track</v>
      </c>
      <c r="Q2514" s="3">
        <f ca="1">IF(Proc[[#This Row],[DateClosed]]="",ABS(NETWORKDAYS(Proc[[#This Row],[DateOpened]],TODAY()))-1,ABS(NETWORKDAYS(Proc[[#This Row],[DateOpened]],Proc[[#This Row],[DateClosed]]))-1)</f>
        <v>1</v>
      </c>
      <c r="R2514" s="110" t="s">
        <v>485</v>
      </c>
      <c r="S2514" s="94"/>
    </row>
    <row r="2515" spans="1:19">
      <c r="A2515" s="103" t="s">
        <v>4448</v>
      </c>
      <c r="B2515" s="94" t="str">
        <f>IFERROR(VLOOKUP(Proc[[#This Row],[App]],Table2[],3,0),"open")</f>
        <v>open</v>
      </c>
      <c r="C2515" s="103" t="s">
        <v>375</v>
      </c>
      <c r="D2515" t="s">
        <v>4462</v>
      </c>
      <c r="E2515" t="s">
        <v>4763</v>
      </c>
      <c r="F2515" s="94" t="s">
        <v>4786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4873</v>
      </c>
      <c r="J2515" s="94" t="b">
        <f>Proc[[#This Row],[Requested]]=Proc[[#This Row],[CurrentParent]]</f>
        <v>0</v>
      </c>
      <c r="K2515" s="94" t="str">
        <f>IF(Proc[[#This Row],[Author]]="Marcela Urrego",VLOOKUP(LEFT(Proc[[#This Row],[Requested]],1),Table3[#All],2,0),VLOOKUP(Proc[[#This Row],[Author]],Table4[],2,0))</f>
        <v>MGF</v>
      </c>
      <c r="L2515" s="94"/>
      <c r="M2515" s="109">
        <v>45841.453541666669</v>
      </c>
      <c r="N2515" s="109"/>
      <c r="O2515" s="109"/>
      <c r="P2515" s="110" t="str">
        <f ca="1">IF(Proc[[#This Row],[DaysAgeing]]&gt;5,"yep","on track")</f>
        <v>on track</v>
      </c>
      <c r="Q2515" s="3">
        <f ca="1">IF(Proc[[#This Row],[DateClosed]]="",ABS(NETWORKDAYS(Proc[[#This Row],[DateOpened]],TODAY()))-1,ABS(NETWORKDAYS(Proc[[#This Row],[DateOpened]],Proc[[#This Row],[DateClosed]]))-1)</f>
        <v>1</v>
      </c>
      <c r="R2515" s="110" t="s">
        <v>485</v>
      </c>
      <c r="S2515" s="94"/>
    </row>
    <row r="2516" spans="1:19">
      <c r="A2516" s="103" t="s">
        <v>4448</v>
      </c>
      <c r="B2516" s="94" t="str">
        <f>IFERROR(VLOOKUP(Proc[[#This Row],[App]],Table2[],3,0),"open")</f>
        <v>open</v>
      </c>
      <c r="C2516" s="103" t="s">
        <v>375</v>
      </c>
      <c r="D2516" t="s">
        <v>4463</v>
      </c>
      <c r="E2516" t="s">
        <v>4763</v>
      </c>
      <c r="F2516" s="94" t="s">
        <v>4785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4873</v>
      </c>
      <c r="J2516" s="94" t="b">
        <f>Proc[[#This Row],[Requested]]=Proc[[#This Row],[CurrentParent]]</f>
        <v>0</v>
      </c>
      <c r="K2516" s="94" t="str">
        <f>IF(Proc[[#This Row],[Author]]="Marcela Urrego",VLOOKUP(LEFT(Proc[[#This Row],[Requested]],1),Table3[#All],2,0),VLOOKUP(Proc[[#This Row],[Author]],Table4[],2,0))</f>
        <v>MGF</v>
      </c>
      <c r="L2516" s="94"/>
      <c r="M2516" s="109">
        <v>45841.453541666669</v>
      </c>
      <c r="N2516" s="109"/>
      <c r="O2516" s="109"/>
      <c r="P2516" s="110" t="str">
        <f ca="1">IF(Proc[[#This Row],[DaysAgeing]]&gt;5,"yep","on track")</f>
        <v>on track</v>
      </c>
      <c r="Q2516" s="3">
        <f ca="1">IF(Proc[[#This Row],[DateClosed]]="",ABS(NETWORKDAYS(Proc[[#This Row],[DateOpened]],TODAY()))-1,ABS(NETWORKDAYS(Proc[[#This Row],[DateOpened]],Proc[[#This Row],[DateClosed]]))-1)</f>
        <v>1</v>
      </c>
      <c r="R2516" s="110" t="s">
        <v>485</v>
      </c>
      <c r="S2516" s="94"/>
    </row>
    <row r="2517" spans="1:19">
      <c r="A2517" s="103" t="s">
        <v>4448</v>
      </c>
      <c r="B2517" s="94" t="str">
        <f>IFERROR(VLOOKUP(Proc[[#This Row],[App]],Table2[],3,0),"open")</f>
        <v>open</v>
      </c>
      <c r="C2517" s="103" t="s">
        <v>375</v>
      </c>
      <c r="D2517" t="s">
        <v>4464</v>
      </c>
      <c r="E2517" t="s">
        <v>4764</v>
      </c>
      <c r="F2517" s="94" t="s">
        <v>4787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4873</v>
      </c>
      <c r="J2517" s="94" t="b">
        <f>Proc[[#This Row],[Requested]]=Proc[[#This Row],[CurrentParent]]</f>
        <v>0</v>
      </c>
      <c r="K2517" s="94" t="str">
        <f>IF(Proc[[#This Row],[Author]]="Marcela Urrego",VLOOKUP(LEFT(Proc[[#This Row],[Requested]],1),Table3[#All],2,0),VLOOKUP(Proc[[#This Row],[Author]],Table4[],2,0))</f>
        <v>MGF</v>
      </c>
      <c r="L2517" s="94"/>
      <c r="M2517" s="109">
        <v>45841.453541666669</v>
      </c>
      <c r="N2517" s="109"/>
      <c r="O2517" s="109"/>
      <c r="P2517" s="110" t="str">
        <f ca="1">IF(Proc[[#This Row],[DaysAgeing]]&gt;5,"yep","on track")</f>
        <v>on track</v>
      </c>
      <c r="Q2517" s="3">
        <f ca="1">IF(Proc[[#This Row],[DateClosed]]="",ABS(NETWORKDAYS(Proc[[#This Row],[DateOpened]],TODAY()))-1,ABS(NETWORKDAYS(Proc[[#This Row],[DateOpened]],Proc[[#This Row],[DateClosed]]))-1)</f>
        <v>1</v>
      </c>
      <c r="R2517" s="110" t="s">
        <v>485</v>
      </c>
      <c r="S2517" s="94"/>
    </row>
    <row r="2518" spans="1:19">
      <c r="A2518" s="103" t="s">
        <v>4448</v>
      </c>
      <c r="B2518" s="94" t="str">
        <f>IFERROR(VLOOKUP(Proc[[#This Row],[App]],Table2[],3,0),"open")</f>
        <v>open</v>
      </c>
      <c r="C2518" s="103" t="s">
        <v>375</v>
      </c>
      <c r="D2518" t="s">
        <v>4465</v>
      </c>
      <c r="E2518" t="s">
        <v>4763</v>
      </c>
      <c r="F2518" s="94" t="s">
        <v>4785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4873</v>
      </c>
      <c r="J2518" s="94" t="b">
        <f>Proc[[#This Row],[Requested]]=Proc[[#This Row],[CurrentParent]]</f>
        <v>0</v>
      </c>
      <c r="K2518" s="94" t="str">
        <f>IF(Proc[[#This Row],[Author]]="Marcela Urrego",VLOOKUP(LEFT(Proc[[#This Row],[Requested]],1),Table3[#All],2,0),VLOOKUP(Proc[[#This Row],[Author]],Table4[],2,0))</f>
        <v>MGF</v>
      </c>
      <c r="L2518" s="94"/>
      <c r="M2518" s="109">
        <v>45841.453541666669</v>
      </c>
      <c r="N2518" s="109"/>
      <c r="O2518" s="109"/>
      <c r="P2518" s="110" t="str">
        <f ca="1">IF(Proc[[#This Row],[DaysAgeing]]&gt;5,"yep","on track")</f>
        <v>on track</v>
      </c>
      <c r="Q2518" s="3">
        <f ca="1">IF(Proc[[#This Row],[DateClosed]]="",ABS(NETWORKDAYS(Proc[[#This Row],[DateOpened]],TODAY()))-1,ABS(NETWORKDAYS(Proc[[#This Row],[DateOpened]],Proc[[#This Row],[DateClosed]]))-1)</f>
        <v>1</v>
      </c>
      <c r="R2518" s="110" t="s">
        <v>485</v>
      </c>
      <c r="S2518" s="94"/>
    </row>
    <row r="2519" spans="1:19">
      <c r="A2519" s="103" t="s">
        <v>4448</v>
      </c>
      <c r="B2519" s="94" t="str">
        <f>IFERROR(VLOOKUP(Proc[[#This Row],[App]],Table2[],3,0),"open")</f>
        <v>open</v>
      </c>
      <c r="C2519" s="103" t="s">
        <v>375</v>
      </c>
      <c r="D2519" t="s">
        <v>4466</v>
      </c>
      <c r="E2519" t="s">
        <v>4764</v>
      </c>
      <c r="F2519" s="94" t="s">
        <v>4788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4873</v>
      </c>
      <c r="J2519" s="94" t="b">
        <f>Proc[[#This Row],[Requested]]=Proc[[#This Row],[CurrentParent]]</f>
        <v>0</v>
      </c>
      <c r="K2519" s="94" t="str">
        <f>IF(Proc[[#This Row],[Author]]="Marcela Urrego",VLOOKUP(LEFT(Proc[[#This Row],[Requested]],1),Table3[#All],2,0),VLOOKUP(Proc[[#This Row],[Author]],Table4[],2,0))</f>
        <v>MGF</v>
      </c>
      <c r="L2519" s="94"/>
      <c r="M2519" s="109">
        <v>45841.453541666669</v>
      </c>
      <c r="N2519" s="109"/>
      <c r="O2519" s="109"/>
      <c r="P2519" s="110" t="str">
        <f ca="1">IF(Proc[[#This Row],[DaysAgeing]]&gt;5,"yep","on track")</f>
        <v>on track</v>
      </c>
      <c r="Q2519" s="3">
        <f ca="1">IF(Proc[[#This Row],[DateClosed]]="",ABS(NETWORKDAYS(Proc[[#This Row],[DateOpened]],TODAY()))-1,ABS(NETWORKDAYS(Proc[[#This Row],[DateOpened]],Proc[[#This Row],[DateClosed]]))-1)</f>
        <v>1</v>
      </c>
      <c r="R2519" s="110" t="s">
        <v>485</v>
      </c>
      <c r="S2519" s="94"/>
    </row>
    <row r="2520" spans="1:19">
      <c r="A2520" s="103" t="s">
        <v>4448</v>
      </c>
      <c r="B2520" s="94" t="str">
        <f>IFERROR(VLOOKUP(Proc[[#This Row],[App]],Table2[],3,0),"open")</f>
        <v>open</v>
      </c>
      <c r="C2520" s="103" t="s">
        <v>375</v>
      </c>
      <c r="D2520" t="s">
        <v>4467</v>
      </c>
      <c r="E2520" t="s">
        <v>4765</v>
      </c>
      <c r="F2520" s="94" t="s">
        <v>4785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4873</v>
      </c>
      <c r="J2520" s="94" t="b">
        <f>Proc[[#This Row],[Requested]]=Proc[[#This Row],[CurrentParent]]</f>
        <v>0</v>
      </c>
      <c r="K2520" s="94" t="str">
        <f>IF(Proc[[#This Row],[Author]]="Marcela Urrego",VLOOKUP(LEFT(Proc[[#This Row],[Requested]],1),Table3[#All],2,0),VLOOKUP(Proc[[#This Row],[Author]],Table4[],2,0))</f>
        <v>MGF</v>
      </c>
      <c r="L2520" s="94"/>
      <c r="M2520" s="109">
        <v>45841.453541666669</v>
      </c>
      <c r="N2520" s="109"/>
      <c r="O2520" s="109"/>
      <c r="P2520" s="110" t="str">
        <f ca="1">IF(Proc[[#This Row],[DaysAgeing]]&gt;5,"yep","on track")</f>
        <v>on track</v>
      </c>
      <c r="Q2520" s="3">
        <f ca="1">IF(Proc[[#This Row],[DateClosed]]="",ABS(NETWORKDAYS(Proc[[#This Row],[DateOpened]],TODAY()))-1,ABS(NETWORKDAYS(Proc[[#This Row],[DateOpened]],Proc[[#This Row],[DateClosed]]))-1)</f>
        <v>1</v>
      </c>
      <c r="R2520" s="110" t="s">
        <v>485</v>
      </c>
      <c r="S2520" s="94"/>
    </row>
    <row r="2521" spans="1:19">
      <c r="A2521" s="103" t="s">
        <v>4448</v>
      </c>
      <c r="B2521" s="94" t="str">
        <f>IFERROR(VLOOKUP(Proc[[#This Row],[App]],Table2[],3,0),"open")</f>
        <v>open</v>
      </c>
      <c r="C2521" s="103" t="s">
        <v>375</v>
      </c>
      <c r="D2521" t="s">
        <v>4468</v>
      </c>
      <c r="E2521" t="s">
        <v>4764</v>
      </c>
      <c r="F2521" s="94" t="s">
        <v>4788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4873</v>
      </c>
      <c r="J2521" s="94" t="b">
        <f>Proc[[#This Row],[Requested]]=Proc[[#This Row],[CurrentParent]]</f>
        <v>0</v>
      </c>
      <c r="K2521" s="94" t="str">
        <f>IF(Proc[[#This Row],[Author]]="Marcela Urrego",VLOOKUP(LEFT(Proc[[#This Row],[Requested]],1),Table3[#All],2,0),VLOOKUP(Proc[[#This Row],[Author]],Table4[],2,0))</f>
        <v>MGF</v>
      </c>
      <c r="L2521" s="94"/>
      <c r="M2521" s="109">
        <v>45841.453541666669</v>
      </c>
      <c r="N2521" s="109"/>
      <c r="O2521" s="109"/>
      <c r="P2521" s="110" t="str">
        <f ca="1">IF(Proc[[#This Row],[DaysAgeing]]&gt;5,"yep","on track")</f>
        <v>on track</v>
      </c>
      <c r="Q2521" s="3">
        <f ca="1">IF(Proc[[#This Row],[DateClosed]]="",ABS(NETWORKDAYS(Proc[[#This Row],[DateOpened]],TODAY()))-1,ABS(NETWORKDAYS(Proc[[#This Row],[DateOpened]],Proc[[#This Row],[DateClosed]]))-1)</f>
        <v>1</v>
      </c>
      <c r="R2521" s="110" t="s">
        <v>485</v>
      </c>
      <c r="S2521" s="94"/>
    </row>
    <row r="2522" spans="1:19">
      <c r="A2522" s="103" t="s">
        <v>4448</v>
      </c>
      <c r="B2522" s="94" t="str">
        <f>IFERROR(VLOOKUP(Proc[[#This Row],[App]],Table2[],3,0),"open")</f>
        <v>open</v>
      </c>
      <c r="C2522" s="103" t="s">
        <v>375</v>
      </c>
      <c r="D2522" t="s">
        <v>4469</v>
      </c>
      <c r="E2522" t="s">
        <v>4764</v>
      </c>
      <c r="F2522" s="94" t="s">
        <v>4788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4873</v>
      </c>
      <c r="J2522" s="94" t="b">
        <f>Proc[[#This Row],[Requested]]=Proc[[#This Row],[CurrentParent]]</f>
        <v>0</v>
      </c>
      <c r="K2522" s="94" t="str">
        <f>IF(Proc[[#This Row],[Author]]="Marcela Urrego",VLOOKUP(LEFT(Proc[[#This Row],[Requested]],1),Table3[#All],2,0),VLOOKUP(Proc[[#This Row],[Author]],Table4[],2,0))</f>
        <v>MGF</v>
      </c>
      <c r="L2522" s="94"/>
      <c r="M2522" s="109">
        <v>45841.453541666669</v>
      </c>
      <c r="N2522" s="109"/>
      <c r="O2522" s="109"/>
      <c r="P2522" s="110" t="str">
        <f ca="1">IF(Proc[[#This Row],[DaysAgeing]]&gt;5,"yep","on track")</f>
        <v>on track</v>
      </c>
      <c r="Q2522" s="3">
        <f ca="1">IF(Proc[[#This Row],[DateClosed]]="",ABS(NETWORKDAYS(Proc[[#This Row],[DateOpened]],TODAY()))-1,ABS(NETWORKDAYS(Proc[[#This Row],[DateOpened]],Proc[[#This Row],[DateClosed]]))-1)</f>
        <v>1</v>
      </c>
      <c r="R2522" s="110" t="s">
        <v>485</v>
      </c>
      <c r="S2522" s="94"/>
    </row>
    <row r="2523" spans="1:19">
      <c r="A2523" s="103" t="s">
        <v>4448</v>
      </c>
      <c r="B2523" s="94" t="str">
        <f>IFERROR(VLOOKUP(Proc[[#This Row],[App]],Table2[],3,0),"open")</f>
        <v>open</v>
      </c>
      <c r="C2523" s="103" t="s">
        <v>375</v>
      </c>
      <c r="D2523" t="s">
        <v>4470</v>
      </c>
      <c r="E2523" t="s">
        <v>4763</v>
      </c>
      <c r="F2523" s="94" t="s">
        <v>4786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4873</v>
      </c>
      <c r="J2523" s="94" t="b">
        <f>Proc[[#This Row],[Requested]]=Proc[[#This Row],[CurrentParent]]</f>
        <v>0</v>
      </c>
      <c r="K2523" s="94" t="str">
        <f>IF(Proc[[#This Row],[Author]]="Marcela Urrego",VLOOKUP(LEFT(Proc[[#This Row],[Requested]],1),Table3[#All],2,0),VLOOKUP(Proc[[#This Row],[Author]],Table4[],2,0))</f>
        <v>MGF</v>
      </c>
      <c r="L2523" s="94"/>
      <c r="M2523" s="109">
        <v>45841.453541666669</v>
      </c>
      <c r="N2523" s="109"/>
      <c r="O2523" s="109"/>
      <c r="P2523" s="110" t="str">
        <f ca="1">IF(Proc[[#This Row],[DaysAgeing]]&gt;5,"yep","on track")</f>
        <v>on track</v>
      </c>
      <c r="Q2523" s="3">
        <f ca="1">IF(Proc[[#This Row],[DateClosed]]="",ABS(NETWORKDAYS(Proc[[#This Row],[DateOpened]],TODAY()))-1,ABS(NETWORKDAYS(Proc[[#This Row],[DateOpened]],Proc[[#This Row],[DateClosed]]))-1)</f>
        <v>1</v>
      </c>
      <c r="R2523" s="110" t="s">
        <v>485</v>
      </c>
      <c r="S2523" s="94"/>
    </row>
    <row r="2524" spans="1:19">
      <c r="A2524" s="103" t="s">
        <v>4448</v>
      </c>
      <c r="B2524" s="94" t="str">
        <f>IFERROR(VLOOKUP(Proc[[#This Row],[App]],Table2[],3,0),"open")</f>
        <v>open</v>
      </c>
      <c r="C2524" s="103" t="s">
        <v>375</v>
      </c>
      <c r="D2524" t="s">
        <v>4471</v>
      </c>
      <c r="E2524" t="s">
        <v>4763</v>
      </c>
      <c r="F2524" s="94" t="s">
        <v>4789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4873</v>
      </c>
      <c r="J2524" s="94" t="b">
        <f>Proc[[#This Row],[Requested]]=Proc[[#This Row],[CurrentParent]]</f>
        <v>0</v>
      </c>
      <c r="K2524" s="94" t="str">
        <f>IF(Proc[[#This Row],[Author]]="Marcela Urrego",VLOOKUP(LEFT(Proc[[#This Row],[Requested]],1),Table3[#All],2,0),VLOOKUP(Proc[[#This Row],[Author]],Table4[],2,0))</f>
        <v>MGF</v>
      </c>
      <c r="L2524" s="94"/>
      <c r="M2524" s="109">
        <v>45841.453541666669</v>
      </c>
      <c r="N2524" s="109"/>
      <c r="O2524" s="109"/>
      <c r="P2524" s="110" t="str">
        <f ca="1">IF(Proc[[#This Row],[DaysAgeing]]&gt;5,"yep","on track")</f>
        <v>on track</v>
      </c>
      <c r="Q2524" s="3">
        <f ca="1">IF(Proc[[#This Row],[DateClosed]]="",ABS(NETWORKDAYS(Proc[[#This Row],[DateOpened]],TODAY()))-1,ABS(NETWORKDAYS(Proc[[#This Row],[DateOpened]],Proc[[#This Row],[DateClosed]]))-1)</f>
        <v>1</v>
      </c>
      <c r="R2524" s="110" t="s">
        <v>485</v>
      </c>
      <c r="S2524" s="94"/>
    </row>
    <row r="2525" spans="1:19">
      <c r="A2525" s="103" t="s">
        <v>4448</v>
      </c>
      <c r="B2525" s="94" t="str">
        <f>IFERROR(VLOOKUP(Proc[[#This Row],[App]],Table2[],3,0),"open")</f>
        <v>open</v>
      </c>
      <c r="C2525" s="103" t="s">
        <v>375</v>
      </c>
      <c r="D2525" t="s">
        <v>4472</v>
      </c>
      <c r="E2525" t="s">
        <v>4763</v>
      </c>
      <c r="F2525" s="94" t="s">
        <v>4786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4873</v>
      </c>
      <c r="J2525" s="94" t="b">
        <f>Proc[[#This Row],[Requested]]=Proc[[#This Row],[CurrentParent]]</f>
        <v>0</v>
      </c>
      <c r="K2525" s="94" t="str">
        <f>IF(Proc[[#This Row],[Author]]="Marcela Urrego",VLOOKUP(LEFT(Proc[[#This Row],[Requested]],1),Table3[#All],2,0),VLOOKUP(Proc[[#This Row],[Author]],Table4[],2,0))</f>
        <v>MGF</v>
      </c>
      <c r="L2525" s="94"/>
      <c r="M2525" s="109">
        <v>45841.453541666669</v>
      </c>
      <c r="N2525" s="109"/>
      <c r="O2525" s="109"/>
      <c r="P2525" s="110" t="str">
        <f ca="1">IF(Proc[[#This Row],[DaysAgeing]]&gt;5,"yep","on track")</f>
        <v>on track</v>
      </c>
      <c r="Q2525" s="3">
        <f ca="1">IF(Proc[[#This Row],[DateClosed]]="",ABS(NETWORKDAYS(Proc[[#This Row],[DateOpened]],TODAY()))-1,ABS(NETWORKDAYS(Proc[[#This Row],[DateOpened]],Proc[[#This Row],[DateClosed]]))-1)</f>
        <v>1</v>
      </c>
      <c r="R2525" s="110" t="s">
        <v>485</v>
      </c>
      <c r="S2525" s="94"/>
    </row>
    <row r="2526" spans="1:19">
      <c r="A2526" s="103" t="s">
        <v>4448</v>
      </c>
      <c r="B2526" s="94" t="str">
        <f>IFERROR(VLOOKUP(Proc[[#This Row],[App]],Table2[],3,0),"open")</f>
        <v>open</v>
      </c>
      <c r="C2526" s="103" t="s">
        <v>375</v>
      </c>
      <c r="D2526" t="s">
        <v>4473</v>
      </c>
      <c r="E2526" t="s">
        <v>4763</v>
      </c>
      <c r="F2526" s="94" t="s">
        <v>4786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4873</v>
      </c>
      <c r="J2526" s="94" t="b">
        <f>Proc[[#This Row],[Requested]]=Proc[[#This Row],[CurrentParent]]</f>
        <v>0</v>
      </c>
      <c r="K2526" s="94" t="str">
        <f>IF(Proc[[#This Row],[Author]]="Marcela Urrego",VLOOKUP(LEFT(Proc[[#This Row],[Requested]],1),Table3[#All],2,0),VLOOKUP(Proc[[#This Row],[Author]],Table4[],2,0))</f>
        <v>MGF</v>
      </c>
      <c r="L2526" s="94"/>
      <c r="M2526" s="109">
        <v>45841.453541666669</v>
      </c>
      <c r="N2526" s="109"/>
      <c r="O2526" s="109"/>
      <c r="P2526" s="110" t="str">
        <f ca="1">IF(Proc[[#This Row],[DaysAgeing]]&gt;5,"yep","on track")</f>
        <v>on track</v>
      </c>
      <c r="Q2526" s="3">
        <f ca="1">IF(Proc[[#This Row],[DateClosed]]="",ABS(NETWORKDAYS(Proc[[#This Row],[DateOpened]],TODAY()))-1,ABS(NETWORKDAYS(Proc[[#This Row],[DateOpened]],Proc[[#This Row],[DateClosed]]))-1)</f>
        <v>1</v>
      </c>
      <c r="R2526" s="110" t="s">
        <v>485</v>
      </c>
      <c r="S2526" s="94"/>
    </row>
    <row r="2527" spans="1:19">
      <c r="A2527" s="103" t="s">
        <v>4448</v>
      </c>
      <c r="B2527" s="94" t="str">
        <f>IFERROR(VLOOKUP(Proc[[#This Row],[App]],Table2[],3,0),"open")</f>
        <v>open</v>
      </c>
      <c r="C2527" s="103" t="s">
        <v>375</v>
      </c>
      <c r="D2527" t="s">
        <v>4474</v>
      </c>
      <c r="E2527" t="s">
        <v>4763</v>
      </c>
      <c r="F2527" s="94" t="s">
        <v>4786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4873</v>
      </c>
      <c r="J2527" s="94" t="b">
        <f>Proc[[#This Row],[Requested]]=Proc[[#This Row],[CurrentParent]]</f>
        <v>0</v>
      </c>
      <c r="K2527" s="94" t="str">
        <f>IF(Proc[[#This Row],[Author]]="Marcela Urrego",VLOOKUP(LEFT(Proc[[#This Row],[Requested]],1),Table3[#All],2,0),VLOOKUP(Proc[[#This Row],[Author]],Table4[],2,0))</f>
        <v>MGF</v>
      </c>
      <c r="L2527" s="94"/>
      <c r="M2527" s="109">
        <v>45841.453541666669</v>
      </c>
      <c r="N2527" s="109"/>
      <c r="O2527" s="109"/>
      <c r="P2527" s="110" t="str">
        <f ca="1">IF(Proc[[#This Row],[DaysAgeing]]&gt;5,"yep","on track")</f>
        <v>on track</v>
      </c>
      <c r="Q2527" s="3">
        <f ca="1">IF(Proc[[#This Row],[DateClosed]]="",ABS(NETWORKDAYS(Proc[[#This Row],[DateOpened]],TODAY()))-1,ABS(NETWORKDAYS(Proc[[#This Row],[DateOpened]],Proc[[#This Row],[DateClosed]]))-1)</f>
        <v>1</v>
      </c>
      <c r="R2527" s="110" t="s">
        <v>485</v>
      </c>
      <c r="S2527" s="94"/>
    </row>
    <row r="2528" spans="1:19">
      <c r="A2528" s="103" t="s">
        <v>4448</v>
      </c>
      <c r="B2528" s="94" t="str">
        <f>IFERROR(VLOOKUP(Proc[[#This Row],[App]],Table2[],3,0),"open")</f>
        <v>open</v>
      </c>
      <c r="C2528" s="103" t="s">
        <v>375</v>
      </c>
      <c r="D2528" t="s">
        <v>4475</v>
      </c>
      <c r="E2528" t="s">
        <v>4765</v>
      </c>
      <c r="F2528" s="94" t="s">
        <v>4786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4873</v>
      </c>
      <c r="J2528" s="94" t="b">
        <f>Proc[[#This Row],[Requested]]=Proc[[#This Row],[CurrentParent]]</f>
        <v>0</v>
      </c>
      <c r="K2528" s="94" t="str">
        <f>IF(Proc[[#This Row],[Author]]="Marcela Urrego",VLOOKUP(LEFT(Proc[[#This Row],[Requested]],1),Table3[#All],2,0),VLOOKUP(Proc[[#This Row],[Author]],Table4[],2,0))</f>
        <v>MGF</v>
      </c>
      <c r="L2528" s="94"/>
      <c r="M2528" s="109">
        <v>45841.453541666669</v>
      </c>
      <c r="N2528" s="109"/>
      <c r="O2528" s="109"/>
      <c r="P2528" s="110" t="str">
        <f ca="1">IF(Proc[[#This Row],[DaysAgeing]]&gt;5,"yep","on track")</f>
        <v>on track</v>
      </c>
      <c r="Q2528" s="3">
        <f ca="1">IF(Proc[[#This Row],[DateClosed]]="",ABS(NETWORKDAYS(Proc[[#This Row],[DateOpened]],TODAY()))-1,ABS(NETWORKDAYS(Proc[[#This Row],[DateOpened]],Proc[[#This Row],[DateClosed]]))-1)</f>
        <v>1</v>
      </c>
      <c r="R2528" s="110" t="s">
        <v>485</v>
      </c>
      <c r="S2528" s="94"/>
    </row>
    <row r="2529" spans="1:19">
      <c r="A2529" s="103" t="s">
        <v>4448</v>
      </c>
      <c r="B2529" s="94" t="str">
        <f>IFERROR(VLOOKUP(Proc[[#This Row],[App]],Table2[],3,0),"open")</f>
        <v>open</v>
      </c>
      <c r="C2529" s="103" t="s">
        <v>375</v>
      </c>
      <c r="D2529" t="s">
        <v>4476</v>
      </c>
      <c r="E2529" t="s">
        <v>4763</v>
      </c>
      <c r="F2529" s="94" t="s">
        <v>4786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4873</v>
      </c>
      <c r="J2529" s="94" t="b">
        <f>Proc[[#This Row],[Requested]]=Proc[[#This Row],[CurrentParent]]</f>
        <v>0</v>
      </c>
      <c r="K2529" s="94" t="str">
        <f>IF(Proc[[#This Row],[Author]]="Marcela Urrego",VLOOKUP(LEFT(Proc[[#This Row],[Requested]],1),Table3[#All],2,0),VLOOKUP(Proc[[#This Row],[Author]],Table4[],2,0))</f>
        <v>MGF</v>
      </c>
      <c r="L2529" s="94"/>
      <c r="M2529" s="109">
        <v>45841.453541666669</v>
      </c>
      <c r="N2529" s="109"/>
      <c r="O2529" s="109"/>
      <c r="P2529" s="110" t="str">
        <f ca="1">IF(Proc[[#This Row],[DaysAgeing]]&gt;5,"yep","on track")</f>
        <v>on track</v>
      </c>
      <c r="Q2529" s="3">
        <f ca="1">IF(Proc[[#This Row],[DateClosed]]="",ABS(NETWORKDAYS(Proc[[#This Row],[DateOpened]],TODAY()))-1,ABS(NETWORKDAYS(Proc[[#This Row],[DateOpened]],Proc[[#This Row],[DateClosed]]))-1)</f>
        <v>1</v>
      </c>
      <c r="R2529" s="110" t="s">
        <v>485</v>
      </c>
      <c r="S2529" s="94"/>
    </row>
    <row r="2530" spans="1:19">
      <c r="A2530" s="103" t="s">
        <v>4448</v>
      </c>
      <c r="B2530" s="94" t="str">
        <f>IFERROR(VLOOKUP(Proc[[#This Row],[App]],Table2[],3,0),"open")</f>
        <v>open</v>
      </c>
      <c r="C2530" s="103" t="s">
        <v>375</v>
      </c>
      <c r="D2530" t="s">
        <v>4477</v>
      </c>
      <c r="E2530" t="s">
        <v>4763</v>
      </c>
      <c r="F2530" s="94" t="s">
        <v>4785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4873</v>
      </c>
      <c r="J2530" s="94" t="b">
        <f>Proc[[#This Row],[Requested]]=Proc[[#This Row],[CurrentParent]]</f>
        <v>0</v>
      </c>
      <c r="K2530" s="94" t="str">
        <f>IF(Proc[[#This Row],[Author]]="Marcela Urrego",VLOOKUP(LEFT(Proc[[#This Row],[Requested]],1),Table3[#All],2,0),VLOOKUP(Proc[[#This Row],[Author]],Table4[],2,0))</f>
        <v>MGF</v>
      </c>
      <c r="L2530" s="94"/>
      <c r="M2530" s="109">
        <v>45841.453541666669</v>
      </c>
      <c r="N2530" s="109"/>
      <c r="O2530" s="109"/>
      <c r="P2530" s="110" t="str">
        <f ca="1">IF(Proc[[#This Row],[DaysAgeing]]&gt;5,"yep","on track")</f>
        <v>on track</v>
      </c>
      <c r="Q2530" s="3">
        <f ca="1">IF(Proc[[#This Row],[DateClosed]]="",ABS(NETWORKDAYS(Proc[[#This Row],[DateOpened]],TODAY()))-1,ABS(NETWORKDAYS(Proc[[#This Row],[DateOpened]],Proc[[#This Row],[DateClosed]]))-1)</f>
        <v>1</v>
      </c>
      <c r="R2530" s="110" t="s">
        <v>485</v>
      </c>
      <c r="S2530" s="94"/>
    </row>
    <row r="2531" spans="1:19">
      <c r="A2531" s="103" t="s">
        <v>4448</v>
      </c>
      <c r="B2531" s="94" t="str">
        <f>IFERROR(VLOOKUP(Proc[[#This Row],[App]],Table2[],3,0),"open")</f>
        <v>open</v>
      </c>
      <c r="C2531" s="103" t="s">
        <v>375</v>
      </c>
      <c r="D2531" t="s">
        <v>4478</v>
      </c>
      <c r="E2531" t="s">
        <v>4763</v>
      </c>
      <c r="F2531" s="94" t="s">
        <v>4785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4873</v>
      </c>
      <c r="J2531" s="94" t="b">
        <f>Proc[[#This Row],[Requested]]=Proc[[#This Row],[CurrentParent]]</f>
        <v>0</v>
      </c>
      <c r="K2531" s="94" t="str">
        <f>IF(Proc[[#This Row],[Author]]="Marcela Urrego",VLOOKUP(LEFT(Proc[[#This Row],[Requested]],1),Table3[#All],2,0),VLOOKUP(Proc[[#This Row],[Author]],Table4[],2,0))</f>
        <v>MGF</v>
      </c>
      <c r="L2531" s="94"/>
      <c r="M2531" s="109">
        <v>45841.453541666669</v>
      </c>
      <c r="N2531" s="109"/>
      <c r="O2531" s="109"/>
      <c r="P2531" s="110" t="str">
        <f ca="1">IF(Proc[[#This Row],[DaysAgeing]]&gt;5,"yep","on track")</f>
        <v>on track</v>
      </c>
      <c r="Q2531" s="3">
        <f ca="1">IF(Proc[[#This Row],[DateClosed]]="",ABS(NETWORKDAYS(Proc[[#This Row],[DateOpened]],TODAY()))-1,ABS(NETWORKDAYS(Proc[[#This Row],[DateOpened]],Proc[[#This Row],[DateClosed]]))-1)</f>
        <v>1</v>
      </c>
      <c r="R2531" s="110" t="s">
        <v>485</v>
      </c>
      <c r="S2531" s="94"/>
    </row>
    <row r="2532" spans="1:19">
      <c r="A2532" s="103" t="s">
        <v>4448</v>
      </c>
      <c r="B2532" s="94" t="str">
        <f>IFERROR(VLOOKUP(Proc[[#This Row],[App]],Table2[],3,0),"open")</f>
        <v>open</v>
      </c>
      <c r="C2532" s="103" t="s">
        <v>375</v>
      </c>
      <c r="D2532" t="s">
        <v>4479</v>
      </c>
      <c r="E2532" t="s">
        <v>4765</v>
      </c>
      <c r="F2532" s="94" t="s">
        <v>4785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4873</v>
      </c>
      <c r="J2532" s="94" t="b">
        <f>Proc[[#This Row],[Requested]]=Proc[[#This Row],[CurrentParent]]</f>
        <v>0</v>
      </c>
      <c r="K2532" s="94" t="str">
        <f>IF(Proc[[#This Row],[Author]]="Marcela Urrego",VLOOKUP(LEFT(Proc[[#This Row],[Requested]],1),Table3[#All],2,0),VLOOKUP(Proc[[#This Row],[Author]],Table4[],2,0))</f>
        <v>MGF</v>
      </c>
      <c r="L2532" s="94"/>
      <c r="M2532" s="109">
        <v>45841.453541666669</v>
      </c>
      <c r="N2532" s="109"/>
      <c r="O2532" s="109"/>
      <c r="P2532" s="110" t="str">
        <f ca="1">IF(Proc[[#This Row],[DaysAgeing]]&gt;5,"yep","on track")</f>
        <v>on track</v>
      </c>
      <c r="Q2532" s="3">
        <f ca="1">IF(Proc[[#This Row],[DateClosed]]="",ABS(NETWORKDAYS(Proc[[#This Row],[DateOpened]],TODAY()))-1,ABS(NETWORKDAYS(Proc[[#This Row],[DateOpened]],Proc[[#This Row],[DateClosed]]))-1)</f>
        <v>1</v>
      </c>
      <c r="R2532" s="110" t="s">
        <v>485</v>
      </c>
      <c r="S2532" s="94"/>
    </row>
    <row r="2533" spans="1:19">
      <c r="A2533" s="103" t="s">
        <v>4448</v>
      </c>
      <c r="B2533" s="94" t="str">
        <f>IFERROR(VLOOKUP(Proc[[#This Row],[App]],Table2[],3,0),"open")</f>
        <v>open</v>
      </c>
      <c r="C2533" s="103" t="s">
        <v>375</v>
      </c>
      <c r="D2533" t="s">
        <v>4480</v>
      </c>
      <c r="E2533" t="s">
        <v>4763</v>
      </c>
      <c r="F2533" s="94" t="s">
        <v>4785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4873</v>
      </c>
      <c r="J2533" s="94" t="b">
        <f>Proc[[#This Row],[Requested]]=Proc[[#This Row],[CurrentParent]]</f>
        <v>0</v>
      </c>
      <c r="K2533" s="94" t="str">
        <f>IF(Proc[[#This Row],[Author]]="Marcela Urrego",VLOOKUP(LEFT(Proc[[#This Row],[Requested]],1),Table3[#All],2,0),VLOOKUP(Proc[[#This Row],[Author]],Table4[],2,0))</f>
        <v>MGF</v>
      </c>
      <c r="L2533" s="94"/>
      <c r="M2533" s="109">
        <v>45841.453541666669</v>
      </c>
      <c r="N2533" s="109"/>
      <c r="O2533" s="109"/>
      <c r="P2533" s="110" t="str">
        <f ca="1">IF(Proc[[#This Row],[DaysAgeing]]&gt;5,"yep","on track")</f>
        <v>on track</v>
      </c>
      <c r="Q2533" s="3">
        <f ca="1">IF(Proc[[#This Row],[DateClosed]]="",ABS(NETWORKDAYS(Proc[[#This Row],[DateOpened]],TODAY()))-1,ABS(NETWORKDAYS(Proc[[#This Row],[DateOpened]],Proc[[#This Row],[DateClosed]]))-1)</f>
        <v>1</v>
      </c>
      <c r="R2533" s="110" t="s">
        <v>485</v>
      </c>
      <c r="S2533" s="94"/>
    </row>
    <row r="2534" spans="1:19">
      <c r="A2534" s="103" t="s">
        <v>4448</v>
      </c>
      <c r="B2534" s="94" t="str">
        <f>IFERROR(VLOOKUP(Proc[[#This Row],[App]],Table2[],3,0),"open")</f>
        <v>open</v>
      </c>
      <c r="C2534" s="103" t="s">
        <v>375</v>
      </c>
      <c r="D2534" t="s">
        <v>4481</v>
      </c>
      <c r="E2534" t="s">
        <v>4763</v>
      </c>
      <c r="F2534" s="94" t="s">
        <v>4785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4873</v>
      </c>
      <c r="J2534" s="94" t="b">
        <f>Proc[[#This Row],[Requested]]=Proc[[#This Row],[CurrentParent]]</f>
        <v>0</v>
      </c>
      <c r="K2534" s="94" t="str">
        <f>IF(Proc[[#This Row],[Author]]="Marcela Urrego",VLOOKUP(LEFT(Proc[[#This Row],[Requested]],1),Table3[#All],2,0),VLOOKUP(Proc[[#This Row],[Author]],Table4[],2,0))</f>
        <v>MGF</v>
      </c>
      <c r="L2534" s="94"/>
      <c r="M2534" s="109">
        <v>45841.453541666669</v>
      </c>
      <c r="N2534" s="109"/>
      <c r="O2534" s="109"/>
      <c r="P2534" s="110" t="str">
        <f ca="1">IF(Proc[[#This Row],[DaysAgeing]]&gt;5,"yep","on track")</f>
        <v>on track</v>
      </c>
      <c r="Q2534" s="3">
        <f ca="1">IF(Proc[[#This Row],[DateClosed]]="",ABS(NETWORKDAYS(Proc[[#This Row],[DateOpened]],TODAY()))-1,ABS(NETWORKDAYS(Proc[[#This Row],[DateOpened]],Proc[[#This Row],[DateClosed]]))-1)</f>
        <v>1</v>
      </c>
      <c r="R2534" s="110" t="s">
        <v>485</v>
      </c>
      <c r="S2534" s="94"/>
    </row>
    <row r="2535" spans="1:19">
      <c r="A2535" s="103" t="s">
        <v>4448</v>
      </c>
      <c r="B2535" s="94" t="str">
        <f>IFERROR(VLOOKUP(Proc[[#This Row],[App]],Table2[],3,0),"open")</f>
        <v>open</v>
      </c>
      <c r="C2535" s="103" t="s">
        <v>375</v>
      </c>
      <c r="D2535" t="s">
        <v>4482</v>
      </c>
      <c r="E2535" t="s">
        <v>4763</v>
      </c>
      <c r="F2535" s="94" t="s">
        <v>4786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4873</v>
      </c>
      <c r="J2535" s="94" t="b">
        <f>Proc[[#This Row],[Requested]]=Proc[[#This Row],[CurrentParent]]</f>
        <v>0</v>
      </c>
      <c r="K2535" s="94" t="str">
        <f>IF(Proc[[#This Row],[Author]]="Marcela Urrego",VLOOKUP(LEFT(Proc[[#This Row],[Requested]],1),Table3[#All],2,0),VLOOKUP(Proc[[#This Row],[Author]],Table4[],2,0))</f>
        <v>MGF</v>
      </c>
      <c r="L2535" s="94"/>
      <c r="M2535" s="109">
        <v>45841.453541666669</v>
      </c>
      <c r="N2535" s="109"/>
      <c r="O2535" s="109"/>
      <c r="P2535" s="110" t="str">
        <f ca="1">IF(Proc[[#This Row],[DaysAgeing]]&gt;5,"yep","on track")</f>
        <v>on track</v>
      </c>
      <c r="Q2535" s="3">
        <f ca="1">IF(Proc[[#This Row],[DateClosed]]="",ABS(NETWORKDAYS(Proc[[#This Row],[DateOpened]],TODAY()))-1,ABS(NETWORKDAYS(Proc[[#This Row],[DateOpened]],Proc[[#This Row],[DateClosed]]))-1)</f>
        <v>1</v>
      </c>
      <c r="R2535" s="110" t="s">
        <v>485</v>
      </c>
      <c r="S2535" s="94"/>
    </row>
    <row r="2536" spans="1:19">
      <c r="A2536" s="103" t="s">
        <v>4448</v>
      </c>
      <c r="B2536" s="94" t="str">
        <f>IFERROR(VLOOKUP(Proc[[#This Row],[App]],Table2[],3,0),"open")</f>
        <v>open</v>
      </c>
      <c r="C2536" s="103" t="s">
        <v>375</v>
      </c>
      <c r="D2536" t="s">
        <v>4483</v>
      </c>
      <c r="E2536" t="s">
        <v>4764</v>
      </c>
      <c r="F2536" s="94" t="s">
        <v>4788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4873</v>
      </c>
      <c r="J2536" s="94" t="b">
        <f>Proc[[#This Row],[Requested]]=Proc[[#This Row],[CurrentParent]]</f>
        <v>0</v>
      </c>
      <c r="K2536" s="94" t="str">
        <f>IF(Proc[[#This Row],[Author]]="Marcela Urrego",VLOOKUP(LEFT(Proc[[#This Row],[Requested]],1),Table3[#All],2,0),VLOOKUP(Proc[[#This Row],[Author]],Table4[],2,0))</f>
        <v>MGF</v>
      </c>
      <c r="L2536" s="94"/>
      <c r="M2536" s="109">
        <v>45841.453541666669</v>
      </c>
      <c r="N2536" s="109"/>
      <c r="O2536" s="109"/>
      <c r="P2536" s="110" t="str">
        <f ca="1">IF(Proc[[#This Row],[DaysAgeing]]&gt;5,"yep","on track")</f>
        <v>on track</v>
      </c>
      <c r="Q2536" s="3">
        <f ca="1">IF(Proc[[#This Row],[DateClosed]]="",ABS(NETWORKDAYS(Proc[[#This Row],[DateOpened]],TODAY()))-1,ABS(NETWORKDAYS(Proc[[#This Row],[DateOpened]],Proc[[#This Row],[DateClosed]]))-1)</f>
        <v>1</v>
      </c>
      <c r="R2536" s="110" t="s">
        <v>485</v>
      </c>
      <c r="S2536" s="94"/>
    </row>
    <row r="2537" spans="1:19">
      <c r="A2537" s="103" t="s">
        <v>4448</v>
      </c>
      <c r="B2537" s="94" t="str">
        <f>IFERROR(VLOOKUP(Proc[[#This Row],[App]],Table2[],3,0),"open")</f>
        <v>open</v>
      </c>
      <c r="C2537" s="103" t="s">
        <v>375</v>
      </c>
      <c r="D2537" t="s">
        <v>4484</v>
      </c>
      <c r="E2537" t="s">
        <v>4763</v>
      </c>
      <c r="F2537" s="94" t="s">
        <v>4785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4873</v>
      </c>
      <c r="J2537" s="94" t="b">
        <f>Proc[[#This Row],[Requested]]=Proc[[#This Row],[CurrentParent]]</f>
        <v>0</v>
      </c>
      <c r="K2537" s="94" t="str">
        <f>IF(Proc[[#This Row],[Author]]="Marcela Urrego",VLOOKUP(LEFT(Proc[[#This Row],[Requested]],1),Table3[#All],2,0),VLOOKUP(Proc[[#This Row],[Author]],Table4[],2,0))</f>
        <v>MGF</v>
      </c>
      <c r="L2537" s="94"/>
      <c r="M2537" s="109">
        <v>45841.453541666669</v>
      </c>
      <c r="N2537" s="109"/>
      <c r="O2537" s="109"/>
      <c r="P2537" s="110" t="str">
        <f ca="1">IF(Proc[[#This Row],[DaysAgeing]]&gt;5,"yep","on track")</f>
        <v>on track</v>
      </c>
      <c r="Q2537" s="3">
        <f ca="1">IF(Proc[[#This Row],[DateClosed]]="",ABS(NETWORKDAYS(Proc[[#This Row],[DateOpened]],TODAY()))-1,ABS(NETWORKDAYS(Proc[[#This Row],[DateOpened]],Proc[[#This Row],[DateClosed]]))-1)</f>
        <v>1</v>
      </c>
      <c r="R2537" s="110" t="s">
        <v>485</v>
      </c>
      <c r="S2537" s="94"/>
    </row>
    <row r="2538" spans="1:19">
      <c r="A2538" s="103" t="s">
        <v>4448</v>
      </c>
      <c r="B2538" s="94" t="str">
        <f>IFERROR(VLOOKUP(Proc[[#This Row],[App]],Table2[],3,0),"open")</f>
        <v>open</v>
      </c>
      <c r="C2538" s="103" t="s">
        <v>375</v>
      </c>
      <c r="D2538" t="s">
        <v>4485</v>
      </c>
      <c r="E2538" t="s">
        <v>4765</v>
      </c>
      <c r="F2538" s="94" t="s">
        <v>4785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4873</v>
      </c>
      <c r="J2538" s="94" t="b">
        <f>Proc[[#This Row],[Requested]]=Proc[[#This Row],[CurrentParent]]</f>
        <v>0</v>
      </c>
      <c r="K2538" s="94" t="str">
        <f>IF(Proc[[#This Row],[Author]]="Marcela Urrego",VLOOKUP(LEFT(Proc[[#This Row],[Requested]],1),Table3[#All],2,0),VLOOKUP(Proc[[#This Row],[Author]],Table4[],2,0))</f>
        <v>MGF</v>
      </c>
      <c r="L2538" s="94"/>
      <c r="M2538" s="109">
        <v>45841.453541666669</v>
      </c>
      <c r="N2538" s="109"/>
      <c r="O2538" s="109"/>
      <c r="P2538" s="110" t="str">
        <f ca="1">IF(Proc[[#This Row],[DaysAgeing]]&gt;5,"yep","on track")</f>
        <v>on track</v>
      </c>
      <c r="Q2538" s="3">
        <f ca="1">IF(Proc[[#This Row],[DateClosed]]="",ABS(NETWORKDAYS(Proc[[#This Row],[DateOpened]],TODAY()))-1,ABS(NETWORKDAYS(Proc[[#This Row],[DateOpened]],Proc[[#This Row],[DateClosed]]))-1)</f>
        <v>1</v>
      </c>
      <c r="R2538" s="110" t="s">
        <v>485</v>
      </c>
      <c r="S2538" s="94"/>
    </row>
    <row r="2539" spans="1:19">
      <c r="A2539" s="103" t="s">
        <v>4448</v>
      </c>
      <c r="B2539" s="94" t="str">
        <f>IFERROR(VLOOKUP(Proc[[#This Row],[App]],Table2[],3,0),"open")</f>
        <v>open</v>
      </c>
      <c r="C2539" s="103" t="s">
        <v>375</v>
      </c>
      <c r="D2539" t="s">
        <v>4486</v>
      </c>
      <c r="E2539" t="s">
        <v>4765</v>
      </c>
      <c r="F2539" s="94" t="s">
        <v>4785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4873</v>
      </c>
      <c r="J2539" s="94" t="b">
        <f>Proc[[#This Row],[Requested]]=Proc[[#This Row],[CurrentParent]]</f>
        <v>0</v>
      </c>
      <c r="K2539" s="94" t="str">
        <f>IF(Proc[[#This Row],[Author]]="Marcela Urrego",VLOOKUP(LEFT(Proc[[#This Row],[Requested]],1),Table3[#All],2,0),VLOOKUP(Proc[[#This Row],[Author]],Table4[],2,0))</f>
        <v>MGF</v>
      </c>
      <c r="L2539" s="94"/>
      <c r="M2539" s="109">
        <v>45841.453541666669</v>
      </c>
      <c r="N2539" s="109"/>
      <c r="O2539" s="109"/>
      <c r="P2539" s="110" t="str">
        <f ca="1">IF(Proc[[#This Row],[DaysAgeing]]&gt;5,"yep","on track")</f>
        <v>on track</v>
      </c>
      <c r="Q2539" s="3">
        <f ca="1">IF(Proc[[#This Row],[DateClosed]]="",ABS(NETWORKDAYS(Proc[[#This Row],[DateOpened]],TODAY()))-1,ABS(NETWORKDAYS(Proc[[#This Row],[DateOpened]],Proc[[#This Row],[DateClosed]]))-1)</f>
        <v>1</v>
      </c>
      <c r="R2539" s="110" t="s">
        <v>485</v>
      </c>
      <c r="S2539" s="94"/>
    </row>
    <row r="2540" spans="1:19">
      <c r="A2540" s="103" t="s">
        <v>4448</v>
      </c>
      <c r="B2540" s="94" t="str">
        <f>IFERROR(VLOOKUP(Proc[[#This Row],[App]],Table2[],3,0),"open")</f>
        <v>open</v>
      </c>
      <c r="C2540" s="103" t="s">
        <v>375</v>
      </c>
      <c r="D2540" t="s">
        <v>4487</v>
      </c>
      <c r="E2540" t="s">
        <v>4763</v>
      </c>
      <c r="F2540" s="94" t="s">
        <v>4786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4873</v>
      </c>
      <c r="J2540" s="94" t="b">
        <f>Proc[[#This Row],[Requested]]=Proc[[#This Row],[CurrentParent]]</f>
        <v>0</v>
      </c>
      <c r="K2540" s="94" t="str">
        <f>IF(Proc[[#This Row],[Author]]="Marcela Urrego",VLOOKUP(LEFT(Proc[[#This Row],[Requested]],1),Table3[#All],2,0),VLOOKUP(Proc[[#This Row],[Author]],Table4[],2,0))</f>
        <v>MGF</v>
      </c>
      <c r="L2540" s="94"/>
      <c r="M2540" s="109">
        <v>45841.453541666669</v>
      </c>
      <c r="N2540" s="109"/>
      <c r="O2540" s="109"/>
      <c r="P2540" s="110" t="str">
        <f ca="1">IF(Proc[[#This Row],[DaysAgeing]]&gt;5,"yep","on track")</f>
        <v>on track</v>
      </c>
      <c r="Q2540" s="3">
        <f ca="1">IF(Proc[[#This Row],[DateClosed]]="",ABS(NETWORKDAYS(Proc[[#This Row],[DateOpened]],TODAY()))-1,ABS(NETWORKDAYS(Proc[[#This Row],[DateOpened]],Proc[[#This Row],[DateClosed]]))-1)</f>
        <v>1</v>
      </c>
      <c r="R2540" s="110" t="s">
        <v>485</v>
      </c>
      <c r="S2540" s="94"/>
    </row>
    <row r="2541" spans="1:19">
      <c r="A2541" s="103" t="s">
        <v>4448</v>
      </c>
      <c r="B2541" s="94" t="str">
        <f>IFERROR(VLOOKUP(Proc[[#This Row],[App]],Table2[],3,0),"open")</f>
        <v>open</v>
      </c>
      <c r="C2541" s="103" t="s">
        <v>375</v>
      </c>
      <c r="D2541" t="s">
        <v>4488</v>
      </c>
      <c r="E2541" t="s">
        <v>4763</v>
      </c>
      <c r="F2541" s="94" t="s">
        <v>4785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4873</v>
      </c>
      <c r="J2541" s="94" t="b">
        <f>Proc[[#This Row],[Requested]]=Proc[[#This Row],[CurrentParent]]</f>
        <v>0</v>
      </c>
      <c r="K2541" s="94" t="str">
        <f>IF(Proc[[#This Row],[Author]]="Marcela Urrego",VLOOKUP(LEFT(Proc[[#This Row],[Requested]],1),Table3[#All],2,0),VLOOKUP(Proc[[#This Row],[Author]],Table4[],2,0))</f>
        <v>MGF</v>
      </c>
      <c r="L2541" s="94"/>
      <c r="M2541" s="109">
        <v>45841.453541666669</v>
      </c>
      <c r="N2541" s="109"/>
      <c r="O2541" s="109"/>
      <c r="P2541" s="110" t="str">
        <f ca="1">IF(Proc[[#This Row],[DaysAgeing]]&gt;5,"yep","on track")</f>
        <v>on track</v>
      </c>
      <c r="Q2541" s="3">
        <f ca="1">IF(Proc[[#This Row],[DateClosed]]="",ABS(NETWORKDAYS(Proc[[#This Row],[DateOpened]],TODAY()))-1,ABS(NETWORKDAYS(Proc[[#This Row],[DateOpened]],Proc[[#This Row],[DateClosed]]))-1)</f>
        <v>1</v>
      </c>
      <c r="R2541" s="110" t="s">
        <v>485</v>
      </c>
      <c r="S2541" s="94"/>
    </row>
    <row r="2542" spans="1:19">
      <c r="A2542" s="103" t="s">
        <v>4448</v>
      </c>
      <c r="B2542" s="94" t="str">
        <f>IFERROR(VLOOKUP(Proc[[#This Row],[App]],Table2[],3,0),"open")</f>
        <v>open</v>
      </c>
      <c r="C2542" s="103" t="s">
        <v>375</v>
      </c>
      <c r="D2542" t="s">
        <v>4489</v>
      </c>
      <c r="E2542" t="s">
        <v>4763</v>
      </c>
      <c r="F2542" s="94" t="s">
        <v>4785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4873</v>
      </c>
      <c r="J2542" s="94" t="b">
        <f>Proc[[#This Row],[Requested]]=Proc[[#This Row],[CurrentParent]]</f>
        <v>0</v>
      </c>
      <c r="K2542" s="94" t="str">
        <f>IF(Proc[[#This Row],[Author]]="Marcela Urrego",VLOOKUP(LEFT(Proc[[#This Row],[Requested]],1),Table3[#All],2,0),VLOOKUP(Proc[[#This Row],[Author]],Table4[],2,0))</f>
        <v>MGF</v>
      </c>
      <c r="L2542" s="94"/>
      <c r="M2542" s="109">
        <v>45841.453541666669</v>
      </c>
      <c r="N2542" s="109"/>
      <c r="O2542" s="109"/>
      <c r="P2542" s="110" t="str">
        <f ca="1">IF(Proc[[#This Row],[DaysAgeing]]&gt;5,"yep","on track")</f>
        <v>on track</v>
      </c>
      <c r="Q2542" s="3">
        <f ca="1">IF(Proc[[#This Row],[DateClosed]]="",ABS(NETWORKDAYS(Proc[[#This Row],[DateOpened]],TODAY()))-1,ABS(NETWORKDAYS(Proc[[#This Row],[DateOpened]],Proc[[#This Row],[DateClosed]]))-1)</f>
        <v>1</v>
      </c>
      <c r="R2542" s="110" t="s">
        <v>485</v>
      </c>
      <c r="S2542" s="94"/>
    </row>
    <row r="2543" spans="1:19">
      <c r="A2543" s="103" t="s">
        <v>4448</v>
      </c>
      <c r="B2543" s="94" t="str">
        <f>IFERROR(VLOOKUP(Proc[[#This Row],[App]],Table2[],3,0),"open")</f>
        <v>open</v>
      </c>
      <c r="C2543" s="103" t="s">
        <v>375</v>
      </c>
      <c r="D2543" t="s">
        <v>4490</v>
      </c>
      <c r="E2543" t="s">
        <v>4764</v>
      </c>
      <c r="F2543" s="94" t="s">
        <v>4788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4873</v>
      </c>
      <c r="J2543" s="94" t="b">
        <f>Proc[[#This Row],[Requested]]=Proc[[#This Row],[CurrentParent]]</f>
        <v>0</v>
      </c>
      <c r="K2543" s="94" t="str">
        <f>IF(Proc[[#This Row],[Author]]="Marcela Urrego",VLOOKUP(LEFT(Proc[[#This Row],[Requested]],1),Table3[#All],2,0),VLOOKUP(Proc[[#This Row],[Author]],Table4[],2,0))</f>
        <v>MGF</v>
      </c>
      <c r="L2543" s="94"/>
      <c r="M2543" s="109">
        <v>45841.453541666669</v>
      </c>
      <c r="N2543" s="109"/>
      <c r="O2543" s="109"/>
      <c r="P2543" s="110" t="str">
        <f ca="1">IF(Proc[[#This Row],[DaysAgeing]]&gt;5,"yep","on track")</f>
        <v>on track</v>
      </c>
      <c r="Q2543" s="3">
        <f ca="1">IF(Proc[[#This Row],[DateClosed]]="",ABS(NETWORKDAYS(Proc[[#This Row],[DateOpened]],TODAY()))-1,ABS(NETWORKDAYS(Proc[[#This Row],[DateOpened]],Proc[[#This Row],[DateClosed]]))-1)</f>
        <v>1</v>
      </c>
      <c r="R2543" s="110" t="s">
        <v>485</v>
      </c>
      <c r="S2543" s="94"/>
    </row>
    <row r="2544" spans="1:19">
      <c r="A2544" s="103" t="s">
        <v>4448</v>
      </c>
      <c r="B2544" s="94" t="str">
        <f>IFERROR(VLOOKUP(Proc[[#This Row],[App]],Table2[],3,0),"open")</f>
        <v>open</v>
      </c>
      <c r="C2544" s="103" t="s">
        <v>375</v>
      </c>
      <c r="D2544" t="s">
        <v>4491</v>
      </c>
      <c r="E2544" t="s">
        <v>4764</v>
      </c>
      <c r="F2544" s="94" t="s">
        <v>4788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4873</v>
      </c>
      <c r="J2544" s="94" t="b">
        <f>Proc[[#This Row],[Requested]]=Proc[[#This Row],[CurrentParent]]</f>
        <v>0</v>
      </c>
      <c r="K2544" s="94" t="str">
        <f>IF(Proc[[#This Row],[Author]]="Marcela Urrego",VLOOKUP(LEFT(Proc[[#This Row],[Requested]],1),Table3[#All],2,0),VLOOKUP(Proc[[#This Row],[Author]],Table4[],2,0))</f>
        <v>MGF</v>
      </c>
      <c r="L2544" s="94"/>
      <c r="M2544" s="109">
        <v>45841.453541666669</v>
      </c>
      <c r="N2544" s="109"/>
      <c r="O2544" s="109"/>
      <c r="P2544" s="110" t="str">
        <f ca="1">IF(Proc[[#This Row],[DaysAgeing]]&gt;5,"yep","on track")</f>
        <v>on track</v>
      </c>
      <c r="Q2544" s="3">
        <f ca="1">IF(Proc[[#This Row],[DateClosed]]="",ABS(NETWORKDAYS(Proc[[#This Row],[DateOpened]],TODAY()))-1,ABS(NETWORKDAYS(Proc[[#This Row],[DateOpened]],Proc[[#This Row],[DateClosed]]))-1)</f>
        <v>1</v>
      </c>
      <c r="R2544" s="110" t="s">
        <v>485</v>
      </c>
      <c r="S2544" s="94"/>
    </row>
    <row r="2545" spans="1:19">
      <c r="A2545" s="103" t="s">
        <v>4448</v>
      </c>
      <c r="B2545" s="94" t="str">
        <f>IFERROR(VLOOKUP(Proc[[#This Row],[App]],Table2[],3,0),"open")</f>
        <v>open</v>
      </c>
      <c r="C2545" s="103" t="s">
        <v>375</v>
      </c>
      <c r="D2545" t="s">
        <v>4492</v>
      </c>
      <c r="E2545" t="s">
        <v>4764</v>
      </c>
      <c r="F2545" s="94" t="s">
        <v>4788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4873</v>
      </c>
      <c r="J2545" s="94" t="b">
        <f>Proc[[#This Row],[Requested]]=Proc[[#This Row],[CurrentParent]]</f>
        <v>0</v>
      </c>
      <c r="K2545" s="94" t="str">
        <f>IF(Proc[[#This Row],[Author]]="Marcela Urrego",VLOOKUP(LEFT(Proc[[#This Row],[Requested]],1),Table3[#All],2,0),VLOOKUP(Proc[[#This Row],[Author]],Table4[],2,0))</f>
        <v>MGF</v>
      </c>
      <c r="L2545" s="94"/>
      <c r="M2545" s="109">
        <v>45841.453541666669</v>
      </c>
      <c r="N2545" s="109"/>
      <c r="O2545" s="109"/>
      <c r="P2545" s="110" t="str">
        <f ca="1">IF(Proc[[#This Row],[DaysAgeing]]&gt;5,"yep","on track")</f>
        <v>on track</v>
      </c>
      <c r="Q2545" s="3">
        <f ca="1">IF(Proc[[#This Row],[DateClosed]]="",ABS(NETWORKDAYS(Proc[[#This Row],[DateOpened]],TODAY()))-1,ABS(NETWORKDAYS(Proc[[#This Row],[DateOpened]],Proc[[#This Row],[DateClosed]]))-1)</f>
        <v>1</v>
      </c>
      <c r="R2545" s="110" t="s">
        <v>485</v>
      </c>
      <c r="S2545" s="94"/>
    </row>
    <row r="2546" spans="1:19">
      <c r="A2546" s="103" t="s">
        <v>4448</v>
      </c>
      <c r="B2546" s="94" t="str">
        <f>IFERROR(VLOOKUP(Proc[[#This Row],[App]],Table2[],3,0),"open")</f>
        <v>open</v>
      </c>
      <c r="C2546" s="103" t="s">
        <v>375</v>
      </c>
      <c r="D2546" t="s">
        <v>4493</v>
      </c>
      <c r="E2546" t="s">
        <v>4764</v>
      </c>
      <c r="F2546" s="94" t="s">
        <v>4788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4873</v>
      </c>
      <c r="J2546" s="94" t="b">
        <f>Proc[[#This Row],[Requested]]=Proc[[#This Row],[CurrentParent]]</f>
        <v>0</v>
      </c>
      <c r="K2546" s="94" t="str">
        <f>IF(Proc[[#This Row],[Author]]="Marcela Urrego",VLOOKUP(LEFT(Proc[[#This Row],[Requested]],1),Table3[#All],2,0),VLOOKUP(Proc[[#This Row],[Author]],Table4[],2,0))</f>
        <v>MGF</v>
      </c>
      <c r="L2546" s="94"/>
      <c r="M2546" s="109">
        <v>45841.453541666669</v>
      </c>
      <c r="N2546" s="109"/>
      <c r="O2546" s="109"/>
      <c r="P2546" s="110" t="str">
        <f ca="1">IF(Proc[[#This Row],[DaysAgeing]]&gt;5,"yep","on track")</f>
        <v>on track</v>
      </c>
      <c r="Q2546" s="3">
        <f ca="1">IF(Proc[[#This Row],[DateClosed]]="",ABS(NETWORKDAYS(Proc[[#This Row],[DateOpened]],TODAY()))-1,ABS(NETWORKDAYS(Proc[[#This Row],[DateOpened]],Proc[[#This Row],[DateClosed]]))-1)</f>
        <v>1</v>
      </c>
      <c r="R2546" s="110" t="s">
        <v>485</v>
      </c>
      <c r="S2546" s="94"/>
    </row>
    <row r="2547" spans="1:19">
      <c r="A2547" s="103" t="s">
        <v>4448</v>
      </c>
      <c r="B2547" s="94" t="str">
        <f>IFERROR(VLOOKUP(Proc[[#This Row],[App]],Table2[],3,0),"open")</f>
        <v>open</v>
      </c>
      <c r="C2547" s="103" t="s">
        <v>375</v>
      </c>
      <c r="D2547" t="s">
        <v>4494</v>
      </c>
      <c r="E2547" t="s">
        <v>4764</v>
      </c>
      <c r="F2547" s="94" t="s">
        <v>4788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4873</v>
      </c>
      <c r="J2547" s="94" t="b">
        <f>Proc[[#This Row],[Requested]]=Proc[[#This Row],[CurrentParent]]</f>
        <v>0</v>
      </c>
      <c r="K2547" s="94" t="str">
        <f>IF(Proc[[#This Row],[Author]]="Marcela Urrego",VLOOKUP(LEFT(Proc[[#This Row],[Requested]],1),Table3[#All],2,0),VLOOKUP(Proc[[#This Row],[Author]],Table4[],2,0))</f>
        <v>MGF</v>
      </c>
      <c r="L2547" s="94"/>
      <c r="M2547" s="109">
        <v>45841.453541666669</v>
      </c>
      <c r="N2547" s="109"/>
      <c r="O2547" s="109"/>
      <c r="P2547" s="110" t="str">
        <f ca="1">IF(Proc[[#This Row],[DaysAgeing]]&gt;5,"yep","on track")</f>
        <v>on track</v>
      </c>
      <c r="Q2547" s="3">
        <f ca="1">IF(Proc[[#This Row],[DateClosed]]="",ABS(NETWORKDAYS(Proc[[#This Row],[DateOpened]],TODAY()))-1,ABS(NETWORKDAYS(Proc[[#This Row],[DateOpened]],Proc[[#This Row],[DateClosed]]))-1)</f>
        <v>1</v>
      </c>
      <c r="R2547" s="110" t="s">
        <v>485</v>
      </c>
      <c r="S2547" s="94"/>
    </row>
    <row r="2548" spans="1:19">
      <c r="A2548" s="103" t="s">
        <v>4448</v>
      </c>
      <c r="B2548" s="94" t="str">
        <f>IFERROR(VLOOKUP(Proc[[#This Row],[App]],Table2[],3,0),"open")</f>
        <v>open</v>
      </c>
      <c r="C2548" s="103" t="s">
        <v>375</v>
      </c>
      <c r="D2548" t="s">
        <v>4495</v>
      </c>
      <c r="E2548" t="s">
        <v>4764</v>
      </c>
      <c r="F2548" s="94" t="s">
        <v>4788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4873</v>
      </c>
      <c r="J2548" s="94" t="b">
        <f>Proc[[#This Row],[Requested]]=Proc[[#This Row],[CurrentParent]]</f>
        <v>0</v>
      </c>
      <c r="K2548" s="94" t="str">
        <f>IF(Proc[[#This Row],[Author]]="Marcela Urrego",VLOOKUP(LEFT(Proc[[#This Row],[Requested]],1),Table3[#All],2,0),VLOOKUP(Proc[[#This Row],[Author]],Table4[],2,0))</f>
        <v>MGF</v>
      </c>
      <c r="L2548" s="94"/>
      <c r="M2548" s="109">
        <v>45841.453541666669</v>
      </c>
      <c r="N2548" s="109"/>
      <c r="O2548" s="109"/>
      <c r="P2548" s="110" t="str">
        <f ca="1">IF(Proc[[#This Row],[DaysAgeing]]&gt;5,"yep","on track")</f>
        <v>on track</v>
      </c>
      <c r="Q2548" s="3">
        <f ca="1">IF(Proc[[#This Row],[DateClosed]]="",ABS(NETWORKDAYS(Proc[[#This Row],[DateOpened]],TODAY()))-1,ABS(NETWORKDAYS(Proc[[#This Row],[DateOpened]],Proc[[#This Row],[DateClosed]]))-1)</f>
        <v>1</v>
      </c>
      <c r="R2548" s="110" t="s">
        <v>485</v>
      </c>
      <c r="S2548" s="94"/>
    </row>
    <row r="2549" spans="1:19">
      <c r="A2549" s="103" t="s">
        <v>4448</v>
      </c>
      <c r="B2549" s="94" t="str">
        <f>IFERROR(VLOOKUP(Proc[[#This Row],[App]],Table2[],3,0),"open")</f>
        <v>open</v>
      </c>
      <c r="C2549" s="103" t="s">
        <v>375</v>
      </c>
      <c r="D2549" t="s">
        <v>4496</v>
      </c>
      <c r="E2549" t="s">
        <v>4764</v>
      </c>
      <c r="F2549" s="94" t="s">
        <v>4788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4873</v>
      </c>
      <c r="J2549" s="94" t="b">
        <f>Proc[[#This Row],[Requested]]=Proc[[#This Row],[CurrentParent]]</f>
        <v>0</v>
      </c>
      <c r="K2549" s="94" t="str">
        <f>IF(Proc[[#This Row],[Author]]="Marcela Urrego",VLOOKUP(LEFT(Proc[[#This Row],[Requested]],1),Table3[#All],2,0),VLOOKUP(Proc[[#This Row],[Author]],Table4[],2,0))</f>
        <v>MGF</v>
      </c>
      <c r="L2549" s="94"/>
      <c r="M2549" s="109">
        <v>45841.453541666669</v>
      </c>
      <c r="N2549" s="109"/>
      <c r="O2549" s="109"/>
      <c r="P2549" s="110" t="str">
        <f ca="1">IF(Proc[[#This Row],[DaysAgeing]]&gt;5,"yep","on track")</f>
        <v>on track</v>
      </c>
      <c r="Q2549" s="3">
        <f ca="1">IF(Proc[[#This Row],[DateClosed]]="",ABS(NETWORKDAYS(Proc[[#This Row],[DateOpened]],TODAY()))-1,ABS(NETWORKDAYS(Proc[[#This Row],[DateOpened]],Proc[[#This Row],[DateClosed]]))-1)</f>
        <v>1</v>
      </c>
      <c r="R2549" s="110" t="s">
        <v>485</v>
      </c>
      <c r="S2549" s="94"/>
    </row>
    <row r="2550" spans="1:19">
      <c r="A2550" s="103" t="s">
        <v>4448</v>
      </c>
      <c r="B2550" s="94" t="str">
        <f>IFERROR(VLOOKUP(Proc[[#This Row],[App]],Table2[],3,0),"open")</f>
        <v>open</v>
      </c>
      <c r="C2550" s="103" t="s">
        <v>375</v>
      </c>
      <c r="D2550" t="s">
        <v>4497</v>
      </c>
      <c r="E2550" t="s">
        <v>4764</v>
      </c>
      <c r="F2550" s="94" t="s">
        <v>4788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4873</v>
      </c>
      <c r="J2550" s="94" t="b">
        <f>Proc[[#This Row],[Requested]]=Proc[[#This Row],[CurrentParent]]</f>
        <v>0</v>
      </c>
      <c r="K2550" s="94" t="str">
        <f>IF(Proc[[#This Row],[Author]]="Marcela Urrego",VLOOKUP(LEFT(Proc[[#This Row],[Requested]],1),Table3[#All],2,0),VLOOKUP(Proc[[#This Row],[Author]],Table4[],2,0))</f>
        <v>MGF</v>
      </c>
      <c r="L2550" s="94"/>
      <c r="M2550" s="109">
        <v>45841.453541666669</v>
      </c>
      <c r="N2550" s="109"/>
      <c r="O2550" s="109"/>
      <c r="P2550" s="110" t="str">
        <f ca="1">IF(Proc[[#This Row],[DaysAgeing]]&gt;5,"yep","on track")</f>
        <v>on track</v>
      </c>
      <c r="Q2550" s="3">
        <f ca="1">IF(Proc[[#This Row],[DateClosed]]="",ABS(NETWORKDAYS(Proc[[#This Row],[DateOpened]],TODAY()))-1,ABS(NETWORKDAYS(Proc[[#This Row],[DateOpened]],Proc[[#This Row],[DateClosed]]))-1)</f>
        <v>1</v>
      </c>
      <c r="R2550" s="110" t="s">
        <v>485</v>
      </c>
      <c r="S2550" s="94"/>
    </row>
    <row r="2551" spans="1:19">
      <c r="A2551" s="103" t="s">
        <v>4448</v>
      </c>
      <c r="B2551" s="94" t="str">
        <f>IFERROR(VLOOKUP(Proc[[#This Row],[App]],Table2[],3,0),"open")</f>
        <v>open</v>
      </c>
      <c r="C2551" s="103" t="s">
        <v>375</v>
      </c>
      <c r="D2551" t="s">
        <v>4498</v>
      </c>
      <c r="E2551" t="s">
        <v>4764</v>
      </c>
      <c r="F2551" s="94" t="s">
        <v>4788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4873</v>
      </c>
      <c r="J2551" s="94" t="b">
        <f>Proc[[#This Row],[Requested]]=Proc[[#This Row],[CurrentParent]]</f>
        <v>0</v>
      </c>
      <c r="K2551" s="94" t="str">
        <f>IF(Proc[[#This Row],[Author]]="Marcela Urrego",VLOOKUP(LEFT(Proc[[#This Row],[Requested]],1),Table3[#All],2,0),VLOOKUP(Proc[[#This Row],[Author]],Table4[],2,0))</f>
        <v>MGF</v>
      </c>
      <c r="L2551" s="94"/>
      <c r="M2551" s="109">
        <v>45841.453541666669</v>
      </c>
      <c r="N2551" s="109"/>
      <c r="O2551" s="109"/>
      <c r="P2551" s="110" t="str">
        <f ca="1">IF(Proc[[#This Row],[DaysAgeing]]&gt;5,"yep","on track")</f>
        <v>on track</v>
      </c>
      <c r="Q2551" s="3">
        <f ca="1">IF(Proc[[#This Row],[DateClosed]]="",ABS(NETWORKDAYS(Proc[[#This Row],[DateOpened]],TODAY()))-1,ABS(NETWORKDAYS(Proc[[#This Row],[DateOpened]],Proc[[#This Row],[DateClosed]]))-1)</f>
        <v>1</v>
      </c>
      <c r="R2551" s="110" t="s">
        <v>485</v>
      </c>
      <c r="S2551" s="94"/>
    </row>
    <row r="2552" spans="1:19">
      <c r="A2552" s="103" t="s">
        <v>4448</v>
      </c>
      <c r="B2552" s="94" t="str">
        <f>IFERROR(VLOOKUP(Proc[[#This Row],[App]],Table2[],3,0),"open")</f>
        <v>open</v>
      </c>
      <c r="C2552" s="103" t="s">
        <v>375</v>
      </c>
      <c r="D2552" t="s">
        <v>4499</v>
      </c>
      <c r="E2552" t="s">
        <v>4764</v>
      </c>
      <c r="F2552" s="94" t="s">
        <v>4788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4873</v>
      </c>
      <c r="J2552" s="94" t="b">
        <f>Proc[[#This Row],[Requested]]=Proc[[#This Row],[CurrentParent]]</f>
        <v>0</v>
      </c>
      <c r="K2552" s="94" t="str">
        <f>IF(Proc[[#This Row],[Author]]="Marcela Urrego",VLOOKUP(LEFT(Proc[[#This Row],[Requested]],1),Table3[#All],2,0),VLOOKUP(Proc[[#This Row],[Author]],Table4[],2,0))</f>
        <v>MGF</v>
      </c>
      <c r="L2552" s="94"/>
      <c r="M2552" s="109">
        <v>45841.453541666669</v>
      </c>
      <c r="N2552" s="109"/>
      <c r="O2552" s="109"/>
      <c r="P2552" s="110" t="str">
        <f ca="1">IF(Proc[[#This Row],[DaysAgeing]]&gt;5,"yep","on track")</f>
        <v>on track</v>
      </c>
      <c r="Q2552" s="3">
        <f ca="1">IF(Proc[[#This Row],[DateClosed]]="",ABS(NETWORKDAYS(Proc[[#This Row],[DateOpened]],TODAY()))-1,ABS(NETWORKDAYS(Proc[[#This Row],[DateOpened]],Proc[[#This Row],[DateClosed]]))-1)</f>
        <v>1</v>
      </c>
      <c r="R2552" s="110" t="s">
        <v>485</v>
      </c>
      <c r="S2552" s="94"/>
    </row>
    <row r="2553" spans="1:19">
      <c r="A2553" s="103" t="s">
        <v>4448</v>
      </c>
      <c r="B2553" s="94" t="str">
        <f>IFERROR(VLOOKUP(Proc[[#This Row],[App]],Table2[],3,0),"open")</f>
        <v>open</v>
      </c>
      <c r="C2553" s="103" t="s">
        <v>375</v>
      </c>
      <c r="D2553" t="s">
        <v>4500</v>
      </c>
      <c r="E2553" t="s">
        <v>4764</v>
      </c>
      <c r="F2553" s="94" t="s">
        <v>4788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4873</v>
      </c>
      <c r="J2553" s="94" t="b">
        <f>Proc[[#This Row],[Requested]]=Proc[[#This Row],[CurrentParent]]</f>
        <v>0</v>
      </c>
      <c r="K2553" s="94" t="str">
        <f>IF(Proc[[#This Row],[Author]]="Marcela Urrego",VLOOKUP(LEFT(Proc[[#This Row],[Requested]],1),Table3[#All],2,0),VLOOKUP(Proc[[#This Row],[Author]],Table4[],2,0))</f>
        <v>MGF</v>
      </c>
      <c r="L2553" s="94"/>
      <c r="M2553" s="109">
        <v>45841.453541666669</v>
      </c>
      <c r="N2553" s="109"/>
      <c r="O2553" s="109"/>
      <c r="P2553" s="110" t="str">
        <f ca="1">IF(Proc[[#This Row],[DaysAgeing]]&gt;5,"yep","on track")</f>
        <v>on track</v>
      </c>
      <c r="Q2553" s="3">
        <f ca="1">IF(Proc[[#This Row],[DateClosed]]="",ABS(NETWORKDAYS(Proc[[#This Row],[DateOpened]],TODAY()))-1,ABS(NETWORKDAYS(Proc[[#This Row],[DateOpened]],Proc[[#This Row],[DateClosed]]))-1)</f>
        <v>1</v>
      </c>
      <c r="R2553" s="110" t="s">
        <v>485</v>
      </c>
      <c r="S2553" s="94"/>
    </row>
    <row r="2554" spans="1:19">
      <c r="A2554" s="103" t="s">
        <v>4448</v>
      </c>
      <c r="B2554" s="94" t="str">
        <f>IFERROR(VLOOKUP(Proc[[#This Row],[App]],Table2[],3,0),"open")</f>
        <v>open</v>
      </c>
      <c r="C2554" s="103" t="s">
        <v>375</v>
      </c>
      <c r="D2554" t="s">
        <v>4501</v>
      </c>
      <c r="E2554" t="s">
        <v>4764</v>
      </c>
      <c r="F2554" s="94" t="s">
        <v>4788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4873</v>
      </c>
      <c r="J2554" s="94" t="b">
        <f>Proc[[#This Row],[Requested]]=Proc[[#This Row],[CurrentParent]]</f>
        <v>0</v>
      </c>
      <c r="K2554" s="94" t="str">
        <f>IF(Proc[[#This Row],[Author]]="Marcela Urrego",VLOOKUP(LEFT(Proc[[#This Row],[Requested]],1),Table3[#All],2,0),VLOOKUP(Proc[[#This Row],[Author]],Table4[],2,0))</f>
        <v>MGF</v>
      </c>
      <c r="L2554" s="94"/>
      <c r="M2554" s="109">
        <v>45841.453541666669</v>
      </c>
      <c r="N2554" s="109"/>
      <c r="O2554" s="109"/>
      <c r="P2554" s="110" t="str">
        <f ca="1">IF(Proc[[#This Row],[DaysAgeing]]&gt;5,"yep","on track")</f>
        <v>on track</v>
      </c>
      <c r="Q2554" s="3">
        <f ca="1">IF(Proc[[#This Row],[DateClosed]]="",ABS(NETWORKDAYS(Proc[[#This Row],[DateOpened]],TODAY()))-1,ABS(NETWORKDAYS(Proc[[#This Row],[DateOpened]],Proc[[#This Row],[DateClosed]]))-1)</f>
        <v>1</v>
      </c>
      <c r="R2554" s="110" t="s">
        <v>485</v>
      </c>
      <c r="S2554" s="94"/>
    </row>
    <row r="2555" spans="1:19">
      <c r="A2555" s="103" t="s">
        <v>4448</v>
      </c>
      <c r="B2555" s="94" t="str">
        <f>IFERROR(VLOOKUP(Proc[[#This Row],[App]],Table2[],3,0),"open")</f>
        <v>open</v>
      </c>
      <c r="C2555" s="103" t="s">
        <v>375</v>
      </c>
      <c r="D2555" t="s">
        <v>4502</v>
      </c>
      <c r="E2555" t="s">
        <v>4764</v>
      </c>
      <c r="F2555" s="94" t="s">
        <v>4788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4873</v>
      </c>
      <c r="J2555" s="94" t="b">
        <f>Proc[[#This Row],[Requested]]=Proc[[#This Row],[CurrentParent]]</f>
        <v>0</v>
      </c>
      <c r="K2555" s="94" t="str">
        <f>IF(Proc[[#This Row],[Author]]="Marcela Urrego",VLOOKUP(LEFT(Proc[[#This Row],[Requested]],1),Table3[#All],2,0),VLOOKUP(Proc[[#This Row],[Author]],Table4[],2,0))</f>
        <v>MGF</v>
      </c>
      <c r="L2555" s="94"/>
      <c r="M2555" s="109">
        <v>45841.453541666669</v>
      </c>
      <c r="N2555" s="109"/>
      <c r="O2555" s="109"/>
      <c r="P2555" s="110" t="str">
        <f ca="1">IF(Proc[[#This Row],[DaysAgeing]]&gt;5,"yep","on track")</f>
        <v>on track</v>
      </c>
      <c r="Q2555" s="3">
        <f ca="1">IF(Proc[[#This Row],[DateClosed]]="",ABS(NETWORKDAYS(Proc[[#This Row],[DateOpened]],TODAY()))-1,ABS(NETWORKDAYS(Proc[[#This Row],[DateOpened]],Proc[[#This Row],[DateClosed]]))-1)</f>
        <v>1</v>
      </c>
      <c r="R2555" s="110" t="s">
        <v>485</v>
      </c>
      <c r="S2555" s="94"/>
    </row>
    <row r="2556" spans="1:19">
      <c r="A2556" s="103" t="s">
        <v>4448</v>
      </c>
      <c r="B2556" s="94" t="str">
        <f>IFERROR(VLOOKUP(Proc[[#This Row],[App]],Table2[],3,0),"open")</f>
        <v>open</v>
      </c>
      <c r="C2556" s="103" t="s">
        <v>375</v>
      </c>
      <c r="D2556" t="s">
        <v>4503</v>
      </c>
      <c r="E2556" t="s">
        <v>4764</v>
      </c>
      <c r="F2556" s="94" t="s">
        <v>4788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4873</v>
      </c>
      <c r="J2556" s="94" t="b">
        <f>Proc[[#This Row],[Requested]]=Proc[[#This Row],[CurrentParent]]</f>
        <v>0</v>
      </c>
      <c r="K2556" s="94" t="str">
        <f>IF(Proc[[#This Row],[Author]]="Marcela Urrego",VLOOKUP(LEFT(Proc[[#This Row],[Requested]],1),Table3[#All],2,0),VLOOKUP(Proc[[#This Row],[Author]],Table4[],2,0))</f>
        <v>MGF</v>
      </c>
      <c r="L2556" s="94"/>
      <c r="M2556" s="109">
        <v>45841.453541666669</v>
      </c>
      <c r="N2556" s="109"/>
      <c r="O2556" s="109"/>
      <c r="P2556" s="110" t="str">
        <f ca="1">IF(Proc[[#This Row],[DaysAgeing]]&gt;5,"yep","on track")</f>
        <v>on track</v>
      </c>
      <c r="Q2556" s="3">
        <f ca="1">IF(Proc[[#This Row],[DateClosed]]="",ABS(NETWORKDAYS(Proc[[#This Row],[DateOpened]],TODAY()))-1,ABS(NETWORKDAYS(Proc[[#This Row],[DateOpened]],Proc[[#This Row],[DateClosed]]))-1)</f>
        <v>1</v>
      </c>
      <c r="R2556" s="110" t="s">
        <v>485</v>
      </c>
      <c r="S2556" s="94"/>
    </row>
    <row r="2557" spans="1:19">
      <c r="A2557" s="103" t="s">
        <v>4448</v>
      </c>
      <c r="B2557" s="94" t="str">
        <f>IFERROR(VLOOKUP(Proc[[#This Row],[App]],Table2[],3,0),"open")</f>
        <v>open</v>
      </c>
      <c r="C2557" s="103" t="s">
        <v>375</v>
      </c>
      <c r="D2557" t="s">
        <v>4504</v>
      </c>
      <c r="E2557" t="s">
        <v>4763</v>
      </c>
      <c r="F2557" s="94" t="s">
        <v>4789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4873</v>
      </c>
      <c r="J2557" s="94" t="b">
        <f>Proc[[#This Row],[Requested]]=Proc[[#This Row],[CurrentParent]]</f>
        <v>0</v>
      </c>
      <c r="K2557" s="94" t="str">
        <f>IF(Proc[[#This Row],[Author]]="Marcela Urrego",VLOOKUP(LEFT(Proc[[#This Row],[Requested]],1),Table3[#All],2,0),VLOOKUP(Proc[[#This Row],[Author]],Table4[],2,0))</f>
        <v>MGF</v>
      </c>
      <c r="L2557" s="94"/>
      <c r="M2557" s="109">
        <v>45841.453541666669</v>
      </c>
      <c r="N2557" s="109"/>
      <c r="O2557" s="109"/>
      <c r="P2557" s="110" t="str">
        <f ca="1">IF(Proc[[#This Row],[DaysAgeing]]&gt;5,"yep","on track")</f>
        <v>on track</v>
      </c>
      <c r="Q2557" s="3">
        <f ca="1">IF(Proc[[#This Row],[DateClosed]]="",ABS(NETWORKDAYS(Proc[[#This Row],[DateOpened]],TODAY()))-1,ABS(NETWORKDAYS(Proc[[#This Row],[DateOpened]],Proc[[#This Row],[DateClosed]]))-1)</f>
        <v>1</v>
      </c>
      <c r="R2557" s="110" t="s">
        <v>485</v>
      </c>
      <c r="S2557" s="94"/>
    </row>
    <row r="2558" spans="1:19">
      <c r="A2558" s="103" t="s">
        <v>4448</v>
      </c>
      <c r="B2558" s="94" t="str">
        <f>IFERROR(VLOOKUP(Proc[[#This Row],[App]],Table2[],3,0),"open")</f>
        <v>open</v>
      </c>
      <c r="C2558" s="103" t="s">
        <v>375</v>
      </c>
      <c r="D2558" t="s">
        <v>4505</v>
      </c>
      <c r="E2558" t="s">
        <v>4763</v>
      </c>
      <c r="F2558" s="94" t="s">
        <v>4786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4873</v>
      </c>
      <c r="J2558" s="94" t="b">
        <f>Proc[[#This Row],[Requested]]=Proc[[#This Row],[CurrentParent]]</f>
        <v>0</v>
      </c>
      <c r="K2558" s="94" t="str">
        <f>IF(Proc[[#This Row],[Author]]="Marcela Urrego",VLOOKUP(LEFT(Proc[[#This Row],[Requested]],1),Table3[#All],2,0),VLOOKUP(Proc[[#This Row],[Author]],Table4[],2,0))</f>
        <v>MGF</v>
      </c>
      <c r="L2558" s="94"/>
      <c r="M2558" s="109">
        <v>45841.453541666669</v>
      </c>
      <c r="N2558" s="109"/>
      <c r="O2558" s="109"/>
      <c r="P2558" s="110" t="str">
        <f ca="1">IF(Proc[[#This Row],[DaysAgeing]]&gt;5,"yep","on track")</f>
        <v>on track</v>
      </c>
      <c r="Q2558" s="3">
        <f ca="1">IF(Proc[[#This Row],[DateClosed]]="",ABS(NETWORKDAYS(Proc[[#This Row],[DateOpened]],TODAY()))-1,ABS(NETWORKDAYS(Proc[[#This Row],[DateOpened]],Proc[[#This Row],[DateClosed]]))-1)</f>
        <v>1</v>
      </c>
      <c r="R2558" s="110" t="s">
        <v>485</v>
      </c>
      <c r="S2558" s="94"/>
    </row>
    <row r="2559" spans="1:19">
      <c r="A2559" s="103" t="s">
        <v>4448</v>
      </c>
      <c r="B2559" s="94" t="str">
        <f>IFERROR(VLOOKUP(Proc[[#This Row],[App]],Table2[],3,0),"open")</f>
        <v>open</v>
      </c>
      <c r="C2559" s="103" t="s">
        <v>375</v>
      </c>
      <c r="D2559" t="s">
        <v>4506</v>
      </c>
      <c r="E2559" t="s">
        <v>4763</v>
      </c>
      <c r="F2559" s="94" t="s">
        <v>4785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4873</v>
      </c>
      <c r="J2559" s="94" t="b">
        <f>Proc[[#This Row],[Requested]]=Proc[[#This Row],[CurrentParent]]</f>
        <v>0</v>
      </c>
      <c r="K2559" s="94" t="str">
        <f>IF(Proc[[#This Row],[Author]]="Marcela Urrego",VLOOKUP(LEFT(Proc[[#This Row],[Requested]],1),Table3[#All],2,0),VLOOKUP(Proc[[#This Row],[Author]],Table4[],2,0))</f>
        <v>MGF</v>
      </c>
      <c r="L2559" s="94"/>
      <c r="M2559" s="109">
        <v>45841.453541666669</v>
      </c>
      <c r="N2559" s="109"/>
      <c r="O2559" s="109"/>
      <c r="P2559" s="110" t="str">
        <f ca="1">IF(Proc[[#This Row],[DaysAgeing]]&gt;5,"yep","on track")</f>
        <v>on track</v>
      </c>
      <c r="Q2559" s="3">
        <f ca="1">IF(Proc[[#This Row],[DateClosed]]="",ABS(NETWORKDAYS(Proc[[#This Row],[DateOpened]],TODAY()))-1,ABS(NETWORKDAYS(Proc[[#This Row],[DateOpened]],Proc[[#This Row],[DateClosed]]))-1)</f>
        <v>1</v>
      </c>
      <c r="R2559" s="110" t="s">
        <v>485</v>
      </c>
      <c r="S2559" s="94"/>
    </row>
    <row r="2560" spans="1:19">
      <c r="A2560" s="103" t="s">
        <v>4448</v>
      </c>
      <c r="B2560" s="94" t="str">
        <f>IFERROR(VLOOKUP(Proc[[#This Row],[App]],Table2[],3,0),"open")</f>
        <v>open</v>
      </c>
      <c r="C2560" s="103" t="s">
        <v>375</v>
      </c>
      <c r="D2560" t="s">
        <v>4507</v>
      </c>
      <c r="E2560" t="s">
        <v>4764</v>
      </c>
      <c r="F2560" s="94" t="s">
        <v>4788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4873</v>
      </c>
      <c r="J2560" s="94" t="b">
        <f>Proc[[#This Row],[Requested]]=Proc[[#This Row],[CurrentParent]]</f>
        <v>0</v>
      </c>
      <c r="K2560" s="94" t="str">
        <f>IF(Proc[[#This Row],[Author]]="Marcela Urrego",VLOOKUP(LEFT(Proc[[#This Row],[Requested]],1),Table3[#All],2,0),VLOOKUP(Proc[[#This Row],[Author]],Table4[],2,0))</f>
        <v>MGF</v>
      </c>
      <c r="L2560" s="94"/>
      <c r="M2560" s="109">
        <v>45841.453541666669</v>
      </c>
      <c r="N2560" s="109"/>
      <c r="O2560" s="109"/>
      <c r="P2560" s="110" t="str">
        <f ca="1">IF(Proc[[#This Row],[DaysAgeing]]&gt;5,"yep","on track")</f>
        <v>on track</v>
      </c>
      <c r="Q2560" s="3">
        <f ca="1">IF(Proc[[#This Row],[DateClosed]]="",ABS(NETWORKDAYS(Proc[[#This Row],[DateOpened]],TODAY()))-1,ABS(NETWORKDAYS(Proc[[#This Row],[DateOpened]],Proc[[#This Row],[DateClosed]]))-1)</f>
        <v>1</v>
      </c>
      <c r="R2560" s="110" t="s">
        <v>485</v>
      </c>
      <c r="S2560" s="94"/>
    </row>
    <row r="2561" spans="1:19">
      <c r="A2561" s="103" t="s">
        <v>4448</v>
      </c>
      <c r="B2561" s="94" t="str">
        <f>IFERROR(VLOOKUP(Proc[[#This Row],[App]],Table2[],3,0),"open")</f>
        <v>open</v>
      </c>
      <c r="C2561" s="103" t="s">
        <v>375</v>
      </c>
      <c r="D2561" t="s">
        <v>4508</v>
      </c>
      <c r="E2561" t="s">
        <v>4764</v>
      </c>
      <c r="F2561" s="94" t="s">
        <v>4788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4873</v>
      </c>
      <c r="J2561" s="94" t="b">
        <f>Proc[[#This Row],[Requested]]=Proc[[#This Row],[CurrentParent]]</f>
        <v>0</v>
      </c>
      <c r="K2561" s="94" t="str">
        <f>IF(Proc[[#This Row],[Author]]="Marcela Urrego",VLOOKUP(LEFT(Proc[[#This Row],[Requested]],1),Table3[#All],2,0),VLOOKUP(Proc[[#This Row],[Author]],Table4[],2,0))</f>
        <v>MGF</v>
      </c>
      <c r="L2561" s="94"/>
      <c r="M2561" s="109">
        <v>45841.453541666669</v>
      </c>
      <c r="N2561" s="109"/>
      <c r="O2561" s="109"/>
      <c r="P2561" s="110" t="str">
        <f ca="1">IF(Proc[[#This Row],[DaysAgeing]]&gt;5,"yep","on track")</f>
        <v>on track</v>
      </c>
      <c r="Q2561" s="3">
        <f ca="1">IF(Proc[[#This Row],[DateClosed]]="",ABS(NETWORKDAYS(Proc[[#This Row],[DateOpened]],TODAY()))-1,ABS(NETWORKDAYS(Proc[[#This Row],[DateOpened]],Proc[[#This Row],[DateClosed]]))-1)</f>
        <v>1</v>
      </c>
      <c r="R2561" s="110" t="s">
        <v>485</v>
      </c>
      <c r="S2561" s="94"/>
    </row>
    <row r="2562" spans="1:19">
      <c r="A2562" s="103" t="s">
        <v>4448</v>
      </c>
      <c r="B2562" s="94" t="str">
        <f>IFERROR(VLOOKUP(Proc[[#This Row],[App]],Table2[],3,0),"open")</f>
        <v>open</v>
      </c>
      <c r="C2562" s="103" t="s">
        <v>375</v>
      </c>
      <c r="D2562" t="s">
        <v>4509</v>
      </c>
      <c r="E2562" t="s">
        <v>4764</v>
      </c>
      <c r="F2562" s="94" t="s">
        <v>4788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4873</v>
      </c>
      <c r="J2562" s="94" t="b">
        <f>Proc[[#This Row],[Requested]]=Proc[[#This Row],[CurrentParent]]</f>
        <v>0</v>
      </c>
      <c r="K2562" s="94" t="str">
        <f>IF(Proc[[#This Row],[Author]]="Marcela Urrego",VLOOKUP(LEFT(Proc[[#This Row],[Requested]],1),Table3[#All],2,0),VLOOKUP(Proc[[#This Row],[Author]],Table4[],2,0))</f>
        <v>MGF</v>
      </c>
      <c r="L2562" s="94"/>
      <c r="M2562" s="109">
        <v>45841.453541666669</v>
      </c>
      <c r="N2562" s="109"/>
      <c r="O2562" s="109"/>
      <c r="P2562" s="110" t="str">
        <f ca="1">IF(Proc[[#This Row],[DaysAgeing]]&gt;5,"yep","on track")</f>
        <v>on track</v>
      </c>
      <c r="Q2562" s="3">
        <f ca="1">IF(Proc[[#This Row],[DateClosed]]="",ABS(NETWORKDAYS(Proc[[#This Row],[DateOpened]],TODAY()))-1,ABS(NETWORKDAYS(Proc[[#This Row],[DateOpened]],Proc[[#This Row],[DateClosed]]))-1)</f>
        <v>1</v>
      </c>
      <c r="R2562" s="110" t="s">
        <v>485</v>
      </c>
      <c r="S2562" s="94"/>
    </row>
    <row r="2563" spans="1:19">
      <c r="A2563" s="103" t="s">
        <v>4448</v>
      </c>
      <c r="B2563" s="94" t="str">
        <f>IFERROR(VLOOKUP(Proc[[#This Row],[App]],Table2[],3,0),"open")</f>
        <v>open</v>
      </c>
      <c r="C2563" s="103" t="s">
        <v>375</v>
      </c>
      <c r="D2563" t="s">
        <v>4510</v>
      </c>
      <c r="E2563" t="s">
        <v>4764</v>
      </c>
      <c r="F2563" s="94" t="s">
        <v>4788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4873</v>
      </c>
      <c r="J2563" s="94" t="b">
        <f>Proc[[#This Row],[Requested]]=Proc[[#This Row],[CurrentParent]]</f>
        <v>0</v>
      </c>
      <c r="K2563" s="94" t="str">
        <f>IF(Proc[[#This Row],[Author]]="Marcela Urrego",VLOOKUP(LEFT(Proc[[#This Row],[Requested]],1),Table3[#All],2,0),VLOOKUP(Proc[[#This Row],[Author]],Table4[],2,0))</f>
        <v>MGF</v>
      </c>
      <c r="L2563" s="94"/>
      <c r="M2563" s="109">
        <v>45841.453541666669</v>
      </c>
      <c r="N2563" s="109"/>
      <c r="O2563" s="109"/>
      <c r="P2563" s="110" t="str">
        <f ca="1">IF(Proc[[#This Row],[DaysAgeing]]&gt;5,"yep","on track")</f>
        <v>on track</v>
      </c>
      <c r="Q2563" s="3">
        <f ca="1">IF(Proc[[#This Row],[DateClosed]]="",ABS(NETWORKDAYS(Proc[[#This Row],[DateOpened]],TODAY()))-1,ABS(NETWORKDAYS(Proc[[#This Row],[DateOpened]],Proc[[#This Row],[DateClosed]]))-1)</f>
        <v>1</v>
      </c>
      <c r="R2563" s="110" t="s">
        <v>485</v>
      </c>
      <c r="S2563" s="94"/>
    </row>
    <row r="2564" spans="1:19">
      <c r="A2564" s="103" t="s">
        <v>4448</v>
      </c>
      <c r="B2564" s="94" t="str">
        <f>IFERROR(VLOOKUP(Proc[[#This Row],[App]],Table2[],3,0),"open")</f>
        <v>open</v>
      </c>
      <c r="C2564" s="103" t="s">
        <v>375</v>
      </c>
      <c r="D2564" t="s">
        <v>4511</v>
      </c>
      <c r="E2564" t="s">
        <v>4764</v>
      </c>
      <c r="F2564" s="94" t="s">
        <v>4788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4873</v>
      </c>
      <c r="J2564" s="94" t="b">
        <f>Proc[[#This Row],[Requested]]=Proc[[#This Row],[CurrentParent]]</f>
        <v>0</v>
      </c>
      <c r="K2564" s="94" t="str">
        <f>IF(Proc[[#This Row],[Author]]="Marcela Urrego",VLOOKUP(LEFT(Proc[[#This Row],[Requested]],1),Table3[#All],2,0),VLOOKUP(Proc[[#This Row],[Author]],Table4[],2,0))</f>
        <v>MGF</v>
      </c>
      <c r="L2564" s="94"/>
      <c r="M2564" s="109">
        <v>45841.453541666669</v>
      </c>
      <c r="N2564" s="109"/>
      <c r="O2564" s="109"/>
      <c r="P2564" s="110" t="str">
        <f ca="1">IF(Proc[[#This Row],[DaysAgeing]]&gt;5,"yep","on track")</f>
        <v>on track</v>
      </c>
      <c r="Q2564" s="3">
        <f ca="1">IF(Proc[[#This Row],[DateClosed]]="",ABS(NETWORKDAYS(Proc[[#This Row],[DateOpened]],TODAY()))-1,ABS(NETWORKDAYS(Proc[[#This Row],[DateOpened]],Proc[[#This Row],[DateClosed]]))-1)</f>
        <v>1</v>
      </c>
      <c r="R2564" s="110" t="s">
        <v>485</v>
      </c>
      <c r="S2564" s="94"/>
    </row>
    <row r="2565" spans="1:19">
      <c r="A2565" s="103" t="s">
        <v>4448</v>
      </c>
      <c r="B2565" s="94" t="str">
        <f>IFERROR(VLOOKUP(Proc[[#This Row],[App]],Table2[],3,0),"open")</f>
        <v>open</v>
      </c>
      <c r="C2565" s="103" t="s">
        <v>375</v>
      </c>
      <c r="D2565" t="s">
        <v>4512</v>
      </c>
      <c r="E2565" t="s">
        <v>4764</v>
      </c>
      <c r="F2565" s="94" t="s">
        <v>4788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4873</v>
      </c>
      <c r="J2565" s="94" t="b">
        <f>Proc[[#This Row],[Requested]]=Proc[[#This Row],[CurrentParent]]</f>
        <v>0</v>
      </c>
      <c r="K2565" s="94" t="str">
        <f>IF(Proc[[#This Row],[Author]]="Marcela Urrego",VLOOKUP(LEFT(Proc[[#This Row],[Requested]],1),Table3[#All],2,0),VLOOKUP(Proc[[#This Row],[Author]],Table4[],2,0))</f>
        <v>MGF</v>
      </c>
      <c r="L2565" s="94"/>
      <c r="M2565" s="109">
        <v>45841.453541666669</v>
      </c>
      <c r="N2565" s="109"/>
      <c r="O2565" s="109"/>
      <c r="P2565" s="110" t="str">
        <f ca="1">IF(Proc[[#This Row],[DaysAgeing]]&gt;5,"yep","on track")</f>
        <v>on track</v>
      </c>
      <c r="Q2565" s="3">
        <f ca="1">IF(Proc[[#This Row],[DateClosed]]="",ABS(NETWORKDAYS(Proc[[#This Row],[DateOpened]],TODAY()))-1,ABS(NETWORKDAYS(Proc[[#This Row],[DateOpened]],Proc[[#This Row],[DateClosed]]))-1)</f>
        <v>1</v>
      </c>
      <c r="R2565" s="110" t="s">
        <v>485</v>
      </c>
      <c r="S2565" s="94"/>
    </row>
    <row r="2566" spans="1:19">
      <c r="A2566" s="103" t="s">
        <v>4448</v>
      </c>
      <c r="B2566" s="94" t="str">
        <f>IFERROR(VLOOKUP(Proc[[#This Row],[App]],Table2[],3,0),"open")</f>
        <v>open</v>
      </c>
      <c r="C2566" s="103" t="s">
        <v>375</v>
      </c>
      <c r="D2566" t="s">
        <v>4513</v>
      </c>
      <c r="E2566" t="s">
        <v>4764</v>
      </c>
      <c r="F2566" s="94" t="s">
        <v>4788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4873</v>
      </c>
      <c r="J2566" s="94" t="b">
        <f>Proc[[#This Row],[Requested]]=Proc[[#This Row],[CurrentParent]]</f>
        <v>0</v>
      </c>
      <c r="K2566" s="94" t="str">
        <f>IF(Proc[[#This Row],[Author]]="Marcela Urrego",VLOOKUP(LEFT(Proc[[#This Row],[Requested]],1),Table3[#All],2,0),VLOOKUP(Proc[[#This Row],[Author]],Table4[],2,0))</f>
        <v>MGF</v>
      </c>
      <c r="L2566" s="94"/>
      <c r="M2566" s="109">
        <v>45841.453541666669</v>
      </c>
      <c r="N2566" s="109"/>
      <c r="O2566" s="109"/>
      <c r="P2566" s="110" t="str">
        <f ca="1">IF(Proc[[#This Row],[DaysAgeing]]&gt;5,"yep","on track")</f>
        <v>on track</v>
      </c>
      <c r="Q2566" s="3">
        <f ca="1">IF(Proc[[#This Row],[DateClosed]]="",ABS(NETWORKDAYS(Proc[[#This Row],[DateOpened]],TODAY()))-1,ABS(NETWORKDAYS(Proc[[#This Row],[DateOpened]],Proc[[#This Row],[DateClosed]]))-1)</f>
        <v>1</v>
      </c>
      <c r="R2566" s="110" t="s">
        <v>485</v>
      </c>
      <c r="S2566" s="94"/>
    </row>
    <row r="2567" spans="1:19">
      <c r="A2567" s="103" t="s">
        <v>4448</v>
      </c>
      <c r="B2567" s="94" t="str">
        <f>IFERROR(VLOOKUP(Proc[[#This Row],[App]],Table2[],3,0),"open")</f>
        <v>open</v>
      </c>
      <c r="C2567" s="103" t="s">
        <v>375</v>
      </c>
      <c r="D2567" t="s">
        <v>4514</v>
      </c>
      <c r="E2567" t="s">
        <v>4764</v>
      </c>
      <c r="F2567" s="94" t="s">
        <v>4788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4873</v>
      </c>
      <c r="J2567" s="94" t="b">
        <f>Proc[[#This Row],[Requested]]=Proc[[#This Row],[CurrentParent]]</f>
        <v>0</v>
      </c>
      <c r="K2567" s="94" t="str">
        <f>IF(Proc[[#This Row],[Author]]="Marcela Urrego",VLOOKUP(LEFT(Proc[[#This Row],[Requested]],1),Table3[#All],2,0),VLOOKUP(Proc[[#This Row],[Author]],Table4[],2,0))</f>
        <v>MGF</v>
      </c>
      <c r="L2567" s="94"/>
      <c r="M2567" s="109">
        <v>45841.453541666669</v>
      </c>
      <c r="N2567" s="109"/>
      <c r="O2567" s="109"/>
      <c r="P2567" s="110" t="str">
        <f ca="1">IF(Proc[[#This Row],[DaysAgeing]]&gt;5,"yep","on track")</f>
        <v>on track</v>
      </c>
      <c r="Q2567" s="3">
        <f ca="1">IF(Proc[[#This Row],[DateClosed]]="",ABS(NETWORKDAYS(Proc[[#This Row],[DateOpened]],TODAY()))-1,ABS(NETWORKDAYS(Proc[[#This Row],[DateOpened]],Proc[[#This Row],[DateClosed]]))-1)</f>
        <v>1</v>
      </c>
      <c r="R2567" s="110" t="s">
        <v>485</v>
      </c>
      <c r="S2567" s="94"/>
    </row>
    <row r="2568" spans="1:19">
      <c r="A2568" s="103" t="s">
        <v>4448</v>
      </c>
      <c r="B2568" s="94" t="str">
        <f>IFERROR(VLOOKUP(Proc[[#This Row],[App]],Table2[],3,0),"open")</f>
        <v>open</v>
      </c>
      <c r="C2568" s="103" t="s">
        <v>375</v>
      </c>
      <c r="D2568" t="s">
        <v>4515</v>
      </c>
      <c r="E2568" t="s">
        <v>4764</v>
      </c>
      <c r="F2568" s="94" t="s">
        <v>4788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4873</v>
      </c>
      <c r="J2568" s="94" t="b">
        <f>Proc[[#This Row],[Requested]]=Proc[[#This Row],[CurrentParent]]</f>
        <v>0</v>
      </c>
      <c r="K2568" s="94" t="str">
        <f>IF(Proc[[#This Row],[Author]]="Marcela Urrego",VLOOKUP(LEFT(Proc[[#This Row],[Requested]],1),Table3[#All],2,0),VLOOKUP(Proc[[#This Row],[Author]],Table4[],2,0))</f>
        <v>MGF</v>
      </c>
      <c r="L2568" s="94"/>
      <c r="M2568" s="109">
        <v>45841.453541666669</v>
      </c>
      <c r="N2568" s="109"/>
      <c r="O2568" s="109"/>
      <c r="P2568" s="110" t="str">
        <f ca="1">IF(Proc[[#This Row],[DaysAgeing]]&gt;5,"yep","on track")</f>
        <v>on track</v>
      </c>
      <c r="Q2568" s="3">
        <f ca="1">IF(Proc[[#This Row],[DateClosed]]="",ABS(NETWORKDAYS(Proc[[#This Row],[DateOpened]],TODAY()))-1,ABS(NETWORKDAYS(Proc[[#This Row],[DateOpened]],Proc[[#This Row],[DateClosed]]))-1)</f>
        <v>1</v>
      </c>
      <c r="R2568" s="110" t="s">
        <v>485</v>
      </c>
      <c r="S2568" s="94"/>
    </row>
    <row r="2569" spans="1:19">
      <c r="A2569" s="103" t="s">
        <v>4448</v>
      </c>
      <c r="B2569" s="94" t="str">
        <f>IFERROR(VLOOKUP(Proc[[#This Row],[App]],Table2[],3,0),"open")</f>
        <v>open</v>
      </c>
      <c r="C2569" s="103" t="s">
        <v>375</v>
      </c>
      <c r="D2569" t="s">
        <v>4516</v>
      </c>
      <c r="E2569" t="s">
        <v>4764</v>
      </c>
      <c r="F2569" s="94" t="s">
        <v>4788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4873</v>
      </c>
      <c r="J2569" s="94" t="b">
        <f>Proc[[#This Row],[Requested]]=Proc[[#This Row],[CurrentParent]]</f>
        <v>0</v>
      </c>
      <c r="K2569" s="94" t="str">
        <f>IF(Proc[[#This Row],[Author]]="Marcela Urrego",VLOOKUP(LEFT(Proc[[#This Row],[Requested]],1),Table3[#All],2,0),VLOOKUP(Proc[[#This Row],[Author]],Table4[],2,0))</f>
        <v>MGF</v>
      </c>
      <c r="L2569" s="94"/>
      <c r="M2569" s="109">
        <v>45841.453541666669</v>
      </c>
      <c r="N2569" s="109"/>
      <c r="O2569" s="109"/>
      <c r="P2569" s="110" t="str">
        <f ca="1">IF(Proc[[#This Row],[DaysAgeing]]&gt;5,"yep","on track")</f>
        <v>on track</v>
      </c>
      <c r="Q2569" s="3">
        <f ca="1">IF(Proc[[#This Row],[DateClosed]]="",ABS(NETWORKDAYS(Proc[[#This Row],[DateOpened]],TODAY()))-1,ABS(NETWORKDAYS(Proc[[#This Row],[DateOpened]],Proc[[#This Row],[DateClosed]]))-1)</f>
        <v>1</v>
      </c>
      <c r="R2569" s="110" t="s">
        <v>485</v>
      </c>
      <c r="S2569" s="94"/>
    </row>
    <row r="2570" spans="1:19">
      <c r="A2570" s="103" t="s">
        <v>4448</v>
      </c>
      <c r="B2570" s="94" t="str">
        <f>IFERROR(VLOOKUP(Proc[[#This Row],[App]],Table2[],3,0),"open")</f>
        <v>open</v>
      </c>
      <c r="C2570" s="103" t="s">
        <v>375</v>
      </c>
      <c r="D2570" t="s">
        <v>4517</v>
      </c>
      <c r="E2570" t="s">
        <v>4764</v>
      </c>
      <c r="F2570" s="94" t="s">
        <v>4788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4873</v>
      </c>
      <c r="J2570" s="94" t="b">
        <f>Proc[[#This Row],[Requested]]=Proc[[#This Row],[CurrentParent]]</f>
        <v>0</v>
      </c>
      <c r="K2570" s="94" t="str">
        <f>IF(Proc[[#This Row],[Author]]="Marcela Urrego",VLOOKUP(LEFT(Proc[[#This Row],[Requested]],1),Table3[#All],2,0),VLOOKUP(Proc[[#This Row],[Author]],Table4[],2,0))</f>
        <v>MGF</v>
      </c>
      <c r="L2570" s="94"/>
      <c r="M2570" s="109">
        <v>45841.453541666669</v>
      </c>
      <c r="N2570" s="109"/>
      <c r="O2570" s="109"/>
      <c r="P2570" s="110" t="str">
        <f ca="1">IF(Proc[[#This Row],[DaysAgeing]]&gt;5,"yep","on track")</f>
        <v>on track</v>
      </c>
      <c r="Q2570" s="3">
        <f ca="1">IF(Proc[[#This Row],[DateClosed]]="",ABS(NETWORKDAYS(Proc[[#This Row],[DateOpened]],TODAY()))-1,ABS(NETWORKDAYS(Proc[[#This Row],[DateOpened]],Proc[[#This Row],[DateClosed]]))-1)</f>
        <v>1</v>
      </c>
      <c r="R2570" s="110" t="s">
        <v>485</v>
      </c>
      <c r="S2570" s="94"/>
    </row>
    <row r="2571" spans="1:19">
      <c r="A2571" s="103" t="s">
        <v>4448</v>
      </c>
      <c r="B2571" s="94" t="str">
        <f>IFERROR(VLOOKUP(Proc[[#This Row],[App]],Table2[],3,0),"open")</f>
        <v>open</v>
      </c>
      <c r="C2571" s="103" t="s">
        <v>375</v>
      </c>
      <c r="D2571" t="s">
        <v>4518</v>
      </c>
      <c r="E2571" t="s">
        <v>4764</v>
      </c>
      <c r="F2571" s="94" t="s">
        <v>4788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4873</v>
      </c>
      <c r="J2571" s="94" t="b">
        <f>Proc[[#This Row],[Requested]]=Proc[[#This Row],[CurrentParent]]</f>
        <v>0</v>
      </c>
      <c r="K2571" s="94" t="str">
        <f>IF(Proc[[#This Row],[Author]]="Marcela Urrego",VLOOKUP(LEFT(Proc[[#This Row],[Requested]],1),Table3[#All],2,0),VLOOKUP(Proc[[#This Row],[Author]],Table4[],2,0))</f>
        <v>MGF</v>
      </c>
      <c r="L2571" s="94"/>
      <c r="M2571" s="109">
        <v>45841.453541666669</v>
      </c>
      <c r="N2571" s="109"/>
      <c r="O2571" s="109"/>
      <c r="P2571" s="110" t="str">
        <f ca="1">IF(Proc[[#This Row],[DaysAgeing]]&gt;5,"yep","on track")</f>
        <v>on track</v>
      </c>
      <c r="Q2571" s="3">
        <f ca="1">IF(Proc[[#This Row],[DateClosed]]="",ABS(NETWORKDAYS(Proc[[#This Row],[DateOpened]],TODAY()))-1,ABS(NETWORKDAYS(Proc[[#This Row],[DateOpened]],Proc[[#This Row],[DateClosed]]))-1)</f>
        <v>1</v>
      </c>
      <c r="R2571" s="110" t="s">
        <v>485</v>
      </c>
      <c r="S2571" s="94"/>
    </row>
    <row r="2572" spans="1:19">
      <c r="A2572" s="103" t="s">
        <v>4448</v>
      </c>
      <c r="B2572" s="94" t="str">
        <f>IFERROR(VLOOKUP(Proc[[#This Row],[App]],Table2[],3,0),"open")</f>
        <v>open</v>
      </c>
      <c r="C2572" s="103" t="s">
        <v>375</v>
      </c>
      <c r="D2572" t="s">
        <v>4519</v>
      </c>
      <c r="E2572" t="s">
        <v>4764</v>
      </c>
      <c r="F2572" s="94" t="s">
        <v>4788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4873</v>
      </c>
      <c r="J2572" s="94" t="b">
        <f>Proc[[#This Row],[Requested]]=Proc[[#This Row],[CurrentParent]]</f>
        <v>0</v>
      </c>
      <c r="K2572" s="94" t="str">
        <f>IF(Proc[[#This Row],[Author]]="Marcela Urrego",VLOOKUP(LEFT(Proc[[#This Row],[Requested]],1),Table3[#All],2,0),VLOOKUP(Proc[[#This Row],[Author]],Table4[],2,0))</f>
        <v>MGF</v>
      </c>
      <c r="L2572" s="94"/>
      <c r="M2572" s="109">
        <v>45841.453541666669</v>
      </c>
      <c r="N2572" s="109"/>
      <c r="O2572" s="109"/>
      <c r="P2572" s="110" t="str">
        <f ca="1">IF(Proc[[#This Row],[DaysAgeing]]&gt;5,"yep","on track")</f>
        <v>on track</v>
      </c>
      <c r="Q2572" s="3">
        <f ca="1">IF(Proc[[#This Row],[DateClosed]]="",ABS(NETWORKDAYS(Proc[[#This Row],[DateOpened]],TODAY()))-1,ABS(NETWORKDAYS(Proc[[#This Row],[DateOpened]],Proc[[#This Row],[DateClosed]]))-1)</f>
        <v>1</v>
      </c>
      <c r="R2572" s="110" t="s">
        <v>485</v>
      </c>
      <c r="S2572" s="94"/>
    </row>
    <row r="2573" spans="1:19">
      <c r="A2573" s="103" t="s">
        <v>4448</v>
      </c>
      <c r="B2573" s="94" t="str">
        <f>IFERROR(VLOOKUP(Proc[[#This Row],[App]],Table2[],3,0),"open")</f>
        <v>open</v>
      </c>
      <c r="C2573" s="103" t="s">
        <v>375</v>
      </c>
      <c r="D2573" t="s">
        <v>4520</v>
      </c>
      <c r="E2573" t="s">
        <v>4764</v>
      </c>
      <c r="F2573" s="94" t="s">
        <v>4788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4873</v>
      </c>
      <c r="J2573" s="94" t="b">
        <f>Proc[[#This Row],[Requested]]=Proc[[#This Row],[CurrentParent]]</f>
        <v>0</v>
      </c>
      <c r="K2573" s="94" t="str">
        <f>IF(Proc[[#This Row],[Author]]="Marcela Urrego",VLOOKUP(LEFT(Proc[[#This Row],[Requested]],1),Table3[#All],2,0),VLOOKUP(Proc[[#This Row],[Author]],Table4[],2,0))</f>
        <v>MGF</v>
      </c>
      <c r="L2573" s="94"/>
      <c r="M2573" s="109">
        <v>45841.453541666669</v>
      </c>
      <c r="N2573" s="109"/>
      <c r="O2573" s="109"/>
      <c r="P2573" s="110" t="str">
        <f ca="1">IF(Proc[[#This Row],[DaysAgeing]]&gt;5,"yep","on track")</f>
        <v>on track</v>
      </c>
      <c r="Q2573" s="3">
        <f ca="1">IF(Proc[[#This Row],[DateClosed]]="",ABS(NETWORKDAYS(Proc[[#This Row],[DateOpened]],TODAY()))-1,ABS(NETWORKDAYS(Proc[[#This Row],[DateOpened]],Proc[[#This Row],[DateClosed]]))-1)</f>
        <v>1</v>
      </c>
      <c r="R2573" s="110" t="s">
        <v>485</v>
      </c>
      <c r="S2573" s="94"/>
    </row>
    <row r="2574" spans="1:19">
      <c r="A2574" s="103" t="s">
        <v>4448</v>
      </c>
      <c r="B2574" s="94" t="str">
        <f>IFERROR(VLOOKUP(Proc[[#This Row],[App]],Table2[],3,0),"open")</f>
        <v>open</v>
      </c>
      <c r="C2574" s="103" t="s">
        <v>375</v>
      </c>
      <c r="D2574" t="s">
        <v>4521</v>
      </c>
      <c r="E2574" t="s">
        <v>4764</v>
      </c>
      <c r="F2574" s="94" t="s">
        <v>4788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4873</v>
      </c>
      <c r="J2574" s="94" t="b">
        <f>Proc[[#This Row],[Requested]]=Proc[[#This Row],[CurrentParent]]</f>
        <v>0</v>
      </c>
      <c r="K2574" s="94" t="str">
        <f>IF(Proc[[#This Row],[Author]]="Marcela Urrego",VLOOKUP(LEFT(Proc[[#This Row],[Requested]],1),Table3[#All],2,0),VLOOKUP(Proc[[#This Row],[Author]],Table4[],2,0))</f>
        <v>MGF</v>
      </c>
      <c r="L2574" s="94"/>
      <c r="M2574" s="109">
        <v>45841.453541666669</v>
      </c>
      <c r="N2574" s="109"/>
      <c r="O2574" s="109"/>
      <c r="P2574" s="110" t="str">
        <f ca="1">IF(Proc[[#This Row],[DaysAgeing]]&gt;5,"yep","on track")</f>
        <v>on track</v>
      </c>
      <c r="Q2574" s="3">
        <f ca="1">IF(Proc[[#This Row],[DateClosed]]="",ABS(NETWORKDAYS(Proc[[#This Row],[DateOpened]],TODAY()))-1,ABS(NETWORKDAYS(Proc[[#This Row],[DateOpened]],Proc[[#This Row],[DateClosed]]))-1)</f>
        <v>1</v>
      </c>
      <c r="R2574" s="110" t="s">
        <v>485</v>
      </c>
      <c r="S2574" s="94"/>
    </row>
    <row r="2575" spans="1:19">
      <c r="A2575" s="103" t="s">
        <v>4448</v>
      </c>
      <c r="B2575" s="94" t="str">
        <f>IFERROR(VLOOKUP(Proc[[#This Row],[App]],Table2[],3,0),"open")</f>
        <v>open</v>
      </c>
      <c r="C2575" s="103" t="s">
        <v>375</v>
      </c>
      <c r="D2575" t="s">
        <v>4522</v>
      </c>
      <c r="E2575" t="s">
        <v>4764</v>
      </c>
      <c r="F2575" s="94" t="s">
        <v>4788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4873</v>
      </c>
      <c r="J2575" s="94" t="b">
        <f>Proc[[#This Row],[Requested]]=Proc[[#This Row],[CurrentParent]]</f>
        <v>0</v>
      </c>
      <c r="K2575" s="94" t="str">
        <f>IF(Proc[[#This Row],[Author]]="Marcela Urrego",VLOOKUP(LEFT(Proc[[#This Row],[Requested]],1),Table3[#All],2,0),VLOOKUP(Proc[[#This Row],[Author]],Table4[],2,0))</f>
        <v>MGF</v>
      </c>
      <c r="L2575" s="94"/>
      <c r="M2575" s="109">
        <v>45841.453541666669</v>
      </c>
      <c r="N2575" s="109"/>
      <c r="O2575" s="109"/>
      <c r="P2575" s="110" t="str">
        <f ca="1">IF(Proc[[#This Row],[DaysAgeing]]&gt;5,"yep","on track")</f>
        <v>on track</v>
      </c>
      <c r="Q2575" s="3">
        <f ca="1">IF(Proc[[#This Row],[DateClosed]]="",ABS(NETWORKDAYS(Proc[[#This Row],[DateOpened]],TODAY()))-1,ABS(NETWORKDAYS(Proc[[#This Row],[DateOpened]],Proc[[#This Row],[DateClosed]]))-1)</f>
        <v>1</v>
      </c>
      <c r="R2575" s="110" t="s">
        <v>485</v>
      </c>
      <c r="S2575" s="94"/>
    </row>
    <row r="2576" spans="1:19">
      <c r="A2576" s="103" t="s">
        <v>4448</v>
      </c>
      <c r="B2576" s="94" t="str">
        <f>IFERROR(VLOOKUP(Proc[[#This Row],[App]],Table2[],3,0),"open")</f>
        <v>open</v>
      </c>
      <c r="C2576" s="103" t="s">
        <v>375</v>
      </c>
      <c r="D2576" t="s">
        <v>4523</v>
      </c>
      <c r="E2576" t="s">
        <v>4764</v>
      </c>
      <c r="F2576" s="94" t="s">
        <v>4788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4873</v>
      </c>
      <c r="J2576" s="94" t="b">
        <f>Proc[[#This Row],[Requested]]=Proc[[#This Row],[CurrentParent]]</f>
        <v>0</v>
      </c>
      <c r="K2576" s="94" t="str">
        <f>IF(Proc[[#This Row],[Author]]="Marcela Urrego",VLOOKUP(LEFT(Proc[[#This Row],[Requested]],1),Table3[#All],2,0),VLOOKUP(Proc[[#This Row],[Author]],Table4[],2,0))</f>
        <v>MGF</v>
      </c>
      <c r="L2576" s="94"/>
      <c r="M2576" s="109">
        <v>45841.453541666669</v>
      </c>
      <c r="N2576" s="109"/>
      <c r="O2576" s="109"/>
      <c r="P2576" s="110" t="str">
        <f ca="1">IF(Proc[[#This Row],[DaysAgeing]]&gt;5,"yep","on track")</f>
        <v>on track</v>
      </c>
      <c r="Q2576" s="3">
        <f ca="1">IF(Proc[[#This Row],[DateClosed]]="",ABS(NETWORKDAYS(Proc[[#This Row],[DateOpened]],TODAY()))-1,ABS(NETWORKDAYS(Proc[[#This Row],[DateOpened]],Proc[[#This Row],[DateClosed]]))-1)</f>
        <v>1</v>
      </c>
      <c r="R2576" s="110" t="s">
        <v>485</v>
      </c>
      <c r="S2576" s="94"/>
    </row>
    <row r="2577" spans="1:19">
      <c r="A2577" s="103" t="s">
        <v>4448</v>
      </c>
      <c r="B2577" s="94" t="str">
        <f>IFERROR(VLOOKUP(Proc[[#This Row],[App]],Table2[],3,0),"open")</f>
        <v>open</v>
      </c>
      <c r="C2577" s="103" t="s">
        <v>375</v>
      </c>
      <c r="D2577" t="s">
        <v>4524</v>
      </c>
      <c r="E2577" t="s">
        <v>4764</v>
      </c>
      <c r="F2577" s="94" t="s">
        <v>4788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4873</v>
      </c>
      <c r="J2577" s="94" t="b">
        <f>Proc[[#This Row],[Requested]]=Proc[[#This Row],[CurrentParent]]</f>
        <v>0</v>
      </c>
      <c r="K2577" s="94" t="str">
        <f>IF(Proc[[#This Row],[Author]]="Marcela Urrego",VLOOKUP(LEFT(Proc[[#This Row],[Requested]],1),Table3[#All],2,0),VLOOKUP(Proc[[#This Row],[Author]],Table4[],2,0))</f>
        <v>MGF</v>
      </c>
      <c r="L2577" s="94"/>
      <c r="M2577" s="109">
        <v>45841.453541666669</v>
      </c>
      <c r="N2577" s="109"/>
      <c r="O2577" s="109"/>
      <c r="P2577" s="110" t="str">
        <f ca="1">IF(Proc[[#This Row],[DaysAgeing]]&gt;5,"yep","on track")</f>
        <v>on track</v>
      </c>
      <c r="Q2577" s="3">
        <f ca="1">IF(Proc[[#This Row],[DateClosed]]="",ABS(NETWORKDAYS(Proc[[#This Row],[DateOpened]],TODAY()))-1,ABS(NETWORKDAYS(Proc[[#This Row],[DateOpened]],Proc[[#This Row],[DateClosed]]))-1)</f>
        <v>1</v>
      </c>
      <c r="R2577" s="110" t="s">
        <v>485</v>
      </c>
      <c r="S2577" s="94"/>
    </row>
    <row r="2578" spans="1:19">
      <c r="A2578" s="103" t="s">
        <v>4448</v>
      </c>
      <c r="B2578" s="94" t="str">
        <f>IFERROR(VLOOKUP(Proc[[#This Row],[App]],Table2[],3,0),"open")</f>
        <v>open</v>
      </c>
      <c r="C2578" s="103" t="s">
        <v>375</v>
      </c>
      <c r="D2578" t="s">
        <v>4525</v>
      </c>
      <c r="E2578" t="s">
        <v>4766</v>
      </c>
      <c r="F2578" s="94" t="s">
        <v>4790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4873</v>
      </c>
      <c r="J2578" s="94" t="b">
        <f>Proc[[#This Row],[Requested]]=Proc[[#This Row],[CurrentParent]]</f>
        <v>0</v>
      </c>
      <c r="K2578" s="94" t="str">
        <f>IF(Proc[[#This Row],[Author]]="Marcela Urrego",VLOOKUP(LEFT(Proc[[#This Row],[Requested]],1),Table3[#All],2,0),VLOOKUP(Proc[[#This Row],[Author]],Table4[],2,0))</f>
        <v>MGF</v>
      </c>
      <c r="L2578" s="94"/>
      <c r="M2578" s="109">
        <v>45841.453541666669</v>
      </c>
      <c r="N2578" s="109"/>
      <c r="O2578" s="109"/>
      <c r="P2578" s="110" t="str">
        <f ca="1">IF(Proc[[#This Row],[DaysAgeing]]&gt;5,"yep","on track")</f>
        <v>on track</v>
      </c>
      <c r="Q2578" s="3">
        <f ca="1">IF(Proc[[#This Row],[DateClosed]]="",ABS(NETWORKDAYS(Proc[[#This Row],[DateOpened]],TODAY()))-1,ABS(NETWORKDAYS(Proc[[#This Row],[DateOpened]],Proc[[#This Row],[DateClosed]]))-1)</f>
        <v>1</v>
      </c>
      <c r="R2578" s="110" t="s">
        <v>485</v>
      </c>
      <c r="S2578" s="94"/>
    </row>
    <row r="2579" spans="1:19">
      <c r="A2579" s="103" t="s">
        <v>4448</v>
      </c>
      <c r="B2579" s="94" t="str">
        <f>IFERROR(VLOOKUP(Proc[[#This Row],[App]],Table2[],3,0),"open")</f>
        <v>open</v>
      </c>
      <c r="C2579" s="103" t="s">
        <v>375</v>
      </c>
      <c r="D2579" t="s">
        <v>4526</v>
      </c>
      <c r="E2579" t="s">
        <v>4767</v>
      </c>
      <c r="F2579" s="94" t="s">
        <v>4791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4873</v>
      </c>
      <c r="J2579" s="94" t="b">
        <f>Proc[[#This Row],[Requested]]=Proc[[#This Row],[CurrentParent]]</f>
        <v>0</v>
      </c>
      <c r="K2579" s="94" t="str">
        <f>IF(Proc[[#This Row],[Author]]="Marcela Urrego",VLOOKUP(LEFT(Proc[[#This Row],[Requested]],1),Table3[#All],2,0),VLOOKUP(Proc[[#This Row],[Author]],Table4[],2,0))</f>
        <v>MGF</v>
      </c>
      <c r="L2579" s="94"/>
      <c r="M2579" s="109">
        <v>45841.453541666669</v>
      </c>
      <c r="N2579" s="109"/>
      <c r="O2579" s="109"/>
      <c r="P2579" s="110" t="str">
        <f ca="1">IF(Proc[[#This Row],[DaysAgeing]]&gt;5,"yep","on track")</f>
        <v>on track</v>
      </c>
      <c r="Q2579" s="3">
        <f ca="1">IF(Proc[[#This Row],[DateClosed]]="",ABS(NETWORKDAYS(Proc[[#This Row],[DateOpened]],TODAY()))-1,ABS(NETWORKDAYS(Proc[[#This Row],[DateOpened]],Proc[[#This Row],[DateClosed]]))-1)</f>
        <v>1</v>
      </c>
      <c r="R2579" s="110" t="s">
        <v>485</v>
      </c>
      <c r="S2579" s="94"/>
    </row>
    <row r="2580" spans="1:19">
      <c r="A2580" s="103" t="s">
        <v>4448</v>
      </c>
      <c r="B2580" s="94" t="str">
        <f>IFERROR(VLOOKUP(Proc[[#This Row],[App]],Table2[],3,0),"open")</f>
        <v>open</v>
      </c>
      <c r="C2580" s="103" t="s">
        <v>375</v>
      </c>
      <c r="D2580" t="s">
        <v>4527</v>
      </c>
      <c r="E2580" t="s">
        <v>4766</v>
      </c>
      <c r="F2580" s="94" t="s">
        <v>4792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4873</v>
      </c>
      <c r="J2580" s="94" t="b">
        <f>Proc[[#This Row],[Requested]]=Proc[[#This Row],[CurrentParent]]</f>
        <v>0</v>
      </c>
      <c r="K2580" s="94" t="str">
        <f>IF(Proc[[#This Row],[Author]]="Marcela Urrego",VLOOKUP(LEFT(Proc[[#This Row],[Requested]],1),Table3[#All],2,0),VLOOKUP(Proc[[#This Row],[Author]],Table4[],2,0))</f>
        <v>MGF</v>
      </c>
      <c r="L2580" s="94"/>
      <c r="M2580" s="109">
        <v>45841.453541666669</v>
      </c>
      <c r="N2580" s="109"/>
      <c r="O2580" s="109"/>
      <c r="P2580" s="110" t="str">
        <f ca="1">IF(Proc[[#This Row],[DaysAgeing]]&gt;5,"yep","on track")</f>
        <v>on track</v>
      </c>
      <c r="Q2580" s="3">
        <f ca="1">IF(Proc[[#This Row],[DateClosed]]="",ABS(NETWORKDAYS(Proc[[#This Row],[DateOpened]],TODAY()))-1,ABS(NETWORKDAYS(Proc[[#This Row],[DateOpened]],Proc[[#This Row],[DateClosed]]))-1)</f>
        <v>1</v>
      </c>
      <c r="R2580" s="110" t="s">
        <v>485</v>
      </c>
      <c r="S2580" s="94"/>
    </row>
    <row r="2581" spans="1:19">
      <c r="A2581" s="103" t="s">
        <v>4448</v>
      </c>
      <c r="B2581" s="94" t="str">
        <f>IFERROR(VLOOKUP(Proc[[#This Row],[App]],Table2[],3,0),"open")</f>
        <v>open</v>
      </c>
      <c r="C2581" s="103" t="s">
        <v>375</v>
      </c>
      <c r="D2581" t="s">
        <v>4528</v>
      </c>
      <c r="E2581" t="s">
        <v>4768</v>
      </c>
      <c r="F2581" s="94" t="s">
        <v>4793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4873</v>
      </c>
      <c r="J2581" s="94" t="b">
        <f>Proc[[#This Row],[Requested]]=Proc[[#This Row],[CurrentParent]]</f>
        <v>0</v>
      </c>
      <c r="K2581" s="94" t="str">
        <f>IF(Proc[[#This Row],[Author]]="Marcela Urrego",VLOOKUP(LEFT(Proc[[#This Row],[Requested]],1),Table3[#All],2,0),VLOOKUP(Proc[[#This Row],[Author]],Table4[],2,0))</f>
        <v>MGF</v>
      </c>
      <c r="L2581" s="94"/>
      <c r="M2581" s="109">
        <v>45841.453541666669</v>
      </c>
      <c r="N2581" s="109"/>
      <c r="O2581" s="109"/>
      <c r="P2581" s="110" t="str">
        <f ca="1">IF(Proc[[#This Row],[DaysAgeing]]&gt;5,"yep","on track")</f>
        <v>on track</v>
      </c>
      <c r="Q2581" s="3">
        <f ca="1">IF(Proc[[#This Row],[DateClosed]]="",ABS(NETWORKDAYS(Proc[[#This Row],[DateOpened]],TODAY()))-1,ABS(NETWORKDAYS(Proc[[#This Row],[DateOpened]],Proc[[#This Row],[DateClosed]]))-1)</f>
        <v>1</v>
      </c>
      <c r="R2581" s="110" t="s">
        <v>485</v>
      </c>
      <c r="S2581" s="94"/>
    </row>
    <row r="2582" spans="1:19">
      <c r="A2582" s="103" t="s">
        <v>4448</v>
      </c>
      <c r="B2582" s="94" t="str">
        <f>IFERROR(VLOOKUP(Proc[[#This Row],[App]],Table2[],3,0),"open")</f>
        <v>open</v>
      </c>
      <c r="C2582" s="103" t="s">
        <v>375</v>
      </c>
      <c r="D2582" t="s">
        <v>4529</v>
      </c>
      <c r="E2582" t="s">
        <v>4766</v>
      </c>
      <c r="F2582" s="94" t="s">
        <v>4793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4873</v>
      </c>
      <c r="J2582" s="94" t="b">
        <f>Proc[[#This Row],[Requested]]=Proc[[#This Row],[CurrentParent]]</f>
        <v>0</v>
      </c>
      <c r="K2582" s="94" t="str">
        <f>IF(Proc[[#This Row],[Author]]="Marcela Urrego",VLOOKUP(LEFT(Proc[[#This Row],[Requested]],1),Table3[#All],2,0),VLOOKUP(Proc[[#This Row],[Author]],Table4[],2,0))</f>
        <v>MGF</v>
      </c>
      <c r="L2582" s="94"/>
      <c r="M2582" s="109">
        <v>45841.453541666669</v>
      </c>
      <c r="N2582" s="109"/>
      <c r="O2582" s="109"/>
      <c r="P2582" s="110" t="str">
        <f ca="1">IF(Proc[[#This Row],[DaysAgeing]]&gt;5,"yep","on track")</f>
        <v>on track</v>
      </c>
      <c r="Q2582" s="3">
        <f ca="1">IF(Proc[[#This Row],[DateClosed]]="",ABS(NETWORKDAYS(Proc[[#This Row],[DateOpened]],TODAY()))-1,ABS(NETWORKDAYS(Proc[[#This Row],[DateOpened]],Proc[[#This Row],[DateClosed]]))-1)</f>
        <v>1</v>
      </c>
      <c r="R2582" s="110" t="s">
        <v>485</v>
      </c>
      <c r="S2582" s="94"/>
    </row>
    <row r="2583" spans="1:19">
      <c r="A2583" s="103" t="s">
        <v>4448</v>
      </c>
      <c r="B2583" s="94" t="str">
        <f>IFERROR(VLOOKUP(Proc[[#This Row],[App]],Table2[],3,0),"open")</f>
        <v>open</v>
      </c>
      <c r="C2583" s="103" t="s">
        <v>375</v>
      </c>
      <c r="D2583" t="s">
        <v>4530</v>
      </c>
      <c r="E2583" t="s">
        <v>4766</v>
      </c>
      <c r="F2583" s="94" t="s">
        <v>4793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4873</v>
      </c>
      <c r="J2583" s="94" t="b">
        <f>Proc[[#This Row],[Requested]]=Proc[[#This Row],[CurrentParent]]</f>
        <v>0</v>
      </c>
      <c r="K2583" s="94" t="str">
        <f>IF(Proc[[#This Row],[Author]]="Marcela Urrego",VLOOKUP(LEFT(Proc[[#This Row],[Requested]],1),Table3[#All],2,0),VLOOKUP(Proc[[#This Row],[Author]],Table4[],2,0))</f>
        <v>MGF</v>
      </c>
      <c r="L2583" s="94"/>
      <c r="M2583" s="109">
        <v>45841.453541666669</v>
      </c>
      <c r="N2583" s="109"/>
      <c r="O2583" s="109"/>
      <c r="P2583" s="110" t="str">
        <f ca="1">IF(Proc[[#This Row],[DaysAgeing]]&gt;5,"yep","on track")</f>
        <v>on track</v>
      </c>
      <c r="Q2583" s="3">
        <f ca="1">IF(Proc[[#This Row],[DateClosed]]="",ABS(NETWORKDAYS(Proc[[#This Row],[DateOpened]],TODAY()))-1,ABS(NETWORKDAYS(Proc[[#This Row],[DateOpened]],Proc[[#This Row],[DateClosed]]))-1)</f>
        <v>1</v>
      </c>
      <c r="R2583" s="110" t="s">
        <v>485</v>
      </c>
      <c r="S2583" s="94"/>
    </row>
    <row r="2584" spans="1:19">
      <c r="A2584" s="103" t="s">
        <v>4448</v>
      </c>
      <c r="B2584" s="94" t="str">
        <f>IFERROR(VLOOKUP(Proc[[#This Row],[App]],Table2[],3,0),"open")</f>
        <v>open</v>
      </c>
      <c r="C2584" s="103" t="s">
        <v>375</v>
      </c>
      <c r="D2584" t="s">
        <v>4531</v>
      </c>
      <c r="E2584" t="s">
        <v>4766</v>
      </c>
      <c r="F2584" s="94" t="s">
        <v>4794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4873</v>
      </c>
      <c r="J2584" s="94" t="b">
        <f>Proc[[#This Row],[Requested]]=Proc[[#This Row],[CurrentParent]]</f>
        <v>0</v>
      </c>
      <c r="K2584" s="94" t="str">
        <f>IF(Proc[[#This Row],[Author]]="Marcela Urrego",VLOOKUP(LEFT(Proc[[#This Row],[Requested]],1),Table3[#All],2,0),VLOOKUP(Proc[[#This Row],[Author]],Table4[],2,0))</f>
        <v>MGF</v>
      </c>
      <c r="L2584" s="94"/>
      <c r="M2584" s="109">
        <v>45841.453541666669</v>
      </c>
      <c r="N2584" s="109"/>
      <c r="O2584" s="109"/>
      <c r="P2584" s="110" t="str">
        <f ca="1">IF(Proc[[#This Row],[DaysAgeing]]&gt;5,"yep","on track")</f>
        <v>on track</v>
      </c>
      <c r="Q2584" s="3">
        <f ca="1">IF(Proc[[#This Row],[DateClosed]]="",ABS(NETWORKDAYS(Proc[[#This Row],[DateOpened]],TODAY()))-1,ABS(NETWORKDAYS(Proc[[#This Row],[DateOpened]],Proc[[#This Row],[DateClosed]]))-1)</f>
        <v>1</v>
      </c>
      <c r="R2584" s="110" t="s">
        <v>485</v>
      </c>
      <c r="S2584" s="94"/>
    </row>
    <row r="2585" spans="1:19">
      <c r="A2585" s="103" t="s">
        <v>4448</v>
      </c>
      <c r="B2585" s="94" t="str">
        <f>IFERROR(VLOOKUP(Proc[[#This Row],[App]],Table2[],3,0),"open")</f>
        <v>open</v>
      </c>
      <c r="C2585" s="103" t="s">
        <v>375</v>
      </c>
      <c r="D2585" t="s">
        <v>4532</v>
      </c>
      <c r="E2585" t="s">
        <v>4768</v>
      </c>
      <c r="F2585" s="94" t="s">
        <v>4795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4873</v>
      </c>
      <c r="J2585" s="94" t="b">
        <f>Proc[[#This Row],[Requested]]=Proc[[#This Row],[CurrentParent]]</f>
        <v>0</v>
      </c>
      <c r="K2585" s="94" t="str">
        <f>IF(Proc[[#This Row],[Author]]="Marcela Urrego",VLOOKUP(LEFT(Proc[[#This Row],[Requested]],1),Table3[#All],2,0),VLOOKUP(Proc[[#This Row],[Author]],Table4[],2,0))</f>
        <v>MGF</v>
      </c>
      <c r="L2585" s="94"/>
      <c r="M2585" s="109">
        <v>45841.453541666669</v>
      </c>
      <c r="N2585" s="109"/>
      <c r="O2585" s="109"/>
      <c r="P2585" s="110" t="str">
        <f ca="1">IF(Proc[[#This Row],[DaysAgeing]]&gt;5,"yep","on track")</f>
        <v>on track</v>
      </c>
      <c r="Q2585" s="3">
        <f ca="1">IF(Proc[[#This Row],[DateClosed]]="",ABS(NETWORKDAYS(Proc[[#This Row],[DateOpened]],TODAY()))-1,ABS(NETWORKDAYS(Proc[[#This Row],[DateOpened]],Proc[[#This Row],[DateClosed]]))-1)</f>
        <v>1</v>
      </c>
      <c r="R2585" s="110" t="s">
        <v>485</v>
      </c>
      <c r="S2585" s="94"/>
    </row>
    <row r="2586" spans="1:19">
      <c r="A2586" s="103" t="s">
        <v>4448</v>
      </c>
      <c r="B2586" s="94" t="str">
        <f>IFERROR(VLOOKUP(Proc[[#This Row],[App]],Table2[],3,0),"open")</f>
        <v>open</v>
      </c>
      <c r="C2586" s="103" t="s">
        <v>375</v>
      </c>
      <c r="D2586" t="s">
        <v>4533</v>
      </c>
      <c r="E2586" t="s">
        <v>4767</v>
      </c>
      <c r="F2586" s="94" t="s">
        <v>4795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4873</v>
      </c>
      <c r="J2586" s="94" t="b">
        <f>Proc[[#This Row],[Requested]]=Proc[[#This Row],[CurrentParent]]</f>
        <v>0</v>
      </c>
      <c r="K2586" s="94" t="str">
        <f>IF(Proc[[#This Row],[Author]]="Marcela Urrego",VLOOKUP(LEFT(Proc[[#This Row],[Requested]],1),Table3[#All],2,0),VLOOKUP(Proc[[#This Row],[Author]],Table4[],2,0))</f>
        <v>MGF</v>
      </c>
      <c r="L2586" s="94"/>
      <c r="M2586" s="109">
        <v>45841.453541666669</v>
      </c>
      <c r="N2586" s="109"/>
      <c r="O2586" s="109"/>
      <c r="P2586" s="110" t="str">
        <f ca="1">IF(Proc[[#This Row],[DaysAgeing]]&gt;5,"yep","on track")</f>
        <v>on track</v>
      </c>
      <c r="Q2586" s="3">
        <f ca="1">IF(Proc[[#This Row],[DateClosed]]="",ABS(NETWORKDAYS(Proc[[#This Row],[DateOpened]],TODAY()))-1,ABS(NETWORKDAYS(Proc[[#This Row],[DateOpened]],Proc[[#This Row],[DateClosed]]))-1)</f>
        <v>1</v>
      </c>
      <c r="R2586" s="110" t="s">
        <v>485</v>
      </c>
      <c r="S2586" s="94"/>
    </row>
    <row r="2587" spans="1:19">
      <c r="A2587" s="103" t="s">
        <v>4448</v>
      </c>
      <c r="B2587" s="94" t="str">
        <f>IFERROR(VLOOKUP(Proc[[#This Row],[App]],Table2[],3,0),"open")</f>
        <v>open</v>
      </c>
      <c r="C2587" s="103" t="s">
        <v>375</v>
      </c>
      <c r="D2587" t="s">
        <v>4534</v>
      </c>
      <c r="E2587" t="s">
        <v>4766</v>
      </c>
      <c r="F2587" s="94" t="s">
        <v>4793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4873</v>
      </c>
      <c r="J2587" s="94" t="b">
        <f>Proc[[#This Row],[Requested]]=Proc[[#This Row],[CurrentParent]]</f>
        <v>0</v>
      </c>
      <c r="K2587" s="94" t="str">
        <f>IF(Proc[[#This Row],[Author]]="Marcela Urrego",VLOOKUP(LEFT(Proc[[#This Row],[Requested]],1),Table3[#All],2,0),VLOOKUP(Proc[[#This Row],[Author]],Table4[],2,0))</f>
        <v>MGF</v>
      </c>
      <c r="L2587" s="94"/>
      <c r="M2587" s="109">
        <v>45841.453541666669</v>
      </c>
      <c r="N2587" s="109"/>
      <c r="O2587" s="109"/>
      <c r="P2587" s="110" t="str">
        <f ca="1">IF(Proc[[#This Row],[DaysAgeing]]&gt;5,"yep","on track")</f>
        <v>on track</v>
      </c>
      <c r="Q2587" s="3">
        <f ca="1">IF(Proc[[#This Row],[DateClosed]]="",ABS(NETWORKDAYS(Proc[[#This Row],[DateOpened]],TODAY()))-1,ABS(NETWORKDAYS(Proc[[#This Row],[DateOpened]],Proc[[#This Row],[DateClosed]]))-1)</f>
        <v>1</v>
      </c>
      <c r="R2587" s="110" t="s">
        <v>485</v>
      </c>
      <c r="S2587" s="94"/>
    </row>
    <row r="2588" spans="1:19">
      <c r="A2588" s="103" t="s">
        <v>4448</v>
      </c>
      <c r="B2588" s="94" t="str">
        <f>IFERROR(VLOOKUP(Proc[[#This Row],[App]],Table2[],3,0),"open")</f>
        <v>open</v>
      </c>
      <c r="C2588" s="103" t="s">
        <v>375</v>
      </c>
      <c r="D2588" t="s">
        <v>4535</v>
      </c>
      <c r="E2588" t="s">
        <v>4766</v>
      </c>
      <c r="F2588" s="94" t="s">
        <v>4793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4873</v>
      </c>
      <c r="J2588" s="94" t="b">
        <f>Proc[[#This Row],[Requested]]=Proc[[#This Row],[CurrentParent]]</f>
        <v>0</v>
      </c>
      <c r="K2588" s="94" t="str">
        <f>IF(Proc[[#This Row],[Author]]="Marcela Urrego",VLOOKUP(LEFT(Proc[[#This Row],[Requested]],1),Table3[#All],2,0),VLOOKUP(Proc[[#This Row],[Author]],Table4[],2,0))</f>
        <v>MGF</v>
      </c>
      <c r="L2588" s="94"/>
      <c r="M2588" s="109">
        <v>45841.453541666669</v>
      </c>
      <c r="N2588" s="109"/>
      <c r="O2588" s="109"/>
      <c r="P2588" s="110" t="str">
        <f ca="1">IF(Proc[[#This Row],[DaysAgeing]]&gt;5,"yep","on track")</f>
        <v>on track</v>
      </c>
      <c r="Q2588" s="3">
        <f ca="1">IF(Proc[[#This Row],[DateClosed]]="",ABS(NETWORKDAYS(Proc[[#This Row],[DateOpened]],TODAY()))-1,ABS(NETWORKDAYS(Proc[[#This Row],[DateOpened]],Proc[[#This Row],[DateClosed]]))-1)</f>
        <v>1</v>
      </c>
      <c r="R2588" s="110" t="s">
        <v>485</v>
      </c>
      <c r="S2588" s="94"/>
    </row>
    <row r="2589" spans="1:19">
      <c r="A2589" s="103" t="s">
        <v>4448</v>
      </c>
      <c r="B2589" s="94" t="str">
        <f>IFERROR(VLOOKUP(Proc[[#This Row],[App]],Table2[],3,0),"open")</f>
        <v>open</v>
      </c>
      <c r="C2589" s="103" t="s">
        <v>375</v>
      </c>
      <c r="D2589" t="s">
        <v>4536</v>
      </c>
      <c r="E2589" t="s">
        <v>4766</v>
      </c>
      <c r="F2589" s="94" t="s">
        <v>4792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4873</v>
      </c>
      <c r="J2589" s="94" t="b">
        <f>Proc[[#This Row],[Requested]]=Proc[[#This Row],[CurrentParent]]</f>
        <v>0</v>
      </c>
      <c r="K2589" s="94" t="str">
        <f>IF(Proc[[#This Row],[Author]]="Marcela Urrego",VLOOKUP(LEFT(Proc[[#This Row],[Requested]],1),Table3[#All],2,0),VLOOKUP(Proc[[#This Row],[Author]],Table4[],2,0))</f>
        <v>MGF</v>
      </c>
      <c r="L2589" s="94"/>
      <c r="M2589" s="109">
        <v>45841.453541666669</v>
      </c>
      <c r="N2589" s="109"/>
      <c r="O2589" s="109"/>
      <c r="P2589" s="110" t="str">
        <f ca="1">IF(Proc[[#This Row],[DaysAgeing]]&gt;5,"yep","on track")</f>
        <v>on track</v>
      </c>
      <c r="Q2589" s="3">
        <f ca="1">IF(Proc[[#This Row],[DateClosed]]="",ABS(NETWORKDAYS(Proc[[#This Row],[DateOpened]],TODAY()))-1,ABS(NETWORKDAYS(Proc[[#This Row],[DateOpened]],Proc[[#This Row],[DateClosed]]))-1)</f>
        <v>1</v>
      </c>
      <c r="R2589" s="110" t="s">
        <v>485</v>
      </c>
      <c r="S2589" s="94"/>
    </row>
    <row r="2590" spans="1:19">
      <c r="A2590" s="103" t="s">
        <v>4448</v>
      </c>
      <c r="B2590" s="94" t="str">
        <f>IFERROR(VLOOKUP(Proc[[#This Row],[App]],Table2[],3,0),"open")</f>
        <v>open</v>
      </c>
      <c r="C2590" s="103" t="s">
        <v>375</v>
      </c>
      <c r="D2590" t="s">
        <v>4537</v>
      </c>
      <c r="E2590" t="s">
        <v>4766</v>
      </c>
      <c r="F2590" s="94" t="s">
        <v>4793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4873</v>
      </c>
      <c r="J2590" s="94" t="b">
        <f>Proc[[#This Row],[Requested]]=Proc[[#This Row],[CurrentParent]]</f>
        <v>0</v>
      </c>
      <c r="K2590" s="94" t="str">
        <f>IF(Proc[[#This Row],[Author]]="Marcela Urrego",VLOOKUP(LEFT(Proc[[#This Row],[Requested]],1),Table3[#All],2,0),VLOOKUP(Proc[[#This Row],[Author]],Table4[],2,0))</f>
        <v>MGF</v>
      </c>
      <c r="L2590" s="94"/>
      <c r="M2590" s="109">
        <v>45841.453541666669</v>
      </c>
      <c r="N2590" s="109"/>
      <c r="O2590" s="109"/>
      <c r="P2590" s="110" t="str">
        <f ca="1">IF(Proc[[#This Row],[DaysAgeing]]&gt;5,"yep","on track")</f>
        <v>on track</v>
      </c>
      <c r="Q2590" s="3">
        <f ca="1">IF(Proc[[#This Row],[DateClosed]]="",ABS(NETWORKDAYS(Proc[[#This Row],[DateOpened]],TODAY()))-1,ABS(NETWORKDAYS(Proc[[#This Row],[DateOpened]],Proc[[#This Row],[DateClosed]]))-1)</f>
        <v>1</v>
      </c>
      <c r="R2590" s="110" t="s">
        <v>485</v>
      </c>
      <c r="S2590" s="94"/>
    </row>
    <row r="2591" spans="1:19">
      <c r="A2591" s="103" t="s">
        <v>4448</v>
      </c>
      <c r="B2591" s="94" t="str">
        <f>IFERROR(VLOOKUP(Proc[[#This Row],[App]],Table2[],3,0),"open")</f>
        <v>open</v>
      </c>
      <c r="C2591" s="103" t="s">
        <v>375</v>
      </c>
      <c r="D2591" t="s">
        <v>4538</v>
      </c>
      <c r="E2591" t="s">
        <v>4766</v>
      </c>
      <c r="F2591" s="94" t="s">
        <v>4796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4873</v>
      </c>
      <c r="J2591" s="94" t="b">
        <f>Proc[[#This Row],[Requested]]=Proc[[#This Row],[CurrentParent]]</f>
        <v>0</v>
      </c>
      <c r="K2591" s="94" t="str">
        <f>IF(Proc[[#This Row],[Author]]="Marcela Urrego",VLOOKUP(LEFT(Proc[[#This Row],[Requested]],1),Table3[#All],2,0),VLOOKUP(Proc[[#This Row],[Author]],Table4[],2,0))</f>
        <v>MGF</v>
      </c>
      <c r="L2591" s="94"/>
      <c r="M2591" s="109">
        <v>45841.453541666669</v>
      </c>
      <c r="N2591" s="109"/>
      <c r="O2591" s="109"/>
      <c r="P2591" s="110" t="str">
        <f ca="1">IF(Proc[[#This Row],[DaysAgeing]]&gt;5,"yep","on track")</f>
        <v>on track</v>
      </c>
      <c r="Q2591" s="3">
        <f ca="1">IF(Proc[[#This Row],[DateClosed]]="",ABS(NETWORKDAYS(Proc[[#This Row],[DateOpened]],TODAY()))-1,ABS(NETWORKDAYS(Proc[[#This Row],[DateOpened]],Proc[[#This Row],[DateClosed]]))-1)</f>
        <v>1</v>
      </c>
      <c r="R2591" s="110" t="s">
        <v>485</v>
      </c>
      <c r="S2591" s="94"/>
    </row>
    <row r="2592" spans="1:19">
      <c r="A2592" s="103" t="s">
        <v>4448</v>
      </c>
      <c r="B2592" s="94" t="str">
        <f>IFERROR(VLOOKUP(Proc[[#This Row],[App]],Table2[],3,0),"open")</f>
        <v>open</v>
      </c>
      <c r="C2592" s="103" t="s">
        <v>375</v>
      </c>
      <c r="D2592" t="s">
        <v>4539</v>
      </c>
      <c r="E2592" t="s">
        <v>4766</v>
      </c>
      <c r="F2592" s="94" t="s">
        <v>4797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4873</v>
      </c>
      <c r="J2592" s="94" t="b">
        <f>Proc[[#This Row],[Requested]]=Proc[[#This Row],[CurrentParent]]</f>
        <v>0</v>
      </c>
      <c r="K2592" s="94" t="str">
        <f>IF(Proc[[#This Row],[Author]]="Marcela Urrego",VLOOKUP(LEFT(Proc[[#This Row],[Requested]],1),Table3[#All],2,0),VLOOKUP(Proc[[#This Row],[Author]],Table4[],2,0))</f>
        <v>MGF</v>
      </c>
      <c r="L2592" s="94"/>
      <c r="M2592" s="109">
        <v>45841.453541666669</v>
      </c>
      <c r="N2592" s="109"/>
      <c r="O2592" s="109"/>
      <c r="P2592" s="110" t="str">
        <f ca="1">IF(Proc[[#This Row],[DaysAgeing]]&gt;5,"yep","on track")</f>
        <v>on track</v>
      </c>
      <c r="Q2592" s="3">
        <f ca="1">IF(Proc[[#This Row],[DateClosed]]="",ABS(NETWORKDAYS(Proc[[#This Row],[DateOpened]],TODAY()))-1,ABS(NETWORKDAYS(Proc[[#This Row],[DateOpened]],Proc[[#This Row],[DateClosed]]))-1)</f>
        <v>1</v>
      </c>
      <c r="R2592" s="110" t="s">
        <v>485</v>
      </c>
      <c r="S2592" s="94"/>
    </row>
    <row r="2593" spans="1:19">
      <c r="A2593" s="103" t="s">
        <v>4448</v>
      </c>
      <c r="B2593" s="94" t="str">
        <f>IFERROR(VLOOKUP(Proc[[#This Row],[App]],Table2[],3,0),"open")</f>
        <v>open</v>
      </c>
      <c r="C2593" s="103" t="s">
        <v>375</v>
      </c>
      <c r="D2593" t="s">
        <v>4540</v>
      </c>
      <c r="E2593" t="s">
        <v>4766</v>
      </c>
      <c r="F2593" s="94" t="s">
        <v>4798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4873</v>
      </c>
      <c r="J2593" s="94" t="b">
        <f>Proc[[#This Row],[Requested]]=Proc[[#This Row],[CurrentParent]]</f>
        <v>0</v>
      </c>
      <c r="K2593" s="94" t="str">
        <f>IF(Proc[[#This Row],[Author]]="Marcela Urrego",VLOOKUP(LEFT(Proc[[#This Row],[Requested]],1),Table3[#All],2,0),VLOOKUP(Proc[[#This Row],[Author]],Table4[],2,0))</f>
        <v>MGF</v>
      </c>
      <c r="L2593" s="94"/>
      <c r="M2593" s="109">
        <v>45841.453541666669</v>
      </c>
      <c r="N2593" s="109"/>
      <c r="O2593" s="109"/>
      <c r="P2593" s="110" t="str">
        <f ca="1">IF(Proc[[#This Row],[DaysAgeing]]&gt;5,"yep","on track")</f>
        <v>on track</v>
      </c>
      <c r="Q2593" s="3">
        <f ca="1">IF(Proc[[#This Row],[DateClosed]]="",ABS(NETWORKDAYS(Proc[[#This Row],[DateOpened]],TODAY()))-1,ABS(NETWORKDAYS(Proc[[#This Row],[DateOpened]],Proc[[#This Row],[DateClosed]]))-1)</f>
        <v>1</v>
      </c>
      <c r="R2593" s="110" t="s">
        <v>485</v>
      </c>
      <c r="S2593" s="94"/>
    </row>
    <row r="2594" spans="1:19">
      <c r="A2594" s="103" t="s">
        <v>4448</v>
      </c>
      <c r="B2594" s="94" t="str">
        <f>IFERROR(VLOOKUP(Proc[[#This Row],[App]],Table2[],3,0),"open")</f>
        <v>open</v>
      </c>
      <c r="C2594" s="103" t="s">
        <v>375</v>
      </c>
      <c r="D2594" t="s">
        <v>4541</v>
      </c>
      <c r="E2594" t="s">
        <v>4766</v>
      </c>
      <c r="F2594" s="94" t="s">
        <v>4798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4873</v>
      </c>
      <c r="J2594" s="94" t="b">
        <f>Proc[[#This Row],[Requested]]=Proc[[#This Row],[CurrentParent]]</f>
        <v>0</v>
      </c>
      <c r="K2594" s="94" t="str">
        <f>IF(Proc[[#This Row],[Author]]="Marcela Urrego",VLOOKUP(LEFT(Proc[[#This Row],[Requested]],1),Table3[#All],2,0),VLOOKUP(Proc[[#This Row],[Author]],Table4[],2,0))</f>
        <v>MGF</v>
      </c>
      <c r="L2594" s="94"/>
      <c r="M2594" s="109">
        <v>45841.453541666669</v>
      </c>
      <c r="N2594" s="109"/>
      <c r="O2594" s="109"/>
      <c r="P2594" s="110" t="str">
        <f ca="1">IF(Proc[[#This Row],[DaysAgeing]]&gt;5,"yep","on track")</f>
        <v>on track</v>
      </c>
      <c r="Q2594" s="3">
        <f ca="1">IF(Proc[[#This Row],[DateClosed]]="",ABS(NETWORKDAYS(Proc[[#This Row],[DateOpened]],TODAY()))-1,ABS(NETWORKDAYS(Proc[[#This Row],[DateOpened]],Proc[[#This Row],[DateClosed]]))-1)</f>
        <v>1</v>
      </c>
      <c r="R2594" s="110" t="s">
        <v>485</v>
      </c>
      <c r="S2594" s="94"/>
    </row>
    <row r="2595" spans="1:19">
      <c r="A2595" s="103" t="s">
        <v>4448</v>
      </c>
      <c r="B2595" s="94" t="str">
        <f>IFERROR(VLOOKUP(Proc[[#This Row],[App]],Table2[],3,0),"open")</f>
        <v>open</v>
      </c>
      <c r="C2595" s="103" t="s">
        <v>375</v>
      </c>
      <c r="D2595" t="s">
        <v>4542</v>
      </c>
      <c r="E2595" t="s">
        <v>4766</v>
      </c>
      <c r="F2595" s="94" t="s">
        <v>4799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4873</v>
      </c>
      <c r="J2595" s="94" t="b">
        <f>Proc[[#This Row],[Requested]]=Proc[[#This Row],[CurrentParent]]</f>
        <v>0</v>
      </c>
      <c r="K2595" s="94" t="str">
        <f>IF(Proc[[#This Row],[Author]]="Marcela Urrego",VLOOKUP(LEFT(Proc[[#This Row],[Requested]],1),Table3[#All],2,0),VLOOKUP(Proc[[#This Row],[Author]],Table4[],2,0))</f>
        <v>MGF</v>
      </c>
      <c r="L2595" s="94"/>
      <c r="M2595" s="109">
        <v>45841.453541666669</v>
      </c>
      <c r="N2595" s="109"/>
      <c r="O2595" s="109"/>
      <c r="P2595" s="110" t="str">
        <f ca="1">IF(Proc[[#This Row],[DaysAgeing]]&gt;5,"yep","on track")</f>
        <v>on track</v>
      </c>
      <c r="Q2595" s="3">
        <f ca="1">IF(Proc[[#This Row],[DateClosed]]="",ABS(NETWORKDAYS(Proc[[#This Row],[DateOpened]],TODAY()))-1,ABS(NETWORKDAYS(Proc[[#This Row],[DateOpened]],Proc[[#This Row],[DateClosed]]))-1)</f>
        <v>1</v>
      </c>
      <c r="R2595" s="110" t="s">
        <v>485</v>
      </c>
      <c r="S2595" s="94"/>
    </row>
    <row r="2596" spans="1:19">
      <c r="A2596" s="103" t="s">
        <v>4448</v>
      </c>
      <c r="B2596" s="94" t="str">
        <f>IFERROR(VLOOKUP(Proc[[#This Row],[App]],Table2[],3,0),"open")</f>
        <v>open</v>
      </c>
      <c r="C2596" s="103" t="s">
        <v>375</v>
      </c>
      <c r="D2596" t="s">
        <v>4543</v>
      </c>
      <c r="E2596" t="s">
        <v>4766</v>
      </c>
      <c r="F2596" s="94" t="s">
        <v>4799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4873</v>
      </c>
      <c r="J2596" s="94" t="b">
        <f>Proc[[#This Row],[Requested]]=Proc[[#This Row],[CurrentParent]]</f>
        <v>0</v>
      </c>
      <c r="K2596" s="94" t="str">
        <f>IF(Proc[[#This Row],[Author]]="Marcela Urrego",VLOOKUP(LEFT(Proc[[#This Row],[Requested]],1),Table3[#All],2,0),VLOOKUP(Proc[[#This Row],[Author]],Table4[],2,0))</f>
        <v>MGF</v>
      </c>
      <c r="L2596" s="94"/>
      <c r="M2596" s="109">
        <v>45841.453541666669</v>
      </c>
      <c r="N2596" s="109"/>
      <c r="O2596" s="109"/>
      <c r="P2596" s="110" t="str">
        <f ca="1">IF(Proc[[#This Row],[DaysAgeing]]&gt;5,"yep","on track")</f>
        <v>on track</v>
      </c>
      <c r="Q2596" s="3">
        <f ca="1">IF(Proc[[#This Row],[DateClosed]]="",ABS(NETWORKDAYS(Proc[[#This Row],[DateOpened]],TODAY()))-1,ABS(NETWORKDAYS(Proc[[#This Row],[DateOpened]],Proc[[#This Row],[DateClosed]]))-1)</f>
        <v>1</v>
      </c>
      <c r="R2596" s="110" t="s">
        <v>485</v>
      </c>
      <c r="S2596" s="94"/>
    </row>
    <row r="2597" spans="1:19">
      <c r="A2597" s="103" t="s">
        <v>4448</v>
      </c>
      <c r="B2597" s="94" t="str">
        <f>IFERROR(VLOOKUP(Proc[[#This Row],[App]],Table2[],3,0),"open")</f>
        <v>open</v>
      </c>
      <c r="C2597" s="103" t="s">
        <v>375</v>
      </c>
      <c r="D2597" t="s">
        <v>4544</v>
      </c>
      <c r="E2597" t="s">
        <v>4766</v>
      </c>
      <c r="F2597" s="94" t="s">
        <v>4798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4873</v>
      </c>
      <c r="J2597" s="94" t="b">
        <f>Proc[[#This Row],[Requested]]=Proc[[#This Row],[CurrentParent]]</f>
        <v>0</v>
      </c>
      <c r="K2597" s="94" t="str">
        <f>IF(Proc[[#This Row],[Author]]="Marcela Urrego",VLOOKUP(LEFT(Proc[[#This Row],[Requested]],1),Table3[#All],2,0),VLOOKUP(Proc[[#This Row],[Author]],Table4[],2,0))</f>
        <v>MGF</v>
      </c>
      <c r="L2597" s="94"/>
      <c r="M2597" s="109">
        <v>45841.453541666669</v>
      </c>
      <c r="N2597" s="109"/>
      <c r="O2597" s="109"/>
      <c r="P2597" s="110" t="str">
        <f ca="1">IF(Proc[[#This Row],[DaysAgeing]]&gt;5,"yep","on track")</f>
        <v>on track</v>
      </c>
      <c r="Q2597" s="3">
        <f ca="1">IF(Proc[[#This Row],[DateClosed]]="",ABS(NETWORKDAYS(Proc[[#This Row],[DateOpened]],TODAY()))-1,ABS(NETWORKDAYS(Proc[[#This Row],[DateOpened]],Proc[[#This Row],[DateClosed]]))-1)</f>
        <v>1</v>
      </c>
      <c r="R2597" s="110" t="s">
        <v>485</v>
      </c>
      <c r="S2597" s="94"/>
    </row>
    <row r="2598" spans="1:19">
      <c r="A2598" s="103" t="s">
        <v>4448</v>
      </c>
      <c r="B2598" s="94" t="str">
        <f>IFERROR(VLOOKUP(Proc[[#This Row],[App]],Table2[],3,0),"open")</f>
        <v>open</v>
      </c>
      <c r="C2598" s="103" t="s">
        <v>375</v>
      </c>
      <c r="D2598" t="s">
        <v>4545</v>
      </c>
      <c r="E2598" t="s">
        <v>4766</v>
      </c>
      <c r="F2598" s="94" t="s">
        <v>4798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4873</v>
      </c>
      <c r="J2598" s="94" t="b">
        <f>Proc[[#This Row],[Requested]]=Proc[[#This Row],[CurrentParent]]</f>
        <v>0</v>
      </c>
      <c r="K2598" s="94" t="str">
        <f>IF(Proc[[#This Row],[Author]]="Marcela Urrego",VLOOKUP(LEFT(Proc[[#This Row],[Requested]],1),Table3[#All],2,0),VLOOKUP(Proc[[#This Row],[Author]],Table4[],2,0))</f>
        <v>MGF</v>
      </c>
      <c r="L2598" s="94"/>
      <c r="M2598" s="109">
        <v>45841.453541666669</v>
      </c>
      <c r="N2598" s="109"/>
      <c r="O2598" s="109"/>
      <c r="P2598" s="110" t="str">
        <f ca="1">IF(Proc[[#This Row],[DaysAgeing]]&gt;5,"yep","on track")</f>
        <v>on track</v>
      </c>
      <c r="Q2598" s="3">
        <f ca="1">IF(Proc[[#This Row],[DateClosed]]="",ABS(NETWORKDAYS(Proc[[#This Row],[DateOpened]],TODAY()))-1,ABS(NETWORKDAYS(Proc[[#This Row],[DateOpened]],Proc[[#This Row],[DateClosed]]))-1)</f>
        <v>1</v>
      </c>
      <c r="R2598" s="110" t="s">
        <v>485</v>
      </c>
      <c r="S2598" s="94"/>
    </row>
    <row r="2599" spans="1:19">
      <c r="A2599" s="103" t="s">
        <v>4448</v>
      </c>
      <c r="B2599" s="94" t="str">
        <f>IFERROR(VLOOKUP(Proc[[#This Row],[App]],Table2[],3,0),"open")</f>
        <v>open</v>
      </c>
      <c r="C2599" s="103" t="s">
        <v>375</v>
      </c>
      <c r="D2599" t="s">
        <v>4546</v>
      </c>
      <c r="E2599" t="s">
        <v>4766</v>
      </c>
      <c r="F2599" s="94" t="s">
        <v>4796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4873</v>
      </c>
      <c r="J2599" s="94" t="b">
        <f>Proc[[#This Row],[Requested]]=Proc[[#This Row],[CurrentParent]]</f>
        <v>0</v>
      </c>
      <c r="K2599" s="94" t="str">
        <f>IF(Proc[[#This Row],[Author]]="Marcela Urrego",VLOOKUP(LEFT(Proc[[#This Row],[Requested]],1),Table3[#All],2,0),VLOOKUP(Proc[[#This Row],[Author]],Table4[],2,0))</f>
        <v>MGF</v>
      </c>
      <c r="L2599" s="94"/>
      <c r="M2599" s="109">
        <v>45841.453541666669</v>
      </c>
      <c r="N2599" s="109"/>
      <c r="O2599" s="109"/>
      <c r="P2599" s="110" t="str">
        <f ca="1">IF(Proc[[#This Row],[DaysAgeing]]&gt;5,"yep","on track")</f>
        <v>on track</v>
      </c>
      <c r="Q2599" s="3">
        <f ca="1">IF(Proc[[#This Row],[DateClosed]]="",ABS(NETWORKDAYS(Proc[[#This Row],[DateOpened]],TODAY()))-1,ABS(NETWORKDAYS(Proc[[#This Row],[DateOpened]],Proc[[#This Row],[DateClosed]]))-1)</f>
        <v>1</v>
      </c>
      <c r="R2599" s="110" t="s">
        <v>485</v>
      </c>
      <c r="S2599" s="94"/>
    </row>
    <row r="2600" spans="1:19">
      <c r="A2600" s="103" t="s">
        <v>4448</v>
      </c>
      <c r="B2600" s="94" t="str">
        <f>IFERROR(VLOOKUP(Proc[[#This Row],[App]],Table2[],3,0),"open")</f>
        <v>open</v>
      </c>
      <c r="C2600" s="103" t="s">
        <v>375</v>
      </c>
      <c r="D2600" t="s">
        <v>4547</v>
      </c>
      <c r="E2600" t="s">
        <v>4766</v>
      </c>
      <c r="F2600" s="94" t="s">
        <v>4792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4873</v>
      </c>
      <c r="J2600" s="94" t="b">
        <f>Proc[[#This Row],[Requested]]=Proc[[#This Row],[CurrentParent]]</f>
        <v>0</v>
      </c>
      <c r="K2600" s="94" t="str">
        <f>IF(Proc[[#This Row],[Author]]="Marcela Urrego",VLOOKUP(LEFT(Proc[[#This Row],[Requested]],1),Table3[#All],2,0),VLOOKUP(Proc[[#This Row],[Author]],Table4[],2,0))</f>
        <v>MGF</v>
      </c>
      <c r="L2600" s="94"/>
      <c r="M2600" s="109">
        <v>45841.453541666669</v>
      </c>
      <c r="N2600" s="109"/>
      <c r="O2600" s="109"/>
      <c r="P2600" s="110" t="str">
        <f ca="1">IF(Proc[[#This Row],[DaysAgeing]]&gt;5,"yep","on track")</f>
        <v>on track</v>
      </c>
      <c r="Q2600" s="3">
        <f ca="1">IF(Proc[[#This Row],[DateClosed]]="",ABS(NETWORKDAYS(Proc[[#This Row],[DateOpened]],TODAY()))-1,ABS(NETWORKDAYS(Proc[[#This Row],[DateOpened]],Proc[[#This Row],[DateClosed]]))-1)</f>
        <v>1</v>
      </c>
      <c r="R2600" s="110" t="s">
        <v>485</v>
      </c>
      <c r="S2600" s="94"/>
    </row>
    <row r="2601" spans="1:19">
      <c r="A2601" s="103" t="s">
        <v>4448</v>
      </c>
      <c r="B2601" s="94" t="str">
        <f>IFERROR(VLOOKUP(Proc[[#This Row],[App]],Table2[],3,0),"open")</f>
        <v>open</v>
      </c>
      <c r="C2601" s="103" t="s">
        <v>375</v>
      </c>
      <c r="D2601" t="s">
        <v>4548</v>
      </c>
      <c r="E2601" t="s">
        <v>4766</v>
      </c>
      <c r="F2601" s="94" t="s">
        <v>4792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4873</v>
      </c>
      <c r="J2601" s="94" t="b">
        <f>Proc[[#This Row],[Requested]]=Proc[[#This Row],[CurrentParent]]</f>
        <v>0</v>
      </c>
      <c r="K2601" s="94" t="str">
        <f>IF(Proc[[#This Row],[Author]]="Marcela Urrego",VLOOKUP(LEFT(Proc[[#This Row],[Requested]],1),Table3[#All],2,0),VLOOKUP(Proc[[#This Row],[Author]],Table4[],2,0))</f>
        <v>MGF</v>
      </c>
      <c r="L2601" s="94"/>
      <c r="M2601" s="109">
        <v>45841.453541666669</v>
      </c>
      <c r="N2601" s="109"/>
      <c r="O2601" s="109"/>
      <c r="P2601" s="110" t="str">
        <f ca="1">IF(Proc[[#This Row],[DaysAgeing]]&gt;5,"yep","on track")</f>
        <v>on track</v>
      </c>
      <c r="Q2601" s="3">
        <f ca="1">IF(Proc[[#This Row],[DateClosed]]="",ABS(NETWORKDAYS(Proc[[#This Row],[DateOpened]],TODAY()))-1,ABS(NETWORKDAYS(Proc[[#This Row],[DateOpened]],Proc[[#This Row],[DateClosed]]))-1)</f>
        <v>1</v>
      </c>
      <c r="R2601" s="110" t="s">
        <v>485</v>
      </c>
      <c r="S2601" s="94"/>
    </row>
    <row r="2602" spans="1:19">
      <c r="A2602" s="103" t="s">
        <v>4448</v>
      </c>
      <c r="B2602" s="94" t="str">
        <f>IFERROR(VLOOKUP(Proc[[#This Row],[App]],Table2[],3,0),"open")</f>
        <v>open</v>
      </c>
      <c r="C2602" s="103" t="s">
        <v>404</v>
      </c>
      <c r="D2602" t="s">
        <v>4549</v>
      </c>
      <c r="E2602" s="99" t="s">
        <v>4766</v>
      </c>
      <c r="F2602" s="94" t="s">
        <v>4792</v>
      </c>
      <c r="G2602" s="103" t="s">
        <v>406</v>
      </c>
      <c r="H2602" s="94" t="str">
        <f>IF(Proc[[#This Row],[type]]="LFF (MDG-F)",MID(Proc[[#This Row],[Obj]],13,10),"")</f>
        <v>DE10538161</v>
      </c>
      <c r="J2602" s="94" t="b">
        <f>Proc[[#This Row],[Requested]]=Proc[[#This Row],[CurrentParent]]</f>
        <v>0</v>
      </c>
      <c r="K2602" s="94" t="str">
        <f>IF(Proc[[#This Row],[Author]]="Marcela Urrego",VLOOKUP(LEFT(Proc[[#This Row],[Requested]],1),Table3[#All],2,0),VLOOKUP(Proc[[#This Row],[Author]],Table4[],2,0))</f>
        <v>MGF</v>
      </c>
      <c r="L2602" s="94"/>
      <c r="M2602" s="109">
        <v>45841.453541666669</v>
      </c>
      <c r="N2602" s="109"/>
      <c r="O2602" s="109"/>
      <c r="P2602" s="110" t="str">
        <f ca="1">IF(Proc[[#This Row],[DaysAgeing]]&gt;5,"yep","on track")</f>
        <v>on track</v>
      </c>
      <c r="Q2602" s="3">
        <f ca="1">IF(Proc[[#This Row],[DateClosed]]="",ABS(NETWORKDAYS(Proc[[#This Row],[DateOpened]],TODAY()))-1,ABS(NETWORKDAYS(Proc[[#This Row],[DateOpened]],Proc[[#This Row],[DateClosed]]))-1)</f>
        <v>1</v>
      </c>
      <c r="R2602" s="110" t="s">
        <v>485</v>
      </c>
      <c r="S2602" s="94"/>
    </row>
    <row r="2603" spans="1:19">
      <c r="A2603" s="103" t="s">
        <v>4448</v>
      </c>
      <c r="B2603" s="94" t="str">
        <f>IFERROR(VLOOKUP(Proc[[#This Row],[App]],Table2[],3,0),"open")</f>
        <v>open</v>
      </c>
      <c r="C2603" s="103" t="s">
        <v>404</v>
      </c>
      <c r="D2603" t="s">
        <v>4550</v>
      </c>
      <c r="E2603" t="s">
        <v>4767</v>
      </c>
      <c r="F2603" s="94" t="s">
        <v>4792</v>
      </c>
      <c r="G2603" s="103" t="s">
        <v>406</v>
      </c>
      <c r="H2603" s="94" t="str">
        <f>IF(Proc[[#This Row],[type]]="LFF (MDG-F)",MID(Proc[[#This Row],[Obj]],13,10),"")</f>
        <v>DE10538174</v>
      </c>
      <c r="J2603" s="94" t="b">
        <f>Proc[[#This Row],[Requested]]=Proc[[#This Row],[CurrentParent]]</f>
        <v>0</v>
      </c>
      <c r="K2603" s="94" t="str">
        <f>IF(Proc[[#This Row],[Author]]="Marcela Urrego",VLOOKUP(LEFT(Proc[[#This Row],[Requested]],1),Table3[#All],2,0),VLOOKUP(Proc[[#This Row],[Author]],Table4[],2,0))</f>
        <v>MGF</v>
      </c>
      <c r="L2603" s="94"/>
      <c r="M2603" s="109">
        <v>45841.453541666669</v>
      </c>
      <c r="N2603" s="109"/>
      <c r="O2603" s="109"/>
      <c r="P2603" s="110" t="str">
        <f ca="1">IF(Proc[[#This Row],[DaysAgeing]]&gt;5,"yep","on track")</f>
        <v>on track</v>
      </c>
      <c r="Q2603" s="3">
        <f ca="1">IF(Proc[[#This Row],[DateClosed]]="",ABS(NETWORKDAYS(Proc[[#This Row],[DateOpened]],TODAY()))-1,ABS(NETWORKDAYS(Proc[[#This Row],[DateOpened]],Proc[[#This Row],[DateClosed]]))-1)</f>
        <v>1</v>
      </c>
      <c r="R2603" s="110" t="s">
        <v>485</v>
      </c>
      <c r="S2603" s="94"/>
    </row>
    <row r="2604" spans="1:19">
      <c r="A2604" s="103" t="s">
        <v>4448</v>
      </c>
      <c r="B2604" s="94" t="str">
        <f>IFERROR(VLOOKUP(Proc[[#This Row],[App]],Table2[],3,0),"open")</f>
        <v>open</v>
      </c>
      <c r="C2604" s="103" t="s">
        <v>404</v>
      </c>
      <c r="D2604" t="s">
        <v>4551</v>
      </c>
      <c r="E2604" t="s">
        <v>4767</v>
      </c>
      <c r="F2604" s="94" t="s">
        <v>4791</v>
      </c>
      <c r="G2604" s="103" t="s">
        <v>406</v>
      </c>
      <c r="H2604" s="94" t="str">
        <f>IF(Proc[[#This Row],[type]]="LFF (MDG-F)",MID(Proc[[#This Row],[Obj]],13,10),"")</f>
        <v>DE10538178</v>
      </c>
      <c r="J2604" s="94" t="b">
        <f>Proc[[#This Row],[Requested]]=Proc[[#This Row],[CurrentParent]]</f>
        <v>0</v>
      </c>
      <c r="K2604" s="94" t="str">
        <f>IF(Proc[[#This Row],[Author]]="Marcela Urrego",VLOOKUP(LEFT(Proc[[#This Row],[Requested]],1),Table3[#All],2,0),VLOOKUP(Proc[[#This Row],[Author]],Table4[],2,0))</f>
        <v>MGF</v>
      </c>
      <c r="L2604" s="94"/>
      <c r="M2604" s="109">
        <v>45841.453541666669</v>
      </c>
      <c r="N2604" s="109"/>
      <c r="O2604" s="109"/>
      <c r="P2604" s="110" t="str">
        <f ca="1">IF(Proc[[#This Row],[DaysAgeing]]&gt;5,"yep","on track")</f>
        <v>on track</v>
      </c>
      <c r="Q2604" s="3">
        <f ca="1">IF(Proc[[#This Row],[DateClosed]]="",ABS(NETWORKDAYS(Proc[[#This Row],[DateOpened]],TODAY()))-1,ABS(NETWORKDAYS(Proc[[#This Row],[DateOpened]],Proc[[#This Row],[DateClosed]]))-1)</f>
        <v>1</v>
      </c>
      <c r="R2604" s="110" t="s">
        <v>485</v>
      </c>
      <c r="S2604" s="94"/>
    </row>
    <row r="2605" spans="1:19">
      <c r="A2605" s="103" t="s">
        <v>4448</v>
      </c>
      <c r="B2605" s="94" t="str">
        <f>IFERROR(VLOOKUP(Proc[[#This Row],[App]],Table2[],3,0),"open")</f>
        <v>open</v>
      </c>
      <c r="C2605" s="103" t="s">
        <v>404</v>
      </c>
      <c r="D2605" t="s">
        <v>4552</v>
      </c>
      <c r="E2605" t="s">
        <v>4766</v>
      </c>
      <c r="F2605" s="94" t="s">
        <v>4791</v>
      </c>
      <c r="G2605" s="103" t="s">
        <v>406</v>
      </c>
      <c r="H2605" s="94" t="str">
        <f>IF(Proc[[#This Row],[type]]="LFF (MDG-F)",MID(Proc[[#This Row],[Obj]],13,10),"")</f>
        <v>DE10538192</v>
      </c>
      <c r="J2605" s="94" t="b">
        <f>Proc[[#This Row],[Requested]]=Proc[[#This Row],[CurrentParent]]</f>
        <v>0</v>
      </c>
      <c r="K2605" s="94" t="str">
        <f>IF(Proc[[#This Row],[Author]]="Marcela Urrego",VLOOKUP(LEFT(Proc[[#This Row],[Requested]],1),Table3[#All],2,0),VLOOKUP(Proc[[#This Row],[Author]],Table4[],2,0))</f>
        <v>MGF</v>
      </c>
      <c r="L2605" s="94"/>
      <c r="M2605" s="109">
        <v>45841.453541666669</v>
      </c>
      <c r="N2605" s="109"/>
      <c r="O2605" s="109"/>
      <c r="P2605" s="110" t="str">
        <f ca="1">IF(Proc[[#This Row],[DaysAgeing]]&gt;5,"yep","on track")</f>
        <v>on track</v>
      </c>
      <c r="Q2605" s="3">
        <f ca="1">IF(Proc[[#This Row],[DateClosed]]="",ABS(NETWORKDAYS(Proc[[#This Row],[DateOpened]],TODAY()))-1,ABS(NETWORKDAYS(Proc[[#This Row],[DateOpened]],Proc[[#This Row],[DateClosed]]))-1)</f>
        <v>1</v>
      </c>
      <c r="R2605" s="110" t="s">
        <v>485</v>
      </c>
      <c r="S2605" s="94"/>
    </row>
    <row r="2606" spans="1:19">
      <c r="A2606" s="103" t="s">
        <v>4448</v>
      </c>
      <c r="B2606" s="94" t="str">
        <f>IFERROR(VLOOKUP(Proc[[#This Row],[App]],Table2[],3,0),"open")</f>
        <v>open</v>
      </c>
      <c r="C2606" s="103" t="s">
        <v>404</v>
      </c>
      <c r="D2606" t="s">
        <v>4553</v>
      </c>
      <c r="E2606" t="s">
        <v>4767</v>
      </c>
      <c r="F2606" s="94" t="s">
        <v>4792</v>
      </c>
      <c r="G2606" s="103" t="s">
        <v>406</v>
      </c>
      <c r="H2606" s="94" t="str">
        <f>IF(Proc[[#This Row],[type]]="LFF (MDG-F)",MID(Proc[[#This Row],[Obj]],13,10),"")</f>
        <v>DE10538397</v>
      </c>
      <c r="J2606" s="94" t="b">
        <f>Proc[[#This Row],[Requested]]=Proc[[#This Row],[CurrentParent]]</f>
        <v>0</v>
      </c>
      <c r="K2606" s="94" t="str">
        <f>IF(Proc[[#This Row],[Author]]="Marcela Urrego",VLOOKUP(LEFT(Proc[[#This Row],[Requested]],1),Table3[#All],2,0),VLOOKUP(Proc[[#This Row],[Author]],Table4[],2,0))</f>
        <v>MGF</v>
      </c>
      <c r="L2606" s="94"/>
      <c r="M2606" s="109">
        <v>45841.453541666669</v>
      </c>
      <c r="N2606" s="109"/>
      <c r="O2606" s="109"/>
      <c r="P2606" s="110" t="str">
        <f ca="1">IF(Proc[[#This Row],[DaysAgeing]]&gt;5,"yep","on track")</f>
        <v>on track</v>
      </c>
      <c r="Q2606" s="3">
        <f ca="1">IF(Proc[[#This Row],[DateClosed]]="",ABS(NETWORKDAYS(Proc[[#This Row],[DateOpened]],TODAY()))-1,ABS(NETWORKDAYS(Proc[[#This Row],[DateOpened]],Proc[[#This Row],[DateClosed]]))-1)</f>
        <v>1</v>
      </c>
      <c r="R2606" s="110" t="s">
        <v>485</v>
      </c>
      <c r="S2606" s="94"/>
    </row>
    <row r="2607" spans="1:19">
      <c r="A2607" s="103" t="s">
        <v>4448</v>
      </c>
      <c r="B2607" s="94" t="str">
        <f>IFERROR(VLOOKUP(Proc[[#This Row],[App]],Table2[],3,0),"open")</f>
        <v>open</v>
      </c>
      <c r="C2607" s="103" t="s">
        <v>404</v>
      </c>
      <c r="D2607" t="s">
        <v>4554</v>
      </c>
      <c r="E2607" t="s">
        <v>4766</v>
      </c>
      <c r="F2607" s="94" t="s">
        <v>4799</v>
      </c>
      <c r="G2607" s="103" t="s">
        <v>406</v>
      </c>
      <c r="H2607" s="94" t="str">
        <f>IF(Proc[[#This Row],[type]]="LFF (MDG-F)",MID(Proc[[#This Row],[Obj]],13,10),"")</f>
        <v>DE10538556</v>
      </c>
      <c r="J2607" s="94" t="b">
        <f>Proc[[#This Row],[Requested]]=Proc[[#This Row],[CurrentParent]]</f>
        <v>0</v>
      </c>
      <c r="K2607" s="94" t="str">
        <f>IF(Proc[[#This Row],[Author]]="Marcela Urrego",VLOOKUP(LEFT(Proc[[#This Row],[Requested]],1),Table3[#All],2,0),VLOOKUP(Proc[[#This Row],[Author]],Table4[],2,0))</f>
        <v>MGF</v>
      </c>
      <c r="L2607" s="94"/>
      <c r="M2607" s="109">
        <v>45841.453541666669</v>
      </c>
      <c r="N2607" s="109"/>
      <c r="O2607" s="109"/>
      <c r="P2607" s="110" t="str">
        <f ca="1">IF(Proc[[#This Row],[DaysAgeing]]&gt;5,"yep","on track")</f>
        <v>on track</v>
      </c>
      <c r="Q2607" s="3">
        <f ca="1">IF(Proc[[#This Row],[DateClosed]]="",ABS(NETWORKDAYS(Proc[[#This Row],[DateOpened]],TODAY()))-1,ABS(NETWORKDAYS(Proc[[#This Row],[DateOpened]],Proc[[#This Row],[DateClosed]]))-1)</f>
        <v>1</v>
      </c>
      <c r="R2607" s="110" t="s">
        <v>485</v>
      </c>
      <c r="S2607" s="94"/>
    </row>
    <row r="2608" spans="1:19">
      <c r="A2608" s="103" t="s">
        <v>4448</v>
      </c>
      <c r="B2608" s="94" t="str">
        <f>IFERROR(VLOOKUP(Proc[[#This Row],[App]],Table2[],3,0),"open")</f>
        <v>open</v>
      </c>
      <c r="C2608" s="103" t="s">
        <v>404</v>
      </c>
      <c r="D2608" t="s">
        <v>4555</v>
      </c>
      <c r="E2608" t="s">
        <v>4767</v>
      </c>
      <c r="F2608" s="94" t="s">
        <v>4795</v>
      </c>
      <c r="G2608" s="103" t="s">
        <v>406</v>
      </c>
      <c r="H2608" s="94" t="str">
        <f>IF(Proc[[#This Row],[type]]="LFF (MDG-F)",MID(Proc[[#This Row],[Obj]],13,10),"")</f>
        <v>DE10538654</v>
      </c>
      <c r="J2608" s="94" t="b">
        <f>Proc[[#This Row],[Requested]]=Proc[[#This Row],[CurrentParent]]</f>
        <v>0</v>
      </c>
      <c r="K2608" s="94" t="str">
        <f>IF(Proc[[#This Row],[Author]]="Marcela Urrego",VLOOKUP(LEFT(Proc[[#This Row],[Requested]],1),Table3[#All],2,0),VLOOKUP(Proc[[#This Row],[Author]],Table4[],2,0))</f>
        <v>MGF</v>
      </c>
      <c r="L2608" s="94"/>
      <c r="M2608" s="109">
        <v>45841.453541666669</v>
      </c>
      <c r="N2608" s="109"/>
      <c r="O2608" s="109"/>
      <c r="P2608" s="110" t="str">
        <f ca="1">IF(Proc[[#This Row],[DaysAgeing]]&gt;5,"yep","on track")</f>
        <v>on track</v>
      </c>
      <c r="Q2608" s="3">
        <f ca="1">IF(Proc[[#This Row],[DateClosed]]="",ABS(NETWORKDAYS(Proc[[#This Row],[DateOpened]],TODAY()))-1,ABS(NETWORKDAYS(Proc[[#This Row],[DateOpened]],Proc[[#This Row],[DateClosed]]))-1)</f>
        <v>1</v>
      </c>
      <c r="R2608" s="110" t="s">
        <v>485</v>
      </c>
      <c r="S2608" s="94"/>
    </row>
    <row r="2609" spans="1:19">
      <c r="A2609" s="103" t="s">
        <v>4448</v>
      </c>
      <c r="B2609" s="94" t="str">
        <f>IFERROR(VLOOKUP(Proc[[#This Row],[App]],Table2[],3,0),"open")</f>
        <v>open</v>
      </c>
      <c r="C2609" s="103" t="s">
        <v>404</v>
      </c>
      <c r="D2609" t="s">
        <v>4556</v>
      </c>
      <c r="E2609" t="s">
        <v>4766</v>
      </c>
      <c r="F2609" s="94" t="s">
        <v>4800</v>
      </c>
      <c r="G2609" s="103" t="s">
        <v>406</v>
      </c>
      <c r="H2609" s="94" t="str">
        <f>IF(Proc[[#This Row],[type]]="LFF (MDG-F)",MID(Proc[[#This Row],[Obj]],13,10),"")</f>
        <v>DE10579990</v>
      </c>
      <c r="J2609" s="94" t="b">
        <f>Proc[[#This Row],[Requested]]=Proc[[#This Row],[CurrentParent]]</f>
        <v>0</v>
      </c>
      <c r="K2609" s="94" t="str">
        <f>IF(Proc[[#This Row],[Author]]="Marcela Urrego",VLOOKUP(LEFT(Proc[[#This Row],[Requested]],1),Table3[#All],2,0),VLOOKUP(Proc[[#This Row],[Author]],Table4[],2,0))</f>
        <v>MGF</v>
      </c>
      <c r="L2609" s="94"/>
      <c r="M2609" s="109">
        <v>45841.453541666669</v>
      </c>
      <c r="N2609" s="109"/>
      <c r="O2609" s="109"/>
      <c r="P2609" s="110" t="str">
        <f ca="1">IF(Proc[[#This Row],[DaysAgeing]]&gt;5,"yep","on track")</f>
        <v>on track</v>
      </c>
      <c r="Q2609" s="3">
        <f ca="1">IF(Proc[[#This Row],[DateClosed]]="",ABS(NETWORKDAYS(Proc[[#This Row],[DateOpened]],TODAY()))-1,ABS(NETWORKDAYS(Proc[[#This Row],[DateOpened]],Proc[[#This Row],[DateClosed]]))-1)</f>
        <v>1</v>
      </c>
      <c r="R2609" s="110" t="s">
        <v>485</v>
      </c>
      <c r="S2609" s="94"/>
    </row>
    <row r="2610" spans="1:19">
      <c r="A2610" s="103" t="s">
        <v>4448</v>
      </c>
      <c r="B2610" s="94" t="str">
        <f>IFERROR(VLOOKUP(Proc[[#This Row],[App]],Table2[],3,0),"open")</f>
        <v>open</v>
      </c>
      <c r="C2610" s="103" t="s">
        <v>404</v>
      </c>
      <c r="D2610" t="s">
        <v>4557</v>
      </c>
      <c r="E2610" t="s">
        <v>4767</v>
      </c>
      <c r="F2610" s="94" t="s">
        <v>4801</v>
      </c>
      <c r="G2610" s="103" t="s">
        <v>406</v>
      </c>
      <c r="H2610" s="94" t="str">
        <f>IF(Proc[[#This Row],[type]]="LFF (MDG-F)",MID(Proc[[#This Row],[Obj]],13,10),"")</f>
        <v>DE10538107</v>
      </c>
      <c r="J2610" s="94" t="b">
        <f>Proc[[#This Row],[Requested]]=Proc[[#This Row],[CurrentParent]]</f>
        <v>0</v>
      </c>
      <c r="K2610" s="94" t="str">
        <f>IF(Proc[[#This Row],[Author]]="Marcela Urrego",VLOOKUP(LEFT(Proc[[#This Row],[Requested]],1),Table3[#All],2,0),VLOOKUP(Proc[[#This Row],[Author]],Table4[],2,0))</f>
        <v>MGF</v>
      </c>
      <c r="L2610" s="94"/>
      <c r="M2610" s="109">
        <v>45841.453541666669</v>
      </c>
      <c r="N2610" s="109"/>
      <c r="O2610" s="109"/>
      <c r="P2610" s="110" t="str">
        <f ca="1">IF(Proc[[#This Row],[DaysAgeing]]&gt;5,"yep","on track")</f>
        <v>on track</v>
      </c>
      <c r="Q2610" s="3">
        <f ca="1">IF(Proc[[#This Row],[DateClosed]]="",ABS(NETWORKDAYS(Proc[[#This Row],[DateOpened]],TODAY()))-1,ABS(NETWORKDAYS(Proc[[#This Row],[DateOpened]],Proc[[#This Row],[DateClosed]]))-1)</f>
        <v>1</v>
      </c>
      <c r="R2610" s="110" t="s">
        <v>485</v>
      </c>
      <c r="S2610" s="94"/>
    </row>
    <row r="2611" spans="1:19">
      <c r="A2611" s="103" t="s">
        <v>4448</v>
      </c>
      <c r="B2611" s="94" t="str">
        <f>IFERROR(VLOOKUP(Proc[[#This Row],[App]],Table2[],3,0),"open")</f>
        <v>open</v>
      </c>
      <c r="C2611" s="103" t="s">
        <v>404</v>
      </c>
      <c r="D2611" t="s">
        <v>4558</v>
      </c>
      <c r="E2611" t="s">
        <v>4769</v>
      </c>
      <c r="F2611" s="94" t="s">
        <v>4802</v>
      </c>
      <c r="G2611" s="103" t="s">
        <v>406</v>
      </c>
      <c r="H2611" s="94" t="str">
        <f>IF(Proc[[#This Row],[type]]="LFF (MDG-F)",MID(Proc[[#This Row],[Obj]],13,10),"")</f>
        <v>DE10538118</v>
      </c>
      <c r="J2611" s="94" t="b">
        <f>Proc[[#This Row],[Requested]]=Proc[[#This Row],[CurrentParent]]</f>
        <v>0</v>
      </c>
      <c r="K2611" s="94" t="str">
        <f>IF(Proc[[#This Row],[Author]]="Marcela Urrego",VLOOKUP(LEFT(Proc[[#This Row],[Requested]],1),Table3[#All],2,0),VLOOKUP(Proc[[#This Row],[Author]],Table4[],2,0))</f>
        <v>MGF</v>
      </c>
      <c r="L2611" s="94"/>
      <c r="M2611" s="109">
        <v>45841.453541666669</v>
      </c>
      <c r="N2611" s="109"/>
      <c r="O2611" s="109"/>
      <c r="P2611" s="110" t="str">
        <f ca="1">IF(Proc[[#This Row],[DaysAgeing]]&gt;5,"yep","on track")</f>
        <v>on track</v>
      </c>
      <c r="Q2611" s="3">
        <f ca="1">IF(Proc[[#This Row],[DateClosed]]="",ABS(NETWORKDAYS(Proc[[#This Row],[DateOpened]],TODAY()))-1,ABS(NETWORKDAYS(Proc[[#This Row],[DateOpened]],Proc[[#This Row],[DateClosed]]))-1)</f>
        <v>1</v>
      </c>
      <c r="R2611" s="110" t="s">
        <v>485</v>
      </c>
      <c r="S2611" s="94"/>
    </row>
    <row r="2612" spans="1:19">
      <c r="A2612" s="103" t="s">
        <v>4448</v>
      </c>
      <c r="B2612" s="94" t="str">
        <f>IFERROR(VLOOKUP(Proc[[#This Row],[App]],Table2[],3,0),"open")</f>
        <v>open</v>
      </c>
      <c r="C2612" s="103" t="s">
        <v>404</v>
      </c>
      <c r="D2612" t="s">
        <v>4559</v>
      </c>
      <c r="E2612" t="s">
        <v>4767</v>
      </c>
      <c r="F2612" s="94" t="s">
        <v>4802</v>
      </c>
      <c r="G2612" s="103" t="s">
        <v>406</v>
      </c>
      <c r="H2612" s="94" t="str">
        <f>IF(Proc[[#This Row],[type]]="LFF (MDG-F)",MID(Proc[[#This Row],[Obj]],13,10),"")</f>
        <v>DE10538136</v>
      </c>
      <c r="J2612" s="94" t="b">
        <f>Proc[[#This Row],[Requested]]=Proc[[#This Row],[CurrentParent]]</f>
        <v>0</v>
      </c>
      <c r="K2612" s="94" t="str">
        <f>IF(Proc[[#This Row],[Author]]="Marcela Urrego",VLOOKUP(LEFT(Proc[[#This Row],[Requested]],1),Table3[#All],2,0),VLOOKUP(Proc[[#This Row],[Author]],Table4[],2,0))</f>
        <v>MGF</v>
      </c>
      <c r="L2612" s="94"/>
      <c r="M2612" s="109">
        <v>45841.453541666669</v>
      </c>
      <c r="N2612" s="109"/>
      <c r="O2612" s="109"/>
      <c r="P2612" s="110" t="str">
        <f ca="1">IF(Proc[[#This Row],[DaysAgeing]]&gt;5,"yep","on track")</f>
        <v>on track</v>
      </c>
      <c r="Q2612" s="3">
        <f ca="1">IF(Proc[[#This Row],[DateClosed]]="",ABS(NETWORKDAYS(Proc[[#This Row],[DateOpened]],TODAY()))-1,ABS(NETWORKDAYS(Proc[[#This Row],[DateOpened]],Proc[[#This Row],[DateClosed]]))-1)</f>
        <v>1</v>
      </c>
      <c r="R2612" s="110" t="s">
        <v>485</v>
      </c>
      <c r="S2612" s="94"/>
    </row>
    <row r="2613" spans="1:19">
      <c r="A2613" s="103" t="s">
        <v>4448</v>
      </c>
      <c r="B2613" s="94" t="str">
        <f>IFERROR(VLOOKUP(Proc[[#This Row],[App]],Table2[],3,0),"open")</f>
        <v>open</v>
      </c>
      <c r="C2613" s="103" t="s">
        <v>404</v>
      </c>
      <c r="D2613" t="s">
        <v>4560</v>
      </c>
      <c r="E2613" t="s">
        <v>4767</v>
      </c>
      <c r="F2613" s="94" t="s">
        <v>4797</v>
      </c>
      <c r="G2613" s="103" t="s">
        <v>406</v>
      </c>
      <c r="H2613" s="94" t="str">
        <f>IF(Proc[[#This Row],[type]]="LFF (MDG-F)",MID(Proc[[#This Row],[Obj]],13,10),"")</f>
        <v>DE10538137</v>
      </c>
      <c r="J2613" s="94" t="b">
        <f>Proc[[#This Row],[Requested]]=Proc[[#This Row],[CurrentParent]]</f>
        <v>0</v>
      </c>
      <c r="K2613" s="94" t="str">
        <f>IF(Proc[[#This Row],[Author]]="Marcela Urrego",VLOOKUP(LEFT(Proc[[#This Row],[Requested]],1),Table3[#All],2,0),VLOOKUP(Proc[[#This Row],[Author]],Table4[],2,0))</f>
        <v>MGF</v>
      </c>
      <c r="L2613" s="94"/>
      <c r="M2613" s="109">
        <v>45841.453541666669</v>
      </c>
      <c r="N2613" s="109"/>
      <c r="O2613" s="109"/>
      <c r="P2613" s="110" t="str">
        <f ca="1">IF(Proc[[#This Row],[DaysAgeing]]&gt;5,"yep","on track")</f>
        <v>on track</v>
      </c>
      <c r="Q2613" s="3">
        <f ca="1">IF(Proc[[#This Row],[DateClosed]]="",ABS(NETWORKDAYS(Proc[[#This Row],[DateOpened]],TODAY()))-1,ABS(NETWORKDAYS(Proc[[#This Row],[DateOpened]],Proc[[#This Row],[DateClosed]]))-1)</f>
        <v>1</v>
      </c>
      <c r="R2613" s="110" t="s">
        <v>485</v>
      </c>
      <c r="S2613" s="94"/>
    </row>
    <row r="2614" spans="1:19">
      <c r="A2614" s="103" t="s">
        <v>4448</v>
      </c>
      <c r="B2614" s="94" t="str">
        <f>IFERROR(VLOOKUP(Proc[[#This Row],[App]],Table2[],3,0),"open")</f>
        <v>open</v>
      </c>
      <c r="C2614" s="103" t="s">
        <v>404</v>
      </c>
      <c r="D2614" t="s">
        <v>4561</v>
      </c>
      <c r="E2614" t="s">
        <v>4767</v>
      </c>
      <c r="F2614" s="94" t="s">
        <v>4802</v>
      </c>
      <c r="G2614" s="103" t="s">
        <v>406</v>
      </c>
      <c r="H2614" s="94" t="str">
        <f>IF(Proc[[#This Row],[type]]="LFF (MDG-F)",MID(Proc[[#This Row],[Obj]],13,10),"")</f>
        <v>DE10538141</v>
      </c>
      <c r="J2614" s="94" t="b">
        <f>Proc[[#This Row],[Requested]]=Proc[[#This Row],[CurrentParent]]</f>
        <v>0</v>
      </c>
      <c r="K2614" s="94" t="str">
        <f>IF(Proc[[#This Row],[Author]]="Marcela Urrego",VLOOKUP(LEFT(Proc[[#This Row],[Requested]],1),Table3[#All],2,0),VLOOKUP(Proc[[#This Row],[Author]],Table4[],2,0))</f>
        <v>MGF</v>
      </c>
      <c r="L2614" s="94"/>
      <c r="M2614" s="109">
        <v>45841.453541666669</v>
      </c>
      <c r="N2614" s="109"/>
      <c r="O2614" s="109"/>
      <c r="P2614" s="110" t="str">
        <f ca="1">IF(Proc[[#This Row],[DaysAgeing]]&gt;5,"yep","on track")</f>
        <v>on track</v>
      </c>
      <c r="Q2614" s="3">
        <f ca="1">IF(Proc[[#This Row],[DateClosed]]="",ABS(NETWORKDAYS(Proc[[#This Row],[DateOpened]],TODAY()))-1,ABS(NETWORKDAYS(Proc[[#This Row],[DateOpened]],Proc[[#This Row],[DateClosed]]))-1)</f>
        <v>1</v>
      </c>
      <c r="R2614" s="110" t="s">
        <v>485</v>
      </c>
      <c r="S2614" s="94"/>
    </row>
    <row r="2615" spans="1:19">
      <c r="A2615" s="103" t="s">
        <v>4448</v>
      </c>
      <c r="B2615" s="94" t="str">
        <f>IFERROR(VLOOKUP(Proc[[#This Row],[App]],Table2[],3,0),"open")</f>
        <v>open</v>
      </c>
      <c r="C2615" s="103" t="s">
        <v>404</v>
      </c>
      <c r="D2615" t="s">
        <v>4562</v>
      </c>
      <c r="E2615" t="s">
        <v>4767</v>
      </c>
      <c r="F2615" s="94" t="s">
        <v>4803</v>
      </c>
      <c r="G2615" s="103" t="s">
        <v>406</v>
      </c>
      <c r="H2615" s="94" t="str">
        <f>IF(Proc[[#This Row],[type]]="LFF (MDG-F)",MID(Proc[[#This Row],[Obj]],13,10),"")</f>
        <v>DE10538143</v>
      </c>
      <c r="J2615" s="94" t="b">
        <f>Proc[[#This Row],[Requested]]=Proc[[#This Row],[CurrentParent]]</f>
        <v>0</v>
      </c>
      <c r="K2615" s="94" t="str">
        <f>IF(Proc[[#This Row],[Author]]="Marcela Urrego",VLOOKUP(LEFT(Proc[[#This Row],[Requested]],1),Table3[#All],2,0),VLOOKUP(Proc[[#This Row],[Author]],Table4[],2,0))</f>
        <v>MGF</v>
      </c>
      <c r="L2615" s="94"/>
      <c r="M2615" s="109">
        <v>45841.453541666669</v>
      </c>
      <c r="N2615" s="109"/>
      <c r="O2615" s="109"/>
      <c r="P2615" s="110" t="str">
        <f ca="1">IF(Proc[[#This Row],[DaysAgeing]]&gt;5,"yep","on track")</f>
        <v>on track</v>
      </c>
      <c r="Q2615" s="3">
        <f ca="1">IF(Proc[[#This Row],[DateClosed]]="",ABS(NETWORKDAYS(Proc[[#This Row],[DateOpened]],TODAY()))-1,ABS(NETWORKDAYS(Proc[[#This Row],[DateOpened]],Proc[[#This Row],[DateClosed]]))-1)</f>
        <v>1</v>
      </c>
      <c r="R2615" s="110" t="s">
        <v>485</v>
      </c>
      <c r="S2615" s="94"/>
    </row>
    <row r="2616" spans="1:19">
      <c r="A2616" s="103" t="s">
        <v>4448</v>
      </c>
      <c r="B2616" s="94" t="str">
        <f>IFERROR(VLOOKUP(Proc[[#This Row],[App]],Table2[],3,0),"open")</f>
        <v>open</v>
      </c>
      <c r="C2616" s="103" t="s">
        <v>404</v>
      </c>
      <c r="D2616" t="s">
        <v>4563</v>
      </c>
      <c r="E2616" t="s">
        <v>4767</v>
      </c>
      <c r="F2616" s="94" t="s">
        <v>4804</v>
      </c>
      <c r="G2616" s="103" t="s">
        <v>406</v>
      </c>
      <c r="H2616" s="94" t="str">
        <f>IF(Proc[[#This Row],[type]]="LFF (MDG-F)",MID(Proc[[#This Row],[Obj]],13,10),"")</f>
        <v>DE10538147</v>
      </c>
      <c r="J2616" s="94" t="b">
        <f>Proc[[#This Row],[Requested]]=Proc[[#This Row],[CurrentParent]]</f>
        <v>0</v>
      </c>
      <c r="K2616" s="94" t="str">
        <f>IF(Proc[[#This Row],[Author]]="Marcela Urrego",VLOOKUP(LEFT(Proc[[#This Row],[Requested]],1),Table3[#All],2,0),VLOOKUP(Proc[[#This Row],[Author]],Table4[],2,0))</f>
        <v>MGF</v>
      </c>
      <c r="L2616" s="94"/>
      <c r="M2616" s="109">
        <v>45841.453541666669</v>
      </c>
      <c r="N2616" s="109"/>
      <c r="O2616" s="109"/>
      <c r="P2616" s="110" t="str">
        <f ca="1">IF(Proc[[#This Row],[DaysAgeing]]&gt;5,"yep","on track")</f>
        <v>on track</v>
      </c>
      <c r="Q2616" s="3">
        <f ca="1">IF(Proc[[#This Row],[DateClosed]]="",ABS(NETWORKDAYS(Proc[[#This Row],[DateOpened]],TODAY()))-1,ABS(NETWORKDAYS(Proc[[#This Row],[DateOpened]],Proc[[#This Row],[DateClosed]]))-1)</f>
        <v>1</v>
      </c>
      <c r="R2616" s="110" t="s">
        <v>485</v>
      </c>
      <c r="S2616" s="94"/>
    </row>
    <row r="2617" spans="1:19">
      <c r="A2617" s="103" t="s">
        <v>4448</v>
      </c>
      <c r="B2617" s="94" t="str">
        <f>IFERROR(VLOOKUP(Proc[[#This Row],[App]],Table2[],3,0),"open")</f>
        <v>open</v>
      </c>
      <c r="C2617" s="103" t="s">
        <v>404</v>
      </c>
      <c r="D2617" t="s">
        <v>4564</v>
      </c>
      <c r="E2617" t="s">
        <v>4770</v>
      </c>
      <c r="F2617" s="94" t="s">
        <v>4805</v>
      </c>
      <c r="G2617" s="103" t="s">
        <v>406</v>
      </c>
      <c r="H2617" s="94" t="str">
        <f>IF(Proc[[#This Row],[type]]="LFF (MDG-F)",MID(Proc[[#This Row],[Obj]],13,10),"")</f>
        <v>DE10538148</v>
      </c>
      <c r="J2617" s="94" t="b">
        <f>Proc[[#This Row],[Requested]]=Proc[[#This Row],[CurrentParent]]</f>
        <v>0</v>
      </c>
      <c r="K2617" s="94" t="str">
        <f>IF(Proc[[#This Row],[Author]]="Marcela Urrego",VLOOKUP(LEFT(Proc[[#This Row],[Requested]],1),Table3[#All],2,0),VLOOKUP(Proc[[#This Row],[Author]],Table4[],2,0))</f>
        <v>MGF</v>
      </c>
      <c r="L2617" s="94"/>
      <c r="M2617" s="109">
        <v>45841.453541666669</v>
      </c>
      <c r="N2617" s="109"/>
      <c r="O2617" s="109"/>
      <c r="P2617" s="110" t="str">
        <f ca="1">IF(Proc[[#This Row],[DaysAgeing]]&gt;5,"yep","on track")</f>
        <v>on track</v>
      </c>
      <c r="Q2617" s="3">
        <f ca="1">IF(Proc[[#This Row],[DateClosed]]="",ABS(NETWORKDAYS(Proc[[#This Row],[DateOpened]],TODAY()))-1,ABS(NETWORKDAYS(Proc[[#This Row],[DateOpened]],Proc[[#This Row],[DateClosed]]))-1)</f>
        <v>1</v>
      </c>
      <c r="R2617" s="110" t="s">
        <v>485</v>
      </c>
      <c r="S2617" s="94"/>
    </row>
    <row r="2618" spans="1:19">
      <c r="A2618" s="103" t="s">
        <v>4448</v>
      </c>
      <c r="B2618" s="94" t="str">
        <f>IFERROR(VLOOKUP(Proc[[#This Row],[App]],Table2[],3,0),"open")</f>
        <v>open</v>
      </c>
      <c r="C2618" s="103" t="s">
        <v>404</v>
      </c>
      <c r="D2618" t="s">
        <v>4565</v>
      </c>
      <c r="E2618" t="s">
        <v>4767</v>
      </c>
      <c r="F2618" s="94" t="s">
        <v>4803</v>
      </c>
      <c r="G2618" s="103" t="s">
        <v>406</v>
      </c>
      <c r="H2618" s="94" t="str">
        <f>IF(Proc[[#This Row],[type]]="LFF (MDG-F)",MID(Proc[[#This Row],[Obj]],13,10),"")</f>
        <v>DE10538151</v>
      </c>
      <c r="J2618" s="94" t="b">
        <f>Proc[[#This Row],[Requested]]=Proc[[#This Row],[CurrentParent]]</f>
        <v>0</v>
      </c>
      <c r="K2618" s="94" t="str">
        <f>IF(Proc[[#This Row],[Author]]="Marcela Urrego",VLOOKUP(LEFT(Proc[[#This Row],[Requested]],1),Table3[#All],2,0),VLOOKUP(Proc[[#This Row],[Author]],Table4[],2,0))</f>
        <v>MGF</v>
      </c>
      <c r="L2618" s="94"/>
      <c r="M2618" s="109">
        <v>45841.453541666669</v>
      </c>
      <c r="N2618" s="109"/>
      <c r="O2618" s="109"/>
      <c r="P2618" s="110" t="str">
        <f ca="1">IF(Proc[[#This Row],[DaysAgeing]]&gt;5,"yep","on track")</f>
        <v>on track</v>
      </c>
      <c r="Q2618" s="3">
        <f ca="1">IF(Proc[[#This Row],[DateClosed]]="",ABS(NETWORKDAYS(Proc[[#This Row],[DateOpened]],TODAY()))-1,ABS(NETWORKDAYS(Proc[[#This Row],[DateOpened]],Proc[[#This Row],[DateClosed]]))-1)</f>
        <v>1</v>
      </c>
      <c r="R2618" s="110" t="s">
        <v>485</v>
      </c>
      <c r="S2618" s="94"/>
    </row>
    <row r="2619" spans="1:19">
      <c r="A2619" s="103" t="s">
        <v>4448</v>
      </c>
      <c r="B2619" s="94" t="str">
        <f>IFERROR(VLOOKUP(Proc[[#This Row],[App]],Table2[],3,0),"open")</f>
        <v>open</v>
      </c>
      <c r="C2619" s="103" t="s">
        <v>404</v>
      </c>
      <c r="D2619" t="s">
        <v>4566</v>
      </c>
      <c r="E2619" t="s">
        <v>4767</v>
      </c>
      <c r="F2619" s="94" t="s">
        <v>4803</v>
      </c>
      <c r="G2619" s="103" t="s">
        <v>406</v>
      </c>
      <c r="H2619" s="94" t="str">
        <f>IF(Proc[[#This Row],[type]]="LFF (MDG-F)",MID(Proc[[#This Row],[Obj]],13,10),"")</f>
        <v>DE10538153</v>
      </c>
      <c r="J2619" s="94" t="b">
        <f>Proc[[#This Row],[Requested]]=Proc[[#This Row],[CurrentParent]]</f>
        <v>0</v>
      </c>
      <c r="K2619" s="94" t="str">
        <f>IF(Proc[[#This Row],[Author]]="Marcela Urrego",VLOOKUP(LEFT(Proc[[#This Row],[Requested]],1),Table3[#All],2,0),VLOOKUP(Proc[[#This Row],[Author]],Table4[],2,0))</f>
        <v>MGF</v>
      </c>
      <c r="L2619" s="94"/>
      <c r="M2619" s="109">
        <v>45841.453541666669</v>
      </c>
      <c r="N2619" s="109"/>
      <c r="O2619" s="109"/>
      <c r="P2619" s="110" t="str">
        <f ca="1">IF(Proc[[#This Row],[DaysAgeing]]&gt;5,"yep","on track")</f>
        <v>on track</v>
      </c>
      <c r="Q2619" s="3">
        <f ca="1">IF(Proc[[#This Row],[DateClosed]]="",ABS(NETWORKDAYS(Proc[[#This Row],[DateOpened]],TODAY()))-1,ABS(NETWORKDAYS(Proc[[#This Row],[DateOpened]],Proc[[#This Row],[DateClosed]]))-1)</f>
        <v>1</v>
      </c>
      <c r="R2619" s="110" t="s">
        <v>485</v>
      </c>
      <c r="S2619" s="94"/>
    </row>
    <row r="2620" spans="1:19">
      <c r="A2620" s="103" t="s">
        <v>4448</v>
      </c>
      <c r="B2620" s="94" t="str">
        <f>IFERROR(VLOOKUP(Proc[[#This Row],[App]],Table2[],3,0),"open")</f>
        <v>open</v>
      </c>
      <c r="C2620" s="103" t="s">
        <v>404</v>
      </c>
      <c r="D2620" t="s">
        <v>4567</v>
      </c>
      <c r="E2620" t="s">
        <v>4767</v>
      </c>
      <c r="F2620" s="94" t="s">
        <v>4803</v>
      </c>
      <c r="G2620" s="103" t="s">
        <v>406</v>
      </c>
      <c r="H2620" s="94" t="str">
        <f>IF(Proc[[#This Row],[type]]="LFF (MDG-F)",MID(Proc[[#This Row],[Obj]],13,10),"")</f>
        <v>DE10538160</v>
      </c>
      <c r="J2620" s="94" t="b">
        <f>Proc[[#This Row],[Requested]]=Proc[[#This Row],[CurrentParent]]</f>
        <v>0</v>
      </c>
      <c r="K2620" s="94" t="str">
        <f>IF(Proc[[#This Row],[Author]]="Marcela Urrego",VLOOKUP(LEFT(Proc[[#This Row],[Requested]],1),Table3[#All],2,0),VLOOKUP(Proc[[#This Row],[Author]],Table4[],2,0))</f>
        <v>MGF</v>
      </c>
      <c r="L2620" s="94"/>
      <c r="M2620" s="109">
        <v>45841.453541666669</v>
      </c>
      <c r="N2620" s="109"/>
      <c r="O2620" s="109"/>
      <c r="P2620" s="110" t="str">
        <f ca="1">IF(Proc[[#This Row],[DaysAgeing]]&gt;5,"yep","on track")</f>
        <v>on track</v>
      </c>
      <c r="Q2620" s="3">
        <f ca="1">IF(Proc[[#This Row],[DateClosed]]="",ABS(NETWORKDAYS(Proc[[#This Row],[DateOpened]],TODAY()))-1,ABS(NETWORKDAYS(Proc[[#This Row],[DateOpened]],Proc[[#This Row],[DateClosed]]))-1)</f>
        <v>1</v>
      </c>
      <c r="R2620" s="110" t="s">
        <v>485</v>
      </c>
      <c r="S2620" s="94"/>
    </row>
    <row r="2621" spans="1:19">
      <c r="A2621" s="103" t="s">
        <v>4448</v>
      </c>
      <c r="B2621" s="94" t="str">
        <f>IFERROR(VLOOKUP(Proc[[#This Row],[App]],Table2[],3,0),"open")</f>
        <v>open</v>
      </c>
      <c r="C2621" s="103" t="s">
        <v>404</v>
      </c>
      <c r="D2621" t="s">
        <v>4568</v>
      </c>
      <c r="E2621" t="s">
        <v>4767</v>
      </c>
      <c r="F2621" s="94" t="s">
        <v>4803</v>
      </c>
      <c r="G2621" s="103" t="s">
        <v>406</v>
      </c>
      <c r="H2621" s="94" t="str">
        <f>IF(Proc[[#This Row],[type]]="LFF (MDG-F)",MID(Proc[[#This Row],[Obj]],13,10),"")</f>
        <v>DE10538162</v>
      </c>
      <c r="J2621" s="94" t="b">
        <f>Proc[[#This Row],[Requested]]=Proc[[#This Row],[CurrentParent]]</f>
        <v>0</v>
      </c>
      <c r="K2621" s="94" t="str">
        <f>IF(Proc[[#This Row],[Author]]="Marcela Urrego",VLOOKUP(LEFT(Proc[[#This Row],[Requested]],1),Table3[#All],2,0),VLOOKUP(Proc[[#This Row],[Author]],Table4[],2,0))</f>
        <v>MGF</v>
      </c>
      <c r="L2621" s="94"/>
      <c r="M2621" s="109">
        <v>45841.453541666669</v>
      </c>
      <c r="N2621" s="109"/>
      <c r="O2621" s="109"/>
      <c r="P2621" s="110" t="str">
        <f ca="1">IF(Proc[[#This Row],[DaysAgeing]]&gt;5,"yep","on track")</f>
        <v>on track</v>
      </c>
      <c r="Q2621" s="3">
        <f ca="1">IF(Proc[[#This Row],[DateClosed]]="",ABS(NETWORKDAYS(Proc[[#This Row],[DateOpened]],TODAY()))-1,ABS(NETWORKDAYS(Proc[[#This Row],[DateOpened]],Proc[[#This Row],[DateClosed]]))-1)</f>
        <v>1</v>
      </c>
      <c r="R2621" s="110" t="s">
        <v>485</v>
      </c>
      <c r="S2621" s="94"/>
    </row>
    <row r="2622" spans="1:19">
      <c r="A2622" s="103" t="s">
        <v>4448</v>
      </c>
      <c r="B2622" s="94" t="str">
        <f>IFERROR(VLOOKUP(Proc[[#This Row],[App]],Table2[],3,0),"open")</f>
        <v>open</v>
      </c>
      <c r="C2622" s="103" t="s">
        <v>404</v>
      </c>
      <c r="D2622" t="s">
        <v>4569</v>
      </c>
      <c r="E2622" t="s">
        <v>4770</v>
      </c>
      <c r="F2622" s="94" t="s">
        <v>4806</v>
      </c>
      <c r="G2622" s="103" t="s">
        <v>406</v>
      </c>
      <c r="H2622" s="94" t="str">
        <f>IF(Proc[[#This Row],[type]]="LFF (MDG-F)",MID(Proc[[#This Row],[Obj]],13,10),"")</f>
        <v>DE10538163</v>
      </c>
      <c r="J2622" s="94" t="b">
        <f>Proc[[#This Row],[Requested]]=Proc[[#This Row],[CurrentParent]]</f>
        <v>0</v>
      </c>
      <c r="K2622" s="94" t="str">
        <f>IF(Proc[[#This Row],[Author]]="Marcela Urrego",VLOOKUP(LEFT(Proc[[#This Row],[Requested]],1),Table3[#All],2,0),VLOOKUP(Proc[[#This Row],[Author]],Table4[],2,0))</f>
        <v>MGF</v>
      </c>
      <c r="L2622" s="94"/>
      <c r="M2622" s="109">
        <v>45841.453541666669</v>
      </c>
      <c r="N2622" s="109"/>
      <c r="O2622" s="109"/>
      <c r="P2622" s="110" t="str">
        <f ca="1">IF(Proc[[#This Row],[DaysAgeing]]&gt;5,"yep","on track")</f>
        <v>on track</v>
      </c>
      <c r="Q2622" s="3">
        <f ca="1">IF(Proc[[#This Row],[DateClosed]]="",ABS(NETWORKDAYS(Proc[[#This Row],[DateOpened]],TODAY()))-1,ABS(NETWORKDAYS(Proc[[#This Row],[DateOpened]],Proc[[#This Row],[DateClosed]]))-1)</f>
        <v>1</v>
      </c>
      <c r="R2622" s="110" t="s">
        <v>485</v>
      </c>
      <c r="S2622" s="94"/>
    </row>
    <row r="2623" spans="1:19">
      <c r="A2623" s="103" t="s">
        <v>4448</v>
      </c>
      <c r="B2623" s="94" t="str">
        <f>IFERROR(VLOOKUP(Proc[[#This Row],[App]],Table2[],3,0),"open")</f>
        <v>open</v>
      </c>
      <c r="C2623" s="103" t="s">
        <v>404</v>
      </c>
      <c r="D2623" t="s">
        <v>4570</v>
      </c>
      <c r="E2623" t="s">
        <v>4767</v>
      </c>
      <c r="F2623" s="94" t="s">
        <v>4803</v>
      </c>
      <c r="G2623" s="103" t="s">
        <v>406</v>
      </c>
      <c r="H2623" s="94" t="str">
        <f>IF(Proc[[#This Row],[type]]="LFF (MDG-F)",MID(Proc[[#This Row],[Obj]],13,10),"")</f>
        <v>DE10538164</v>
      </c>
      <c r="J2623" s="94" t="b">
        <f>Proc[[#This Row],[Requested]]=Proc[[#This Row],[CurrentParent]]</f>
        <v>0</v>
      </c>
      <c r="K2623" s="94" t="str">
        <f>IF(Proc[[#This Row],[Author]]="Marcela Urrego",VLOOKUP(LEFT(Proc[[#This Row],[Requested]],1),Table3[#All],2,0),VLOOKUP(Proc[[#This Row],[Author]],Table4[],2,0))</f>
        <v>MGF</v>
      </c>
      <c r="L2623" s="94"/>
      <c r="M2623" s="109">
        <v>45841.453541666669</v>
      </c>
      <c r="N2623" s="109"/>
      <c r="O2623" s="109"/>
      <c r="P2623" s="110" t="str">
        <f ca="1">IF(Proc[[#This Row],[DaysAgeing]]&gt;5,"yep","on track")</f>
        <v>on track</v>
      </c>
      <c r="Q2623" s="3">
        <f ca="1">IF(Proc[[#This Row],[DateClosed]]="",ABS(NETWORKDAYS(Proc[[#This Row],[DateOpened]],TODAY()))-1,ABS(NETWORKDAYS(Proc[[#This Row],[DateOpened]],Proc[[#This Row],[DateClosed]]))-1)</f>
        <v>1</v>
      </c>
      <c r="R2623" s="110" t="s">
        <v>485</v>
      </c>
      <c r="S2623" s="94"/>
    </row>
    <row r="2624" spans="1:19">
      <c r="A2624" s="103" t="s">
        <v>4448</v>
      </c>
      <c r="B2624" s="94" t="str">
        <f>IFERROR(VLOOKUP(Proc[[#This Row],[App]],Table2[],3,0),"open")</f>
        <v>open</v>
      </c>
      <c r="C2624" s="103" t="s">
        <v>404</v>
      </c>
      <c r="D2624" t="s">
        <v>4571</v>
      </c>
      <c r="E2624" t="s">
        <v>4767</v>
      </c>
      <c r="F2624" s="94" t="s">
        <v>4803</v>
      </c>
      <c r="G2624" s="103" t="s">
        <v>406</v>
      </c>
      <c r="H2624" s="94" t="str">
        <f>IF(Proc[[#This Row],[type]]="LFF (MDG-F)",MID(Proc[[#This Row],[Obj]],13,10),"")</f>
        <v>DE10538166</v>
      </c>
      <c r="J2624" s="94" t="b">
        <f>Proc[[#This Row],[Requested]]=Proc[[#This Row],[CurrentParent]]</f>
        <v>0</v>
      </c>
      <c r="K2624" s="94" t="str">
        <f>IF(Proc[[#This Row],[Author]]="Marcela Urrego",VLOOKUP(LEFT(Proc[[#This Row],[Requested]],1),Table3[#All],2,0),VLOOKUP(Proc[[#This Row],[Author]],Table4[],2,0))</f>
        <v>MGF</v>
      </c>
      <c r="L2624" s="94"/>
      <c r="M2624" s="109">
        <v>45841.453541666669</v>
      </c>
      <c r="N2624" s="109"/>
      <c r="O2624" s="109"/>
      <c r="P2624" s="110" t="str">
        <f ca="1">IF(Proc[[#This Row],[DaysAgeing]]&gt;5,"yep","on track")</f>
        <v>on track</v>
      </c>
      <c r="Q2624" s="3">
        <f ca="1">IF(Proc[[#This Row],[DateClosed]]="",ABS(NETWORKDAYS(Proc[[#This Row],[DateOpened]],TODAY()))-1,ABS(NETWORKDAYS(Proc[[#This Row],[DateOpened]],Proc[[#This Row],[DateClosed]]))-1)</f>
        <v>1</v>
      </c>
      <c r="R2624" s="110" t="s">
        <v>485</v>
      </c>
      <c r="S2624" s="94"/>
    </row>
    <row r="2625" spans="1:19">
      <c r="A2625" s="103" t="s">
        <v>4448</v>
      </c>
      <c r="B2625" s="94" t="str">
        <f>IFERROR(VLOOKUP(Proc[[#This Row],[App]],Table2[],3,0),"open")</f>
        <v>open</v>
      </c>
      <c r="C2625" s="103" t="s">
        <v>404</v>
      </c>
      <c r="D2625" t="s">
        <v>4572</v>
      </c>
      <c r="E2625" t="s">
        <v>4766</v>
      </c>
      <c r="F2625" s="94" t="s">
        <v>4801</v>
      </c>
      <c r="G2625" s="103" t="s">
        <v>406</v>
      </c>
      <c r="H2625" s="94" t="str">
        <f>IF(Proc[[#This Row],[type]]="LFF (MDG-F)",MID(Proc[[#This Row],[Obj]],13,10),"")</f>
        <v>DE10538167</v>
      </c>
      <c r="J2625" s="94" t="b">
        <f>Proc[[#This Row],[Requested]]=Proc[[#This Row],[CurrentParent]]</f>
        <v>0</v>
      </c>
      <c r="K2625" s="94" t="str">
        <f>IF(Proc[[#This Row],[Author]]="Marcela Urrego",VLOOKUP(LEFT(Proc[[#This Row],[Requested]],1),Table3[#All],2,0),VLOOKUP(Proc[[#This Row],[Author]],Table4[],2,0))</f>
        <v>MGF</v>
      </c>
      <c r="L2625" s="94"/>
      <c r="M2625" s="109">
        <v>45841.453541666669</v>
      </c>
      <c r="N2625" s="109"/>
      <c r="O2625" s="109"/>
      <c r="P2625" s="110" t="str">
        <f ca="1">IF(Proc[[#This Row],[DaysAgeing]]&gt;5,"yep","on track")</f>
        <v>on track</v>
      </c>
      <c r="Q2625" s="3">
        <f ca="1">IF(Proc[[#This Row],[DateClosed]]="",ABS(NETWORKDAYS(Proc[[#This Row],[DateOpened]],TODAY()))-1,ABS(NETWORKDAYS(Proc[[#This Row],[DateOpened]],Proc[[#This Row],[DateClosed]]))-1)</f>
        <v>1</v>
      </c>
      <c r="R2625" s="110" t="s">
        <v>485</v>
      </c>
      <c r="S2625" s="94"/>
    </row>
    <row r="2626" spans="1:19">
      <c r="A2626" s="103" t="s">
        <v>4448</v>
      </c>
      <c r="B2626" s="94" t="str">
        <f>IFERROR(VLOOKUP(Proc[[#This Row],[App]],Table2[],3,0),"open")</f>
        <v>open</v>
      </c>
      <c r="C2626" s="103" t="s">
        <v>404</v>
      </c>
      <c r="D2626" t="s">
        <v>4573</v>
      </c>
      <c r="E2626" t="s">
        <v>4767</v>
      </c>
      <c r="F2626" s="94" t="s">
        <v>4803</v>
      </c>
      <c r="G2626" s="103" t="s">
        <v>406</v>
      </c>
      <c r="H2626" s="94" t="str">
        <f>IF(Proc[[#This Row],[type]]="LFF (MDG-F)",MID(Proc[[#This Row],[Obj]],13,10),"")</f>
        <v>DE10538168</v>
      </c>
      <c r="J2626" s="94" t="b">
        <f>Proc[[#This Row],[Requested]]=Proc[[#This Row],[CurrentParent]]</f>
        <v>0</v>
      </c>
      <c r="K2626" s="94" t="str">
        <f>IF(Proc[[#This Row],[Author]]="Marcela Urrego",VLOOKUP(LEFT(Proc[[#This Row],[Requested]],1),Table3[#All],2,0),VLOOKUP(Proc[[#This Row],[Author]],Table4[],2,0))</f>
        <v>MGF</v>
      </c>
      <c r="L2626" s="94"/>
      <c r="M2626" s="109">
        <v>45841.453541666669</v>
      </c>
      <c r="N2626" s="109"/>
      <c r="O2626" s="109"/>
      <c r="P2626" s="110" t="str">
        <f ca="1">IF(Proc[[#This Row],[DaysAgeing]]&gt;5,"yep","on track")</f>
        <v>on track</v>
      </c>
      <c r="Q2626" s="3">
        <f ca="1">IF(Proc[[#This Row],[DateClosed]]="",ABS(NETWORKDAYS(Proc[[#This Row],[DateOpened]],TODAY()))-1,ABS(NETWORKDAYS(Proc[[#This Row],[DateOpened]],Proc[[#This Row],[DateClosed]]))-1)</f>
        <v>1</v>
      </c>
      <c r="R2626" s="110" t="s">
        <v>485</v>
      </c>
      <c r="S2626" s="94"/>
    </row>
    <row r="2627" spans="1:19">
      <c r="A2627" s="103" t="s">
        <v>4448</v>
      </c>
      <c r="B2627" s="94" t="str">
        <f>IFERROR(VLOOKUP(Proc[[#This Row],[App]],Table2[],3,0),"open")</f>
        <v>open</v>
      </c>
      <c r="C2627" s="103" t="s">
        <v>404</v>
      </c>
      <c r="D2627" t="s">
        <v>4574</v>
      </c>
      <c r="E2627" t="s">
        <v>4767</v>
      </c>
      <c r="F2627" s="94" t="s">
        <v>4804</v>
      </c>
      <c r="G2627" s="103" t="s">
        <v>406</v>
      </c>
      <c r="H2627" s="94" t="str">
        <f>IF(Proc[[#This Row],[type]]="LFF (MDG-F)",MID(Proc[[#This Row],[Obj]],13,10),"")</f>
        <v>DE10538171</v>
      </c>
      <c r="J2627" s="94" t="b">
        <f>Proc[[#This Row],[Requested]]=Proc[[#This Row],[CurrentParent]]</f>
        <v>0</v>
      </c>
      <c r="K2627" s="94" t="str">
        <f>IF(Proc[[#This Row],[Author]]="Marcela Urrego",VLOOKUP(LEFT(Proc[[#This Row],[Requested]],1),Table3[#All],2,0),VLOOKUP(Proc[[#This Row],[Author]],Table4[],2,0))</f>
        <v>MGF</v>
      </c>
      <c r="L2627" s="94"/>
      <c r="M2627" s="109">
        <v>45841.453541666669</v>
      </c>
      <c r="N2627" s="109"/>
      <c r="O2627" s="109"/>
      <c r="P2627" s="110" t="str">
        <f ca="1">IF(Proc[[#This Row],[DaysAgeing]]&gt;5,"yep","on track")</f>
        <v>on track</v>
      </c>
      <c r="Q2627" s="3">
        <f ca="1">IF(Proc[[#This Row],[DateClosed]]="",ABS(NETWORKDAYS(Proc[[#This Row],[DateOpened]],TODAY()))-1,ABS(NETWORKDAYS(Proc[[#This Row],[DateOpened]],Proc[[#This Row],[DateClosed]]))-1)</f>
        <v>1</v>
      </c>
      <c r="R2627" s="110" t="s">
        <v>485</v>
      </c>
      <c r="S2627" s="94"/>
    </row>
    <row r="2628" spans="1:19">
      <c r="A2628" s="103" t="s">
        <v>4448</v>
      </c>
      <c r="B2628" s="94" t="str">
        <f>IFERROR(VLOOKUP(Proc[[#This Row],[App]],Table2[],3,0),"open")</f>
        <v>open</v>
      </c>
      <c r="C2628" s="103" t="s">
        <v>404</v>
      </c>
      <c r="D2628" t="s">
        <v>4575</v>
      </c>
      <c r="E2628" t="s">
        <v>4769</v>
      </c>
      <c r="F2628" s="94" t="s">
        <v>4803</v>
      </c>
      <c r="G2628" s="103" t="s">
        <v>406</v>
      </c>
      <c r="H2628" s="94" t="str">
        <f>IF(Proc[[#This Row],[type]]="LFF (MDG-F)",MID(Proc[[#This Row],[Obj]],13,10),"")</f>
        <v>DE10538175</v>
      </c>
      <c r="J2628" s="94" t="b">
        <f>Proc[[#This Row],[Requested]]=Proc[[#This Row],[CurrentParent]]</f>
        <v>0</v>
      </c>
      <c r="K2628" s="94" t="str">
        <f>IF(Proc[[#This Row],[Author]]="Marcela Urrego",VLOOKUP(LEFT(Proc[[#This Row],[Requested]],1),Table3[#All],2,0),VLOOKUP(Proc[[#This Row],[Author]],Table4[],2,0))</f>
        <v>MGF</v>
      </c>
      <c r="L2628" s="94"/>
      <c r="M2628" s="109">
        <v>45841.453541666669</v>
      </c>
      <c r="N2628" s="109"/>
      <c r="O2628" s="109"/>
      <c r="P2628" s="110" t="str">
        <f ca="1">IF(Proc[[#This Row],[DaysAgeing]]&gt;5,"yep","on track")</f>
        <v>on track</v>
      </c>
      <c r="Q2628" s="3">
        <f ca="1">IF(Proc[[#This Row],[DateClosed]]="",ABS(NETWORKDAYS(Proc[[#This Row],[DateOpened]],TODAY()))-1,ABS(NETWORKDAYS(Proc[[#This Row],[DateOpened]],Proc[[#This Row],[DateClosed]]))-1)</f>
        <v>1</v>
      </c>
      <c r="R2628" s="110" t="s">
        <v>485</v>
      </c>
      <c r="S2628" s="94"/>
    </row>
    <row r="2629" spans="1:19">
      <c r="A2629" s="103" t="s">
        <v>4448</v>
      </c>
      <c r="B2629" s="94" t="str">
        <f>IFERROR(VLOOKUP(Proc[[#This Row],[App]],Table2[],3,0),"open")</f>
        <v>open</v>
      </c>
      <c r="C2629" s="103" t="s">
        <v>404</v>
      </c>
      <c r="D2629" t="s">
        <v>4576</v>
      </c>
      <c r="E2629" t="s">
        <v>4767</v>
      </c>
      <c r="F2629" s="94" t="s">
        <v>4803</v>
      </c>
      <c r="G2629" s="103" t="s">
        <v>406</v>
      </c>
      <c r="H2629" s="94" t="str">
        <f>IF(Proc[[#This Row],[type]]="LFF (MDG-F)",MID(Proc[[#This Row],[Obj]],13,10),"")</f>
        <v>DE10538176</v>
      </c>
      <c r="J2629" s="94" t="b">
        <f>Proc[[#This Row],[Requested]]=Proc[[#This Row],[CurrentParent]]</f>
        <v>0</v>
      </c>
      <c r="K2629" s="94" t="str">
        <f>IF(Proc[[#This Row],[Author]]="Marcela Urrego",VLOOKUP(LEFT(Proc[[#This Row],[Requested]],1),Table3[#All],2,0),VLOOKUP(Proc[[#This Row],[Author]],Table4[],2,0))</f>
        <v>MGF</v>
      </c>
      <c r="L2629" s="94"/>
      <c r="M2629" s="109">
        <v>45841.453541666669</v>
      </c>
      <c r="N2629" s="109"/>
      <c r="O2629" s="109"/>
      <c r="P2629" s="110" t="str">
        <f ca="1">IF(Proc[[#This Row],[DaysAgeing]]&gt;5,"yep","on track")</f>
        <v>on track</v>
      </c>
      <c r="Q2629" s="3">
        <f ca="1">IF(Proc[[#This Row],[DateClosed]]="",ABS(NETWORKDAYS(Proc[[#This Row],[DateOpened]],TODAY()))-1,ABS(NETWORKDAYS(Proc[[#This Row],[DateOpened]],Proc[[#This Row],[DateClosed]]))-1)</f>
        <v>1</v>
      </c>
      <c r="R2629" s="110" t="s">
        <v>485</v>
      </c>
      <c r="S2629" s="94"/>
    </row>
    <row r="2630" spans="1:19">
      <c r="A2630" s="103" t="s">
        <v>4448</v>
      </c>
      <c r="B2630" s="94" t="str">
        <f>IFERROR(VLOOKUP(Proc[[#This Row],[App]],Table2[],3,0),"open")</f>
        <v>open</v>
      </c>
      <c r="C2630" s="103" t="s">
        <v>404</v>
      </c>
      <c r="D2630" t="s">
        <v>4577</v>
      </c>
      <c r="E2630" t="s">
        <v>4767</v>
      </c>
      <c r="F2630" s="94" t="s">
        <v>4803</v>
      </c>
      <c r="G2630" s="103" t="s">
        <v>406</v>
      </c>
      <c r="H2630" s="94" t="str">
        <f>IF(Proc[[#This Row],[type]]="LFF (MDG-F)",MID(Proc[[#This Row],[Obj]],13,10),"")</f>
        <v>DE10538177</v>
      </c>
      <c r="J2630" s="94" t="b">
        <f>Proc[[#This Row],[Requested]]=Proc[[#This Row],[CurrentParent]]</f>
        <v>0</v>
      </c>
      <c r="K2630" s="94" t="str">
        <f>IF(Proc[[#This Row],[Author]]="Marcela Urrego",VLOOKUP(LEFT(Proc[[#This Row],[Requested]],1),Table3[#All],2,0),VLOOKUP(Proc[[#This Row],[Author]],Table4[],2,0))</f>
        <v>MGF</v>
      </c>
      <c r="L2630" s="94"/>
      <c r="M2630" s="109">
        <v>45841.453541666669</v>
      </c>
      <c r="N2630" s="109"/>
      <c r="O2630" s="109"/>
      <c r="P2630" s="110" t="str">
        <f ca="1">IF(Proc[[#This Row],[DaysAgeing]]&gt;5,"yep","on track")</f>
        <v>on track</v>
      </c>
      <c r="Q2630" s="3">
        <f ca="1">IF(Proc[[#This Row],[DateClosed]]="",ABS(NETWORKDAYS(Proc[[#This Row],[DateOpened]],TODAY()))-1,ABS(NETWORKDAYS(Proc[[#This Row],[DateOpened]],Proc[[#This Row],[DateClosed]]))-1)</f>
        <v>1</v>
      </c>
      <c r="R2630" s="110" t="s">
        <v>485</v>
      </c>
      <c r="S2630" s="94"/>
    </row>
    <row r="2631" spans="1:19">
      <c r="A2631" s="103" t="s">
        <v>4448</v>
      </c>
      <c r="B2631" s="94" t="str">
        <f>IFERROR(VLOOKUP(Proc[[#This Row],[App]],Table2[],3,0),"open")</f>
        <v>open</v>
      </c>
      <c r="C2631" s="103" t="s">
        <v>404</v>
      </c>
      <c r="D2631" t="s">
        <v>4578</v>
      </c>
      <c r="E2631" t="s">
        <v>4767</v>
      </c>
      <c r="F2631" s="94" t="s">
        <v>4797</v>
      </c>
      <c r="G2631" s="103" t="s">
        <v>406</v>
      </c>
      <c r="H2631" s="94" t="str">
        <f>IF(Proc[[#This Row],[type]]="LFF (MDG-F)",MID(Proc[[#This Row],[Obj]],13,10),"")</f>
        <v>DE10538184</v>
      </c>
      <c r="J2631" s="94" t="b">
        <f>Proc[[#This Row],[Requested]]=Proc[[#This Row],[CurrentParent]]</f>
        <v>0</v>
      </c>
      <c r="K2631" s="94" t="str">
        <f>IF(Proc[[#This Row],[Author]]="Marcela Urrego",VLOOKUP(LEFT(Proc[[#This Row],[Requested]],1),Table3[#All],2,0),VLOOKUP(Proc[[#This Row],[Author]],Table4[],2,0))</f>
        <v>MGF</v>
      </c>
      <c r="L2631" s="94"/>
      <c r="M2631" s="109">
        <v>45841.453541666669</v>
      </c>
      <c r="N2631" s="109"/>
      <c r="O2631" s="109"/>
      <c r="P2631" s="110" t="str">
        <f ca="1">IF(Proc[[#This Row],[DaysAgeing]]&gt;5,"yep","on track")</f>
        <v>on track</v>
      </c>
      <c r="Q2631" s="3">
        <f ca="1">IF(Proc[[#This Row],[DateClosed]]="",ABS(NETWORKDAYS(Proc[[#This Row],[DateOpened]],TODAY()))-1,ABS(NETWORKDAYS(Proc[[#This Row],[DateOpened]],Proc[[#This Row],[DateClosed]]))-1)</f>
        <v>1</v>
      </c>
      <c r="R2631" s="110" t="s">
        <v>485</v>
      </c>
      <c r="S2631" s="94"/>
    </row>
    <row r="2632" spans="1:19">
      <c r="A2632" s="103" t="s">
        <v>4448</v>
      </c>
      <c r="B2632" s="94" t="str">
        <f>IFERROR(VLOOKUP(Proc[[#This Row],[App]],Table2[],3,0),"open")</f>
        <v>open</v>
      </c>
      <c r="C2632" s="103" t="s">
        <v>404</v>
      </c>
      <c r="D2632" t="s">
        <v>4579</v>
      </c>
      <c r="E2632" t="s">
        <v>4769</v>
      </c>
      <c r="F2632" s="94" t="s">
        <v>4797</v>
      </c>
      <c r="G2632" s="103" t="s">
        <v>406</v>
      </c>
      <c r="H2632" s="94" t="str">
        <f>IF(Proc[[#This Row],[type]]="LFF (MDG-F)",MID(Proc[[#This Row],[Obj]],13,10),"")</f>
        <v>DE10538185</v>
      </c>
      <c r="J2632" s="94" t="b">
        <f>Proc[[#This Row],[Requested]]=Proc[[#This Row],[CurrentParent]]</f>
        <v>0</v>
      </c>
      <c r="K2632" s="94" t="str">
        <f>IF(Proc[[#This Row],[Author]]="Marcela Urrego",VLOOKUP(LEFT(Proc[[#This Row],[Requested]],1),Table3[#All],2,0),VLOOKUP(Proc[[#This Row],[Author]],Table4[],2,0))</f>
        <v>MGF</v>
      </c>
      <c r="L2632" s="94"/>
      <c r="M2632" s="109">
        <v>45841.453541666669</v>
      </c>
      <c r="N2632" s="109"/>
      <c r="O2632" s="109"/>
      <c r="P2632" s="110" t="str">
        <f ca="1">IF(Proc[[#This Row],[DaysAgeing]]&gt;5,"yep","on track")</f>
        <v>on track</v>
      </c>
      <c r="Q2632" s="3">
        <f ca="1">IF(Proc[[#This Row],[DateClosed]]="",ABS(NETWORKDAYS(Proc[[#This Row],[DateOpened]],TODAY()))-1,ABS(NETWORKDAYS(Proc[[#This Row],[DateOpened]],Proc[[#This Row],[DateClosed]]))-1)</f>
        <v>1</v>
      </c>
      <c r="R2632" s="110" t="s">
        <v>485</v>
      </c>
      <c r="S2632" s="94"/>
    </row>
    <row r="2633" spans="1:19">
      <c r="A2633" s="103" t="s">
        <v>4448</v>
      </c>
      <c r="B2633" s="94" t="str">
        <f>IFERROR(VLOOKUP(Proc[[#This Row],[App]],Table2[],3,0),"open")</f>
        <v>open</v>
      </c>
      <c r="C2633" s="103" t="s">
        <v>404</v>
      </c>
      <c r="D2633" t="s">
        <v>4580</v>
      </c>
      <c r="E2633" t="s">
        <v>4769</v>
      </c>
      <c r="F2633" s="94" t="s">
        <v>4797</v>
      </c>
      <c r="G2633" s="103" t="s">
        <v>406</v>
      </c>
      <c r="H2633" s="94" t="str">
        <f>IF(Proc[[#This Row],[type]]="LFF (MDG-F)",MID(Proc[[#This Row],[Obj]],13,10),"")</f>
        <v>DE10538186</v>
      </c>
      <c r="J2633" s="94" t="b">
        <f>Proc[[#This Row],[Requested]]=Proc[[#This Row],[CurrentParent]]</f>
        <v>0</v>
      </c>
      <c r="K2633" s="94" t="str">
        <f>IF(Proc[[#This Row],[Author]]="Marcela Urrego",VLOOKUP(LEFT(Proc[[#This Row],[Requested]],1),Table3[#All],2,0),VLOOKUP(Proc[[#This Row],[Author]],Table4[],2,0))</f>
        <v>MGF</v>
      </c>
      <c r="L2633" s="94"/>
      <c r="M2633" s="109">
        <v>45841.453541666669</v>
      </c>
      <c r="N2633" s="109"/>
      <c r="O2633" s="109"/>
      <c r="P2633" s="110" t="str">
        <f ca="1">IF(Proc[[#This Row],[DaysAgeing]]&gt;5,"yep","on track")</f>
        <v>on track</v>
      </c>
      <c r="Q2633" s="3">
        <f ca="1">IF(Proc[[#This Row],[DateClosed]]="",ABS(NETWORKDAYS(Proc[[#This Row],[DateOpened]],TODAY()))-1,ABS(NETWORKDAYS(Proc[[#This Row],[DateOpened]],Proc[[#This Row],[DateClosed]]))-1)</f>
        <v>1</v>
      </c>
      <c r="R2633" s="110" t="s">
        <v>485</v>
      </c>
      <c r="S2633" s="94"/>
    </row>
    <row r="2634" spans="1:19">
      <c r="A2634" s="103" t="s">
        <v>4448</v>
      </c>
      <c r="B2634" s="94" t="str">
        <f>IFERROR(VLOOKUP(Proc[[#This Row],[App]],Table2[],3,0),"open")</f>
        <v>open</v>
      </c>
      <c r="C2634" s="103" t="s">
        <v>404</v>
      </c>
      <c r="D2634" t="s">
        <v>4581</v>
      </c>
      <c r="E2634" t="s">
        <v>4770</v>
      </c>
      <c r="F2634" s="94" t="s">
        <v>4804</v>
      </c>
      <c r="G2634" s="103" t="s">
        <v>406</v>
      </c>
      <c r="H2634" s="94" t="str">
        <f>IF(Proc[[#This Row],[type]]="LFF (MDG-F)",MID(Proc[[#This Row],[Obj]],13,10),"")</f>
        <v>DE10538193</v>
      </c>
      <c r="J2634" s="94" t="b">
        <f>Proc[[#This Row],[Requested]]=Proc[[#This Row],[CurrentParent]]</f>
        <v>0</v>
      </c>
      <c r="K2634" s="94" t="str">
        <f>IF(Proc[[#This Row],[Author]]="Marcela Urrego",VLOOKUP(LEFT(Proc[[#This Row],[Requested]],1),Table3[#All],2,0),VLOOKUP(Proc[[#This Row],[Author]],Table4[],2,0))</f>
        <v>MGF</v>
      </c>
      <c r="L2634" s="94"/>
      <c r="M2634" s="109">
        <v>45841.453541666669</v>
      </c>
      <c r="N2634" s="109"/>
      <c r="O2634" s="109"/>
      <c r="P2634" s="110" t="str">
        <f ca="1">IF(Proc[[#This Row],[DaysAgeing]]&gt;5,"yep","on track")</f>
        <v>on track</v>
      </c>
      <c r="Q2634" s="3">
        <f ca="1">IF(Proc[[#This Row],[DateClosed]]="",ABS(NETWORKDAYS(Proc[[#This Row],[DateOpened]],TODAY()))-1,ABS(NETWORKDAYS(Proc[[#This Row],[DateOpened]],Proc[[#This Row],[DateClosed]]))-1)</f>
        <v>1</v>
      </c>
      <c r="R2634" s="110" t="s">
        <v>485</v>
      </c>
      <c r="S2634" s="94"/>
    </row>
    <row r="2635" spans="1:19">
      <c r="A2635" s="103" t="s">
        <v>4448</v>
      </c>
      <c r="B2635" s="94" t="str">
        <f>IFERROR(VLOOKUP(Proc[[#This Row],[App]],Table2[],3,0),"open")</f>
        <v>open</v>
      </c>
      <c r="C2635" s="103" t="s">
        <v>404</v>
      </c>
      <c r="D2635" t="s">
        <v>4582</v>
      </c>
      <c r="E2635" t="s">
        <v>4770</v>
      </c>
      <c r="F2635" s="94" t="s">
        <v>4806</v>
      </c>
      <c r="G2635" s="103" t="s">
        <v>406</v>
      </c>
      <c r="H2635" s="94" t="str">
        <f>IF(Proc[[#This Row],[type]]="LFF (MDG-F)",MID(Proc[[#This Row],[Obj]],13,10),"")</f>
        <v>DE10538194</v>
      </c>
      <c r="J2635" s="94" t="b">
        <f>Proc[[#This Row],[Requested]]=Proc[[#This Row],[CurrentParent]]</f>
        <v>0</v>
      </c>
      <c r="K2635" s="94" t="str">
        <f>IF(Proc[[#This Row],[Author]]="Marcela Urrego",VLOOKUP(LEFT(Proc[[#This Row],[Requested]],1),Table3[#All],2,0),VLOOKUP(Proc[[#This Row],[Author]],Table4[],2,0))</f>
        <v>MGF</v>
      </c>
      <c r="L2635" s="94"/>
      <c r="M2635" s="109">
        <v>45841.453541666669</v>
      </c>
      <c r="N2635" s="109"/>
      <c r="O2635" s="109"/>
      <c r="P2635" s="110" t="str">
        <f ca="1">IF(Proc[[#This Row],[DaysAgeing]]&gt;5,"yep","on track")</f>
        <v>on track</v>
      </c>
      <c r="Q2635" s="3">
        <f ca="1">IF(Proc[[#This Row],[DateClosed]]="",ABS(NETWORKDAYS(Proc[[#This Row],[DateOpened]],TODAY()))-1,ABS(NETWORKDAYS(Proc[[#This Row],[DateOpened]],Proc[[#This Row],[DateClosed]]))-1)</f>
        <v>1</v>
      </c>
      <c r="R2635" s="110" t="s">
        <v>485</v>
      </c>
      <c r="S2635" s="94"/>
    </row>
    <row r="2636" spans="1:19">
      <c r="A2636" s="103" t="s">
        <v>4448</v>
      </c>
      <c r="B2636" s="94" t="str">
        <f>IFERROR(VLOOKUP(Proc[[#This Row],[App]],Table2[],3,0),"open")</f>
        <v>open</v>
      </c>
      <c r="C2636" s="103" t="s">
        <v>404</v>
      </c>
      <c r="D2636" t="s">
        <v>4583</v>
      </c>
      <c r="E2636" t="s">
        <v>4770</v>
      </c>
      <c r="F2636" s="94" t="s">
        <v>4806</v>
      </c>
      <c r="G2636" s="103" t="s">
        <v>406</v>
      </c>
      <c r="H2636" s="94" t="str">
        <f>IF(Proc[[#This Row],[type]]="LFF (MDG-F)",MID(Proc[[#This Row],[Obj]],13,10),"")</f>
        <v>DE10538195</v>
      </c>
      <c r="J2636" s="94" t="b">
        <f>Proc[[#This Row],[Requested]]=Proc[[#This Row],[CurrentParent]]</f>
        <v>0</v>
      </c>
      <c r="K2636" s="94" t="str">
        <f>IF(Proc[[#This Row],[Author]]="Marcela Urrego",VLOOKUP(LEFT(Proc[[#This Row],[Requested]],1),Table3[#All],2,0),VLOOKUP(Proc[[#This Row],[Author]],Table4[],2,0))</f>
        <v>MGF</v>
      </c>
      <c r="L2636" s="94"/>
      <c r="M2636" s="109">
        <v>45841.453541666669</v>
      </c>
      <c r="N2636" s="109"/>
      <c r="O2636" s="109"/>
      <c r="P2636" s="110" t="str">
        <f ca="1">IF(Proc[[#This Row],[DaysAgeing]]&gt;5,"yep","on track")</f>
        <v>on track</v>
      </c>
      <c r="Q2636" s="3">
        <f ca="1">IF(Proc[[#This Row],[DateClosed]]="",ABS(NETWORKDAYS(Proc[[#This Row],[DateOpened]],TODAY()))-1,ABS(NETWORKDAYS(Proc[[#This Row],[DateOpened]],Proc[[#This Row],[DateClosed]]))-1)</f>
        <v>1</v>
      </c>
      <c r="R2636" s="110" t="s">
        <v>485</v>
      </c>
      <c r="S2636" s="94"/>
    </row>
    <row r="2637" spans="1:19">
      <c r="A2637" s="103" t="s">
        <v>4448</v>
      </c>
      <c r="B2637" s="94" t="str">
        <f>IFERROR(VLOOKUP(Proc[[#This Row],[App]],Table2[],3,0),"open")</f>
        <v>open</v>
      </c>
      <c r="C2637" s="103" t="s">
        <v>404</v>
      </c>
      <c r="D2637" t="s">
        <v>4584</v>
      </c>
      <c r="E2637" t="s">
        <v>4767</v>
      </c>
      <c r="F2637" s="94" t="s">
        <v>4803</v>
      </c>
      <c r="G2637" s="103" t="s">
        <v>406</v>
      </c>
      <c r="H2637" s="94" t="str">
        <f>IF(Proc[[#This Row],[type]]="LFF (MDG-F)",MID(Proc[[#This Row],[Obj]],13,10),"")</f>
        <v>DE10538197</v>
      </c>
      <c r="J2637" s="94" t="b">
        <f>Proc[[#This Row],[Requested]]=Proc[[#This Row],[CurrentParent]]</f>
        <v>0</v>
      </c>
      <c r="K2637" s="94" t="str">
        <f>IF(Proc[[#This Row],[Author]]="Marcela Urrego",VLOOKUP(LEFT(Proc[[#This Row],[Requested]],1),Table3[#All],2,0),VLOOKUP(Proc[[#This Row],[Author]],Table4[],2,0))</f>
        <v>MGF</v>
      </c>
      <c r="L2637" s="94"/>
      <c r="M2637" s="109">
        <v>45841.453541666669</v>
      </c>
      <c r="N2637" s="109"/>
      <c r="O2637" s="109"/>
      <c r="P2637" s="110" t="str">
        <f ca="1">IF(Proc[[#This Row],[DaysAgeing]]&gt;5,"yep","on track")</f>
        <v>on track</v>
      </c>
      <c r="Q2637" s="3">
        <f ca="1">IF(Proc[[#This Row],[DateClosed]]="",ABS(NETWORKDAYS(Proc[[#This Row],[DateOpened]],TODAY()))-1,ABS(NETWORKDAYS(Proc[[#This Row],[DateOpened]],Proc[[#This Row],[DateClosed]]))-1)</f>
        <v>1</v>
      </c>
      <c r="R2637" s="110" t="s">
        <v>485</v>
      </c>
      <c r="S2637" s="94"/>
    </row>
    <row r="2638" spans="1:19">
      <c r="A2638" s="103" t="s">
        <v>4448</v>
      </c>
      <c r="B2638" s="94" t="str">
        <f>IFERROR(VLOOKUP(Proc[[#This Row],[App]],Table2[],3,0),"open")</f>
        <v>open</v>
      </c>
      <c r="C2638" s="103" t="s">
        <v>404</v>
      </c>
      <c r="D2638" t="s">
        <v>4585</v>
      </c>
      <c r="E2638" t="s">
        <v>4767</v>
      </c>
      <c r="F2638" s="94" t="s">
        <v>4803</v>
      </c>
      <c r="G2638" s="103" t="s">
        <v>406</v>
      </c>
      <c r="H2638" s="94" t="str">
        <f>IF(Proc[[#This Row],[type]]="LFF (MDG-F)",MID(Proc[[#This Row],[Obj]],13,10),"")</f>
        <v>DE10538712</v>
      </c>
      <c r="J2638" s="94" t="b">
        <f>Proc[[#This Row],[Requested]]=Proc[[#This Row],[CurrentParent]]</f>
        <v>0</v>
      </c>
      <c r="K2638" s="94" t="str">
        <f>IF(Proc[[#This Row],[Author]]="Marcela Urrego",VLOOKUP(LEFT(Proc[[#This Row],[Requested]],1),Table3[#All],2,0),VLOOKUP(Proc[[#This Row],[Author]],Table4[],2,0))</f>
        <v>MGF</v>
      </c>
      <c r="L2638" s="94"/>
      <c r="M2638" s="109">
        <v>45841.453541666669</v>
      </c>
      <c r="N2638" s="109"/>
      <c r="O2638" s="109"/>
      <c r="P2638" s="110" t="str">
        <f ca="1">IF(Proc[[#This Row],[DaysAgeing]]&gt;5,"yep","on track")</f>
        <v>on track</v>
      </c>
      <c r="Q2638" s="3">
        <f ca="1">IF(Proc[[#This Row],[DateClosed]]="",ABS(NETWORKDAYS(Proc[[#This Row],[DateOpened]],TODAY()))-1,ABS(NETWORKDAYS(Proc[[#This Row],[DateOpened]],Proc[[#This Row],[DateClosed]]))-1)</f>
        <v>1</v>
      </c>
      <c r="R2638" s="110" t="s">
        <v>485</v>
      </c>
      <c r="S2638" s="94"/>
    </row>
    <row r="2639" spans="1:19">
      <c r="A2639" s="103" t="s">
        <v>4448</v>
      </c>
      <c r="B2639" s="94" t="str">
        <f>IFERROR(VLOOKUP(Proc[[#This Row],[App]],Table2[],3,0),"open")</f>
        <v>open</v>
      </c>
      <c r="C2639" s="103" t="s">
        <v>404</v>
      </c>
      <c r="D2639" t="s">
        <v>4586</v>
      </c>
      <c r="E2639" t="s">
        <v>4769</v>
      </c>
      <c r="F2639" s="94" t="s">
        <v>4803</v>
      </c>
      <c r="G2639" s="103" t="s">
        <v>406</v>
      </c>
      <c r="H2639" s="94" t="str">
        <f>IF(Proc[[#This Row],[type]]="LFF (MDG-F)",MID(Proc[[#This Row],[Obj]],13,10),"")</f>
        <v>DE10538713</v>
      </c>
      <c r="J2639" s="94" t="b">
        <f>Proc[[#This Row],[Requested]]=Proc[[#This Row],[CurrentParent]]</f>
        <v>0</v>
      </c>
      <c r="K2639" s="94" t="str">
        <f>IF(Proc[[#This Row],[Author]]="Marcela Urrego",VLOOKUP(LEFT(Proc[[#This Row],[Requested]],1),Table3[#All],2,0),VLOOKUP(Proc[[#This Row],[Author]],Table4[],2,0))</f>
        <v>MGF</v>
      </c>
      <c r="L2639" s="94"/>
      <c r="M2639" s="109">
        <v>45841.453541666669</v>
      </c>
      <c r="N2639" s="109"/>
      <c r="O2639" s="109"/>
      <c r="P2639" s="110" t="str">
        <f ca="1">IF(Proc[[#This Row],[DaysAgeing]]&gt;5,"yep","on track")</f>
        <v>on track</v>
      </c>
      <c r="Q2639" s="3">
        <f ca="1">IF(Proc[[#This Row],[DateClosed]]="",ABS(NETWORKDAYS(Proc[[#This Row],[DateOpened]],TODAY()))-1,ABS(NETWORKDAYS(Proc[[#This Row],[DateOpened]],Proc[[#This Row],[DateClosed]]))-1)</f>
        <v>1</v>
      </c>
      <c r="R2639" s="110" t="s">
        <v>485</v>
      </c>
      <c r="S2639" s="94"/>
    </row>
    <row r="2640" spans="1:19">
      <c r="A2640" s="103" t="s">
        <v>4448</v>
      </c>
      <c r="B2640" s="94" t="str">
        <f>IFERROR(VLOOKUP(Proc[[#This Row],[App]],Table2[],3,0),"open")</f>
        <v>open</v>
      </c>
      <c r="C2640" s="103" t="s">
        <v>404</v>
      </c>
      <c r="D2640" t="s">
        <v>4587</v>
      </c>
      <c r="E2640" t="s">
        <v>4769</v>
      </c>
      <c r="F2640" s="94" t="s">
        <v>4803</v>
      </c>
      <c r="G2640" s="103" t="s">
        <v>406</v>
      </c>
      <c r="H2640" s="94" t="str">
        <f>IF(Proc[[#This Row],[type]]="LFF (MDG-F)",MID(Proc[[#This Row],[Obj]],13,10),"")</f>
        <v>DE10538714</v>
      </c>
      <c r="J2640" s="94" t="b">
        <f>Proc[[#This Row],[Requested]]=Proc[[#This Row],[CurrentParent]]</f>
        <v>0</v>
      </c>
      <c r="K2640" s="94" t="str">
        <f>IF(Proc[[#This Row],[Author]]="Marcela Urrego",VLOOKUP(LEFT(Proc[[#This Row],[Requested]],1),Table3[#All],2,0),VLOOKUP(Proc[[#This Row],[Author]],Table4[],2,0))</f>
        <v>MGF</v>
      </c>
      <c r="L2640" s="94"/>
      <c r="M2640" s="109">
        <v>45841.453541666669</v>
      </c>
      <c r="N2640" s="109"/>
      <c r="O2640" s="109"/>
      <c r="P2640" s="110" t="str">
        <f ca="1">IF(Proc[[#This Row],[DaysAgeing]]&gt;5,"yep","on track")</f>
        <v>on track</v>
      </c>
      <c r="Q2640" s="3">
        <f ca="1">IF(Proc[[#This Row],[DateClosed]]="",ABS(NETWORKDAYS(Proc[[#This Row],[DateOpened]],TODAY()))-1,ABS(NETWORKDAYS(Proc[[#This Row],[DateOpened]],Proc[[#This Row],[DateClosed]]))-1)</f>
        <v>1</v>
      </c>
      <c r="R2640" s="110" t="s">
        <v>485</v>
      </c>
      <c r="S2640" s="94"/>
    </row>
    <row r="2641" spans="1:19">
      <c r="A2641" s="103" t="s">
        <v>4448</v>
      </c>
      <c r="B2641" s="94" t="str">
        <f>IFERROR(VLOOKUP(Proc[[#This Row],[App]],Table2[],3,0),"open")</f>
        <v>open</v>
      </c>
      <c r="C2641" s="103" t="s">
        <v>404</v>
      </c>
      <c r="D2641" t="s">
        <v>4588</v>
      </c>
      <c r="E2641" t="s">
        <v>4769</v>
      </c>
      <c r="F2641" s="94" t="s">
        <v>4803</v>
      </c>
      <c r="G2641" s="103" t="s">
        <v>406</v>
      </c>
      <c r="H2641" s="94" t="str">
        <f>IF(Proc[[#This Row],[type]]="LFF (MDG-F)",MID(Proc[[#This Row],[Obj]],13,10),"")</f>
        <v>DE10538715</v>
      </c>
      <c r="J2641" s="94" t="b">
        <f>Proc[[#This Row],[Requested]]=Proc[[#This Row],[CurrentParent]]</f>
        <v>0</v>
      </c>
      <c r="K2641" s="94" t="str">
        <f>IF(Proc[[#This Row],[Author]]="Marcela Urrego",VLOOKUP(LEFT(Proc[[#This Row],[Requested]],1),Table3[#All],2,0),VLOOKUP(Proc[[#This Row],[Author]],Table4[],2,0))</f>
        <v>MGF</v>
      </c>
      <c r="L2641" s="94"/>
      <c r="M2641" s="109">
        <v>45841.453541666669</v>
      </c>
      <c r="N2641" s="109"/>
      <c r="O2641" s="109"/>
      <c r="P2641" s="110" t="str">
        <f ca="1">IF(Proc[[#This Row],[DaysAgeing]]&gt;5,"yep","on track")</f>
        <v>on track</v>
      </c>
      <c r="Q2641" s="3">
        <f ca="1">IF(Proc[[#This Row],[DateClosed]]="",ABS(NETWORKDAYS(Proc[[#This Row],[DateOpened]],TODAY()))-1,ABS(NETWORKDAYS(Proc[[#This Row],[DateOpened]],Proc[[#This Row],[DateClosed]]))-1)</f>
        <v>1</v>
      </c>
      <c r="R2641" s="110" t="s">
        <v>485</v>
      </c>
      <c r="S2641" s="94"/>
    </row>
    <row r="2642" spans="1:19">
      <c r="A2642" s="103" t="s">
        <v>4448</v>
      </c>
      <c r="B2642" s="94" t="str">
        <f>IFERROR(VLOOKUP(Proc[[#This Row],[App]],Table2[],3,0),"open")</f>
        <v>open</v>
      </c>
      <c r="C2642" s="103" t="s">
        <v>404</v>
      </c>
      <c r="D2642" t="s">
        <v>4589</v>
      </c>
      <c r="E2642" t="s">
        <v>4769</v>
      </c>
      <c r="F2642" s="94" t="s">
        <v>4803</v>
      </c>
      <c r="G2642" s="103" t="s">
        <v>406</v>
      </c>
      <c r="H2642" s="94" t="str">
        <f>IF(Proc[[#This Row],[type]]="LFF (MDG-F)",MID(Proc[[#This Row],[Obj]],13,10),"")</f>
        <v>DE10538716</v>
      </c>
      <c r="J2642" s="94" t="b">
        <f>Proc[[#This Row],[Requested]]=Proc[[#This Row],[CurrentParent]]</f>
        <v>0</v>
      </c>
      <c r="K2642" s="94" t="str">
        <f>IF(Proc[[#This Row],[Author]]="Marcela Urrego",VLOOKUP(LEFT(Proc[[#This Row],[Requested]],1),Table3[#All],2,0),VLOOKUP(Proc[[#This Row],[Author]],Table4[],2,0))</f>
        <v>MGF</v>
      </c>
      <c r="L2642" s="94"/>
      <c r="M2642" s="109">
        <v>45841.453541666669</v>
      </c>
      <c r="N2642" s="109"/>
      <c r="O2642" s="109"/>
      <c r="P2642" s="110" t="str">
        <f ca="1">IF(Proc[[#This Row],[DaysAgeing]]&gt;5,"yep","on track")</f>
        <v>on track</v>
      </c>
      <c r="Q2642" s="3">
        <f ca="1">IF(Proc[[#This Row],[DateClosed]]="",ABS(NETWORKDAYS(Proc[[#This Row],[DateOpened]],TODAY()))-1,ABS(NETWORKDAYS(Proc[[#This Row],[DateOpened]],Proc[[#This Row],[DateClosed]]))-1)</f>
        <v>1</v>
      </c>
      <c r="R2642" s="110" t="s">
        <v>485</v>
      </c>
      <c r="S2642" s="94"/>
    </row>
    <row r="2643" spans="1:19">
      <c r="A2643" s="103" t="s">
        <v>4448</v>
      </c>
      <c r="B2643" s="94" t="str">
        <f>IFERROR(VLOOKUP(Proc[[#This Row],[App]],Table2[],3,0),"open")</f>
        <v>open</v>
      </c>
      <c r="C2643" s="103" t="s">
        <v>404</v>
      </c>
      <c r="D2643" t="s">
        <v>4590</v>
      </c>
      <c r="E2643" t="s">
        <v>4767</v>
      </c>
      <c r="F2643" s="94" t="s">
        <v>4803</v>
      </c>
      <c r="G2643" s="103" t="s">
        <v>406</v>
      </c>
      <c r="H2643" s="94" t="str">
        <f>IF(Proc[[#This Row],[type]]="LFF (MDG-F)",MID(Proc[[#This Row],[Obj]],13,10),"")</f>
        <v>DE10538717</v>
      </c>
      <c r="J2643" s="94" t="b">
        <f>Proc[[#This Row],[Requested]]=Proc[[#This Row],[CurrentParent]]</f>
        <v>0</v>
      </c>
      <c r="K2643" s="94" t="str">
        <f>IF(Proc[[#This Row],[Author]]="Marcela Urrego",VLOOKUP(LEFT(Proc[[#This Row],[Requested]],1),Table3[#All],2,0),VLOOKUP(Proc[[#This Row],[Author]],Table4[],2,0))</f>
        <v>MGF</v>
      </c>
      <c r="L2643" s="94"/>
      <c r="M2643" s="109">
        <v>45841.453541666669</v>
      </c>
      <c r="N2643" s="109"/>
      <c r="O2643" s="109"/>
      <c r="P2643" s="110" t="str">
        <f ca="1">IF(Proc[[#This Row],[DaysAgeing]]&gt;5,"yep","on track")</f>
        <v>on track</v>
      </c>
      <c r="Q2643" s="3">
        <f ca="1">IF(Proc[[#This Row],[DateClosed]]="",ABS(NETWORKDAYS(Proc[[#This Row],[DateOpened]],TODAY()))-1,ABS(NETWORKDAYS(Proc[[#This Row],[DateOpened]],Proc[[#This Row],[DateClosed]]))-1)</f>
        <v>1</v>
      </c>
      <c r="R2643" s="110" t="s">
        <v>485</v>
      </c>
      <c r="S2643" s="94"/>
    </row>
    <row r="2644" spans="1:19">
      <c r="A2644" s="103" t="s">
        <v>4448</v>
      </c>
      <c r="B2644" s="94" t="str">
        <f>IFERROR(VLOOKUP(Proc[[#This Row],[App]],Table2[],3,0),"open")</f>
        <v>open</v>
      </c>
      <c r="C2644" s="103" t="s">
        <v>404</v>
      </c>
      <c r="D2644" t="s">
        <v>4591</v>
      </c>
      <c r="E2644" t="s">
        <v>4767</v>
      </c>
      <c r="F2644" s="94" t="s">
        <v>4803</v>
      </c>
      <c r="G2644" s="103" t="s">
        <v>406</v>
      </c>
      <c r="H2644" s="94" t="str">
        <f>IF(Proc[[#This Row],[type]]="LFF (MDG-F)",MID(Proc[[#This Row],[Obj]],13,10),"")</f>
        <v>DE10538887</v>
      </c>
      <c r="J2644" s="94" t="b">
        <f>Proc[[#This Row],[Requested]]=Proc[[#This Row],[CurrentParent]]</f>
        <v>0</v>
      </c>
      <c r="K2644" s="94" t="str">
        <f>IF(Proc[[#This Row],[Author]]="Marcela Urrego",VLOOKUP(LEFT(Proc[[#This Row],[Requested]],1),Table3[#All],2,0),VLOOKUP(Proc[[#This Row],[Author]],Table4[],2,0))</f>
        <v>MGF</v>
      </c>
      <c r="L2644" s="94"/>
      <c r="M2644" s="109">
        <v>45841.453541666669</v>
      </c>
      <c r="N2644" s="109"/>
      <c r="O2644" s="109"/>
      <c r="P2644" s="110" t="str">
        <f ca="1">IF(Proc[[#This Row],[DaysAgeing]]&gt;5,"yep","on track")</f>
        <v>on track</v>
      </c>
      <c r="Q2644" s="3">
        <f ca="1">IF(Proc[[#This Row],[DateClosed]]="",ABS(NETWORKDAYS(Proc[[#This Row],[DateOpened]],TODAY()))-1,ABS(NETWORKDAYS(Proc[[#This Row],[DateOpened]],Proc[[#This Row],[DateClosed]]))-1)</f>
        <v>1</v>
      </c>
      <c r="R2644" s="110" t="s">
        <v>485</v>
      </c>
      <c r="S2644" s="94"/>
    </row>
    <row r="2645" spans="1:19">
      <c r="A2645" s="103" t="s">
        <v>4448</v>
      </c>
      <c r="B2645" s="94" t="str">
        <f>IFERROR(VLOOKUP(Proc[[#This Row],[App]],Table2[],3,0),"open")</f>
        <v>open</v>
      </c>
      <c r="C2645" s="103" t="s">
        <v>404</v>
      </c>
      <c r="D2645" t="s">
        <v>4592</v>
      </c>
      <c r="E2645" t="s">
        <v>4767</v>
      </c>
      <c r="F2645" s="94" t="s">
        <v>4797</v>
      </c>
      <c r="G2645" s="103" t="s">
        <v>406</v>
      </c>
      <c r="H2645" s="94" t="str">
        <f>IF(Proc[[#This Row],[type]]="LFF (MDG-F)",MID(Proc[[#This Row],[Obj]],13,10),"")</f>
        <v>DE10538920</v>
      </c>
      <c r="J2645" s="94" t="b">
        <f>Proc[[#This Row],[Requested]]=Proc[[#This Row],[CurrentParent]]</f>
        <v>0</v>
      </c>
      <c r="K2645" s="94" t="str">
        <f>IF(Proc[[#This Row],[Author]]="Marcela Urrego",VLOOKUP(LEFT(Proc[[#This Row],[Requested]],1),Table3[#All],2,0),VLOOKUP(Proc[[#This Row],[Author]],Table4[],2,0))</f>
        <v>MGF</v>
      </c>
      <c r="L2645" s="94"/>
      <c r="M2645" s="109">
        <v>45841.453541666669</v>
      </c>
      <c r="N2645" s="109"/>
      <c r="O2645" s="109"/>
      <c r="P2645" s="110" t="str">
        <f ca="1">IF(Proc[[#This Row],[DaysAgeing]]&gt;5,"yep","on track")</f>
        <v>on track</v>
      </c>
      <c r="Q2645" s="3">
        <f ca="1">IF(Proc[[#This Row],[DateClosed]]="",ABS(NETWORKDAYS(Proc[[#This Row],[DateOpened]],TODAY()))-1,ABS(NETWORKDAYS(Proc[[#This Row],[DateOpened]],Proc[[#This Row],[DateClosed]]))-1)</f>
        <v>1</v>
      </c>
      <c r="R2645" s="110" t="s">
        <v>485</v>
      </c>
      <c r="S2645" s="94"/>
    </row>
    <row r="2646" spans="1:19">
      <c r="A2646" s="103" t="s">
        <v>4448</v>
      </c>
      <c r="B2646" s="94" t="str">
        <f>IFERROR(VLOOKUP(Proc[[#This Row],[App]],Table2[],3,0),"open")</f>
        <v>open</v>
      </c>
      <c r="C2646" s="103" t="s">
        <v>404</v>
      </c>
      <c r="D2646" t="s">
        <v>4593</v>
      </c>
      <c r="E2646" t="s">
        <v>4767</v>
      </c>
      <c r="F2646" s="94" t="s">
        <v>4801</v>
      </c>
      <c r="G2646" s="103" t="s">
        <v>406</v>
      </c>
      <c r="H2646" s="94" t="str">
        <f>IF(Proc[[#This Row],[type]]="LFF (MDG-F)",MID(Proc[[#This Row],[Obj]],13,10),"")</f>
        <v>DE10538921</v>
      </c>
      <c r="J2646" s="94" t="b">
        <f>Proc[[#This Row],[Requested]]=Proc[[#This Row],[CurrentParent]]</f>
        <v>0</v>
      </c>
      <c r="K2646" s="94" t="str">
        <f>IF(Proc[[#This Row],[Author]]="Marcela Urrego",VLOOKUP(LEFT(Proc[[#This Row],[Requested]],1),Table3[#All],2,0),VLOOKUP(Proc[[#This Row],[Author]],Table4[],2,0))</f>
        <v>MGF</v>
      </c>
      <c r="L2646" s="94"/>
      <c r="M2646" s="109">
        <v>45841.453541666669</v>
      </c>
      <c r="N2646" s="109"/>
      <c r="O2646" s="109"/>
      <c r="P2646" s="110" t="str">
        <f ca="1">IF(Proc[[#This Row],[DaysAgeing]]&gt;5,"yep","on track")</f>
        <v>on track</v>
      </c>
      <c r="Q2646" s="3">
        <f ca="1">IF(Proc[[#This Row],[DateClosed]]="",ABS(NETWORKDAYS(Proc[[#This Row],[DateOpened]],TODAY()))-1,ABS(NETWORKDAYS(Proc[[#This Row],[DateOpened]],Proc[[#This Row],[DateClosed]]))-1)</f>
        <v>1</v>
      </c>
      <c r="R2646" s="110" t="s">
        <v>485</v>
      </c>
      <c r="S2646" s="94"/>
    </row>
    <row r="2647" spans="1:19">
      <c r="A2647" s="103" t="s">
        <v>4448</v>
      </c>
      <c r="B2647" s="94" t="str">
        <f>IFERROR(VLOOKUP(Proc[[#This Row],[App]],Table2[],3,0),"open")</f>
        <v>open</v>
      </c>
      <c r="C2647" s="103" t="s">
        <v>404</v>
      </c>
      <c r="D2647" t="s">
        <v>4594</v>
      </c>
      <c r="E2647" t="s">
        <v>4769</v>
      </c>
      <c r="F2647" s="94" t="s">
        <v>4803</v>
      </c>
      <c r="G2647" s="103" t="s">
        <v>406</v>
      </c>
      <c r="H2647" s="94" t="str">
        <f>IF(Proc[[#This Row],[type]]="LFF (MDG-F)",MID(Proc[[#This Row],[Obj]],13,10),"")</f>
        <v>DE10538978</v>
      </c>
      <c r="J2647" s="94" t="b">
        <f>Proc[[#This Row],[Requested]]=Proc[[#This Row],[CurrentParent]]</f>
        <v>0</v>
      </c>
      <c r="K2647" s="94" t="str">
        <f>IF(Proc[[#This Row],[Author]]="Marcela Urrego",VLOOKUP(LEFT(Proc[[#This Row],[Requested]],1),Table3[#All],2,0),VLOOKUP(Proc[[#This Row],[Author]],Table4[],2,0))</f>
        <v>MGF</v>
      </c>
      <c r="L2647" s="94"/>
      <c r="M2647" s="109">
        <v>45841.453541666669</v>
      </c>
      <c r="N2647" s="109"/>
      <c r="O2647" s="109"/>
      <c r="P2647" s="110" t="str">
        <f ca="1">IF(Proc[[#This Row],[DaysAgeing]]&gt;5,"yep","on track")</f>
        <v>on track</v>
      </c>
      <c r="Q2647" s="3">
        <f ca="1">IF(Proc[[#This Row],[DateClosed]]="",ABS(NETWORKDAYS(Proc[[#This Row],[DateOpened]],TODAY()))-1,ABS(NETWORKDAYS(Proc[[#This Row],[DateOpened]],Proc[[#This Row],[DateClosed]]))-1)</f>
        <v>1</v>
      </c>
      <c r="R2647" s="110" t="s">
        <v>485</v>
      </c>
      <c r="S2647" s="94"/>
    </row>
    <row r="2648" spans="1:19">
      <c r="A2648" s="103" t="s">
        <v>4448</v>
      </c>
      <c r="B2648" s="94" t="str">
        <f>IFERROR(VLOOKUP(Proc[[#This Row],[App]],Table2[],3,0),"open")</f>
        <v>open</v>
      </c>
      <c r="C2648" s="103" t="s">
        <v>404</v>
      </c>
      <c r="D2648" t="s">
        <v>4595</v>
      </c>
      <c r="E2648" t="s">
        <v>4770</v>
      </c>
      <c r="F2648" s="94" t="s">
        <v>4806</v>
      </c>
      <c r="G2648" s="103" t="s">
        <v>406</v>
      </c>
      <c r="H2648" s="94" t="str">
        <f>IF(Proc[[#This Row],[type]]="LFF (MDG-F)",MID(Proc[[#This Row],[Obj]],13,10),"")</f>
        <v>DE10539001</v>
      </c>
      <c r="J2648" s="94" t="b">
        <f>Proc[[#This Row],[Requested]]=Proc[[#This Row],[CurrentParent]]</f>
        <v>0</v>
      </c>
      <c r="K2648" s="94" t="str">
        <f>IF(Proc[[#This Row],[Author]]="Marcela Urrego",VLOOKUP(LEFT(Proc[[#This Row],[Requested]],1),Table3[#All],2,0),VLOOKUP(Proc[[#This Row],[Author]],Table4[],2,0))</f>
        <v>MGF</v>
      </c>
      <c r="L2648" s="94"/>
      <c r="M2648" s="109">
        <v>45841.453541666669</v>
      </c>
      <c r="N2648" s="109"/>
      <c r="O2648" s="109"/>
      <c r="P2648" s="110" t="str">
        <f ca="1">IF(Proc[[#This Row],[DaysAgeing]]&gt;5,"yep","on track")</f>
        <v>on track</v>
      </c>
      <c r="Q2648" s="3">
        <f ca="1">IF(Proc[[#This Row],[DateClosed]]="",ABS(NETWORKDAYS(Proc[[#This Row],[DateOpened]],TODAY()))-1,ABS(NETWORKDAYS(Proc[[#This Row],[DateOpened]],Proc[[#This Row],[DateClosed]]))-1)</f>
        <v>1</v>
      </c>
      <c r="R2648" s="110" t="s">
        <v>485</v>
      </c>
      <c r="S2648" s="94"/>
    </row>
    <row r="2649" spans="1:19">
      <c r="A2649" s="103" t="s">
        <v>4448</v>
      </c>
      <c r="B2649" s="94" t="str">
        <f>IFERROR(VLOOKUP(Proc[[#This Row],[App]],Table2[],3,0),"open")</f>
        <v>open</v>
      </c>
      <c r="C2649" s="103" t="s">
        <v>404</v>
      </c>
      <c r="D2649" t="s">
        <v>4596</v>
      </c>
      <c r="E2649" t="s">
        <v>4770</v>
      </c>
      <c r="F2649" s="94" t="s">
        <v>4806</v>
      </c>
      <c r="G2649" s="103" t="s">
        <v>406</v>
      </c>
      <c r="H2649" s="94" t="str">
        <f>IF(Proc[[#This Row],[type]]="LFF (MDG-F)",MID(Proc[[#This Row],[Obj]],13,10),"")</f>
        <v>DE10539002</v>
      </c>
      <c r="J2649" s="94" t="b">
        <f>Proc[[#This Row],[Requested]]=Proc[[#This Row],[CurrentParent]]</f>
        <v>0</v>
      </c>
      <c r="K2649" s="94" t="str">
        <f>IF(Proc[[#This Row],[Author]]="Marcela Urrego",VLOOKUP(LEFT(Proc[[#This Row],[Requested]],1),Table3[#All],2,0),VLOOKUP(Proc[[#This Row],[Author]],Table4[],2,0))</f>
        <v>MGF</v>
      </c>
      <c r="L2649" s="94"/>
      <c r="M2649" s="109">
        <v>45841.453541666669</v>
      </c>
      <c r="N2649" s="109"/>
      <c r="O2649" s="109"/>
      <c r="P2649" s="110" t="str">
        <f ca="1">IF(Proc[[#This Row],[DaysAgeing]]&gt;5,"yep","on track")</f>
        <v>on track</v>
      </c>
      <c r="Q2649" s="3">
        <f ca="1">IF(Proc[[#This Row],[DateClosed]]="",ABS(NETWORKDAYS(Proc[[#This Row],[DateOpened]],TODAY()))-1,ABS(NETWORKDAYS(Proc[[#This Row],[DateOpened]],Proc[[#This Row],[DateClosed]]))-1)</f>
        <v>1</v>
      </c>
      <c r="R2649" s="110" t="s">
        <v>485</v>
      </c>
      <c r="S2649" s="94"/>
    </row>
    <row r="2650" spans="1:19">
      <c r="A2650" s="103" t="s">
        <v>4448</v>
      </c>
      <c r="B2650" s="94" t="str">
        <f>IFERROR(VLOOKUP(Proc[[#This Row],[App]],Table2[],3,0),"open")</f>
        <v>open</v>
      </c>
      <c r="C2650" s="103" t="s">
        <v>404</v>
      </c>
      <c r="D2650" t="s">
        <v>4597</v>
      </c>
      <c r="E2650" t="s">
        <v>4770</v>
      </c>
      <c r="F2650" s="94" t="s">
        <v>4806</v>
      </c>
      <c r="G2650" s="103" t="s">
        <v>406</v>
      </c>
      <c r="H2650" s="94" t="str">
        <f>IF(Proc[[#This Row],[type]]="LFF (MDG-F)",MID(Proc[[#This Row],[Obj]],13,10),"")</f>
        <v>DE10539004</v>
      </c>
      <c r="J2650" s="94" t="b">
        <f>Proc[[#This Row],[Requested]]=Proc[[#This Row],[CurrentParent]]</f>
        <v>0</v>
      </c>
      <c r="K2650" s="94" t="str">
        <f>IF(Proc[[#This Row],[Author]]="Marcela Urrego",VLOOKUP(LEFT(Proc[[#This Row],[Requested]],1),Table3[#All],2,0),VLOOKUP(Proc[[#This Row],[Author]],Table4[],2,0))</f>
        <v>MGF</v>
      </c>
      <c r="L2650" s="94"/>
      <c r="M2650" s="109">
        <v>45841.453541666669</v>
      </c>
      <c r="N2650" s="109"/>
      <c r="O2650" s="109"/>
      <c r="P2650" s="110" t="str">
        <f ca="1">IF(Proc[[#This Row],[DaysAgeing]]&gt;5,"yep","on track")</f>
        <v>on track</v>
      </c>
      <c r="Q2650" s="3">
        <f ca="1">IF(Proc[[#This Row],[DateClosed]]="",ABS(NETWORKDAYS(Proc[[#This Row],[DateOpened]],TODAY()))-1,ABS(NETWORKDAYS(Proc[[#This Row],[DateOpened]],Proc[[#This Row],[DateClosed]]))-1)</f>
        <v>1</v>
      </c>
      <c r="R2650" s="110" t="s">
        <v>485</v>
      </c>
      <c r="S2650" s="94"/>
    </row>
    <row r="2651" spans="1:19">
      <c r="A2651" s="103" t="s">
        <v>4448</v>
      </c>
      <c r="B2651" s="94" t="str">
        <f>IFERROR(VLOOKUP(Proc[[#This Row],[App]],Table2[],3,0),"open")</f>
        <v>open</v>
      </c>
      <c r="C2651" s="103" t="s">
        <v>404</v>
      </c>
      <c r="D2651" t="s">
        <v>4598</v>
      </c>
      <c r="E2651" t="s">
        <v>4770</v>
      </c>
      <c r="F2651" s="94" t="s">
        <v>4807</v>
      </c>
      <c r="G2651" s="103" t="s">
        <v>406</v>
      </c>
      <c r="H2651" s="94" t="str">
        <f>IF(Proc[[#This Row],[type]]="LFF (MDG-F)",MID(Proc[[#This Row],[Obj]],13,10),"")</f>
        <v>DE10567500</v>
      </c>
      <c r="J2651" s="94" t="b">
        <f>Proc[[#This Row],[Requested]]=Proc[[#This Row],[CurrentParent]]</f>
        <v>0</v>
      </c>
      <c r="K2651" s="94" t="str">
        <f>IF(Proc[[#This Row],[Author]]="Marcela Urrego",VLOOKUP(LEFT(Proc[[#This Row],[Requested]],1),Table3[#All],2,0),VLOOKUP(Proc[[#This Row],[Author]],Table4[],2,0))</f>
        <v>MGF</v>
      </c>
      <c r="L2651" s="94"/>
      <c r="M2651" s="109">
        <v>45841.453541666669</v>
      </c>
      <c r="N2651" s="109"/>
      <c r="O2651" s="109"/>
      <c r="P2651" s="110" t="str">
        <f ca="1">IF(Proc[[#This Row],[DaysAgeing]]&gt;5,"yep","on track")</f>
        <v>on track</v>
      </c>
      <c r="Q2651" s="3">
        <f ca="1">IF(Proc[[#This Row],[DateClosed]]="",ABS(NETWORKDAYS(Proc[[#This Row],[DateOpened]],TODAY()))-1,ABS(NETWORKDAYS(Proc[[#This Row],[DateOpened]],Proc[[#This Row],[DateClosed]]))-1)</f>
        <v>1</v>
      </c>
      <c r="R2651" s="110" t="s">
        <v>485</v>
      </c>
      <c r="S2651" s="94"/>
    </row>
    <row r="2652" spans="1:19">
      <c r="A2652" s="103" t="s">
        <v>4448</v>
      </c>
      <c r="B2652" s="94" t="str">
        <f>IFERROR(VLOOKUP(Proc[[#This Row],[App]],Table2[],3,0),"open")</f>
        <v>open</v>
      </c>
      <c r="C2652" s="103" t="s">
        <v>404</v>
      </c>
      <c r="D2652" t="s">
        <v>4599</v>
      </c>
      <c r="E2652" t="s">
        <v>4767</v>
      </c>
      <c r="F2652" s="94" t="s">
        <v>4803</v>
      </c>
      <c r="G2652" s="103" t="s">
        <v>406</v>
      </c>
      <c r="H2652" s="94" t="str">
        <f>IF(Proc[[#This Row],[type]]="LFF (MDG-F)",MID(Proc[[#This Row],[Obj]],13,10),"")</f>
        <v>DE10569401</v>
      </c>
      <c r="J2652" s="94" t="b">
        <f>Proc[[#This Row],[Requested]]=Proc[[#This Row],[CurrentParent]]</f>
        <v>0</v>
      </c>
      <c r="K2652" s="94" t="str">
        <f>IF(Proc[[#This Row],[Author]]="Marcela Urrego",VLOOKUP(LEFT(Proc[[#This Row],[Requested]],1),Table3[#All],2,0),VLOOKUP(Proc[[#This Row],[Author]],Table4[],2,0))</f>
        <v>MGF</v>
      </c>
      <c r="L2652" s="94"/>
      <c r="M2652" s="109">
        <v>45841.453541666669</v>
      </c>
      <c r="N2652" s="109"/>
      <c r="O2652" s="109"/>
      <c r="P2652" s="110" t="str">
        <f ca="1">IF(Proc[[#This Row],[DaysAgeing]]&gt;5,"yep","on track")</f>
        <v>on track</v>
      </c>
      <c r="Q2652" s="3">
        <f ca="1">IF(Proc[[#This Row],[DateClosed]]="",ABS(NETWORKDAYS(Proc[[#This Row],[DateOpened]],TODAY()))-1,ABS(NETWORKDAYS(Proc[[#This Row],[DateOpened]],Proc[[#This Row],[DateClosed]]))-1)</f>
        <v>1</v>
      </c>
      <c r="R2652" s="110" t="s">
        <v>485</v>
      </c>
      <c r="S2652" s="94"/>
    </row>
    <row r="2653" spans="1:19">
      <c r="A2653" s="103" t="s">
        <v>4448</v>
      </c>
      <c r="B2653" s="94" t="str">
        <f>IFERROR(VLOOKUP(Proc[[#This Row],[App]],Table2[],3,0),"open")</f>
        <v>open</v>
      </c>
      <c r="C2653" s="103" t="s">
        <v>404</v>
      </c>
      <c r="D2653" t="s">
        <v>4600</v>
      </c>
      <c r="E2653" t="s">
        <v>4766</v>
      </c>
      <c r="F2653" s="94" t="s">
        <v>4806</v>
      </c>
      <c r="G2653" s="103" t="s">
        <v>406</v>
      </c>
      <c r="H2653" s="94" t="str">
        <f>IF(Proc[[#This Row],[type]]="LFF (MDG-F)",MID(Proc[[#This Row],[Obj]],13,10),"")</f>
        <v>DE10538145</v>
      </c>
      <c r="J2653" s="94" t="b">
        <f>Proc[[#This Row],[Requested]]=Proc[[#This Row],[CurrentParent]]</f>
        <v>0</v>
      </c>
      <c r="K2653" s="94" t="str">
        <f>IF(Proc[[#This Row],[Author]]="Marcela Urrego",VLOOKUP(LEFT(Proc[[#This Row],[Requested]],1),Table3[#All],2,0),VLOOKUP(Proc[[#This Row],[Author]],Table4[],2,0))</f>
        <v>MGF</v>
      </c>
      <c r="L2653" s="94"/>
      <c r="M2653" s="109">
        <v>45841.453541666669</v>
      </c>
      <c r="N2653" s="109"/>
      <c r="O2653" s="109"/>
      <c r="P2653" s="110" t="str">
        <f ca="1">IF(Proc[[#This Row],[DaysAgeing]]&gt;5,"yep","on track")</f>
        <v>on track</v>
      </c>
      <c r="Q2653" s="3">
        <f ca="1">IF(Proc[[#This Row],[DateClosed]]="",ABS(NETWORKDAYS(Proc[[#This Row],[DateOpened]],TODAY()))-1,ABS(NETWORKDAYS(Proc[[#This Row],[DateOpened]],Proc[[#This Row],[DateClosed]]))-1)</f>
        <v>1</v>
      </c>
      <c r="R2653" s="110" t="s">
        <v>485</v>
      </c>
      <c r="S2653" s="94"/>
    </row>
    <row r="2654" spans="1:19">
      <c r="A2654" s="103" t="s">
        <v>4448</v>
      </c>
      <c r="B2654" s="94" t="str">
        <f>IFERROR(VLOOKUP(Proc[[#This Row],[App]],Table2[],3,0),"open")</f>
        <v>open</v>
      </c>
      <c r="C2654" s="103" t="s">
        <v>404</v>
      </c>
      <c r="D2654" t="s">
        <v>4601</v>
      </c>
      <c r="E2654" t="s">
        <v>4766</v>
      </c>
      <c r="F2654" s="94" t="s">
        <v>4792</v>
      </c>
      <c r="G2654" s="103" t="s">
        <v>406</v>
      </c>
      <c r="H2654" s="94" t="str">
        <f>IF(Proc[[#This Row],[type]]="LFF (MDG-F)",MID(Proc[[#This Row],[Obj]],13,10),"")</f>
        <v>DE10538190</v>
      </c>
      <c r="J2654" s="94" t="b">
        <f>Proc[[#This Row],[Requested]]=Proc[[#This Row],[CurrentParent]]</f>
        <v>0</v>
      </c>
      <c r="K2654" s="94" t="str">
        <f>IF(Proc[[#This Row],[Author]]="Marcela Urrego",VLOOKUP(LEFT(Proc[[#This Row],[Requested]],1),Table3[#All],2,0),VLOOKUP(Proc[[#This Row],[Author]],Table4[],2,0))</f>
        <v>MGF</v>
      </c>
      <c r="L2654" s="94"/>
      <c r="M2654" s="109">
        <v>45841.453541666669</v>
      </c>
      <c r="N2654" s="109"/>
      <c r="O2654" s="109"/>
      <c r="P2654" s="110" t="str">
        <f ca="1">IF(Proc[[#This Row],[DaysAgeing]]&gt;5,"yep","on track")</f>
        <v>on track</v>
      </c>
      <c r="Q2654" s="3">
        <f ca="1">IF(Proc[[#This Row],[DateClosed]]="",ABS(NETWORKDAYS(Proc[[#This Row],[DateOpened]],TODAY()))-1,ABS(NETWORKDAYS(Proc[[#This Row],[DateOpened]],Proc[[#This Row],[DateClosed]]))-1)</f>
        <v>1</v>
      </c>
      <c r="R2654" s="110" t="s">
        <v>485</v>
      </c>
      <c r="S2654" s="94"/>
    </row>
    <row r="2655" spans="1:19">
      <c r="A2655" s="103" t="s">
        <v>4448</v>
      </c>
      <c r="B2655" s="94" t="str">
        <f>IFERROR(VLOOKUP(Proc[[#This Row],[App]],Table2[],3,0),"open")</f>
        <v>open</v>
      </c>
      <c r="C2655" s="103" t="s">
        <v>404</v>
      </c>
      <c r="D2655" t="s">
        <v>4602</v>
      </c>
      <c r="E2655" t="s">
        <v>4770</v>
      </c>
      <c r="F2655" s="94" t="s">
        <v>4806</v>
      </c>
      <c r="G2655" s="103" t="s">
        <v>406</v>
      </c>
      <c r="H2655" s="94" t="str">
        <f>IF(Proc[[#This Row],[type]]="LFF (MDG-F)",MID(Proc[[#This Row],[Obj]],13,10),"")</f>
        <v>DE10539003</v>
      </c>
      <c r="J2655" s="94" t="b">
        <f>Proc[[#This Row],[Requested]]=Proc[[#This Row],[CurrentParent]]</f>
        <v>0</v>
      </c>
      <c r="K2655" s="94" t="str">
        <f>IF(Proc[[#This Row],[Author]]="Marcela Urrego",VLOOKUP(LEFT(Proc[[#This Row],[Requested]],1),Table3[#All],2,0),VLOOKUP(Proc[[#This Row],[Author]],Table4[],2,0))</f>
        <v>MGF</v>
      </c>
      <c r="L2655" s="94"/>
      <c r="M2655" s="109">
        <v>45841.453541666669</v>
      </c>
      <c r="N2655" s="109"/>
      <c r="O2655" s="109"/>
      <c r="P2655" s="110" t="str">
        <f ca="1">IF(Proc[[#This Row],[DaysAgeing]]&gt;5,"yep","on track")</f>
        <v>on track</v>
      </c>
      <c r="Q2655" s="3">
        <f ca="1">IF(Proc[[#This Row],[DateClosed]]="",ABS(NETWORKDAYS(Proc[[#This Row],[DateOpened]],TODAY()))-1,ABS(NETWORKDAYS(Proc[[#This Row],[DateOpened]],Proc[[#This Row],[DateClosed]]))-1)</f>
        <v>1</v>
      </c>
      <c r="R2655" s="110" t="s">
        <v>485</v>
      </c>
      <c r="S2655" s="94"/>
    </row>
    <row r="2656" spans="1:19">
      <c r="A2656" s="103" t="s">
        <v>4448</v>
      </c>
      <c r="B2656" s="94" t="str">
        <f>IFERROR(VLOOKUP(Proc[[#This Row],[App]],Table2[],3,0),"open")</f>
        <v>open</v>
      </c>
      <c r="C2656" s="103" t="s">
        <v>404</v>
      </c>
      <c r="D2656" t="s">
        <v>4603</v>
      </c>
      <c r="E2656" t="s">
        <v>4766</v>
      </c>
      <c r="F2656" s="94" t="s">
        <v>4808</v>
      </c>
      <c r="G2656" s="103" t="s">
        <v>406</v>
      </c>
      <c r="H2656" s="94" t="str">
        <f>IF(Proc[[#This Row],[type]]="LFF (MDG-F)",MID(Proc[[#This Row],[Obj]],13,10),"")</f>
        <v>DE10567400</v>
      </c>
      <c r="J2656" s="94" t="b">
        <f>Proc[[#This Row],[Requested]]=Proc[[#This Row],[CurrentParent]]</f>
        <v>0</v>
      </c>
      <c r="K2656" s="94" t="str">
        <f>IF(Proc[[#This Row],[Author]]="Marcela Urrego",VLOOKUP(LEFT(Proc[[#This Row],[Requested]],1),Table3[#All],2,0),VLOOKUP(Proc[[#This Row],[Author]],Table4[],2,0))</f>
        <v>MGF</v>
      </c>
      <c r="L2656" s="94"/>
      <c r="M2656" s="109">
        <v>45841.453541666669</v>
      </c>
      <c r="N2656" s="109"/>
      <c r="O2656" s="109"/>
      <c r="P2656" s="110" t="str">
        <f ca="1">IF(Proc[[#This Row],[DaysAgeing]]&gt;5,"yep","on track")</f>
        <v>on track</v>
      </c>
      <c r="Q2656" s="3">
        <f ca="1">IF(Proc[[#This Row],[DateClosed]]="",ABS(NETWORKDAYS(Proc[[#This Row],[DateOpened]],TODAY()))-1,ABS(NETWORKDAYS(Proc[[#This Row],[DateOpened]],Proc[[#This Row],[DateClosed]]))-1)</f>
        <v>1</v>
      </c>
      <c r="R2656" s="110" t="s">
        <v>485</v>
      </c>
      <c r="S2656" s="94"/>
    </row>
    <row r="2657" spans="1:19">
      <c r="A2657" s="103" t="s">
        <v>4448</v>
      </c>
      <c r="B2657" s="94" t="str">
        <f>IFERROR(VLOOKUP(Proc[[#This Row],[App]],Table2[],3,0),"open")</f>
        <v>open</v>
      </c>
      <c r="C2657" s="103" t="s">
        <v>404</v>
      </c>
      <c r="D2657" t="s">
        <v>4604</v>
      </c>
      <c r="E2657" t="s">
        <v>4771</v>
      </c>
      <c r="F2657" s="94" t="s">
        <v>4809</v>
      </c>
      <c r="G2657" s="103" t="s">
        <v>406</v>
      </c>
      <c r="H2657" s="94" t="str">
        <f>IF(Proc[[#This Row],[type]]="LFF (MDG-F)",MID(Proc[[#This Row],[Obj]],13,10),"")</f>
        <v>DE20510800</v>
      </c>
      <c r="J2657" s="94" t="b">
        <f>Proc[[#This Row],[Requested]]=Proc[[#This Row],[CurrentParent]]</f>
        <v>0</v>
      </c>
      <c r="K2657" s="94" t="str">
        <f>IF(Proc[[#This Row],[Author]]="Marcela Urrego",VLOOKUP(LEFT(Proc[[#This Row],[Requested]],1),Table3[#All],2,0),VLOOKUP(Proc[[#This Row],[Author]],Table4[],2,0))</f>
        <v>MGF</v>
      </c>
      <c r="L2657" s="94"/>
      <c r="M2657" s="109">
        <v>45841.453541666669</v>
      </c>
      <c r="N2657" s="109"/>
      <c r="O2657" s="109"/>
      <c r="P2657" s="110" t="str">
        <f ca="1">IF(Proc[[#This Row],[DaysAgeing]]&gt;5,"yep","on track")</f>
        <v>on track</v>
      </c>
      <c r="Q2657" s="3">
        <f ca="1">IF(Proc[[#This Row],[DateClosed]]="",ABS(NETWORKDAYS(Proc[[#This Row],[DateOpened]],TODAY()))-1,ABS(NETWORKDAYS(Proc[[#This Row],[DateOpened]],Proc[[#This Row],[DateClosed]]))-1)</f>
        <v>1</v>
      </c>
      <c r="R2657" s="110" t="s">
        <v>485</v>
      </c>
      <c r="S2657" s="94"/>
    </row>
    <row r="2658" spans="1:19">
      <c r="A2658" s="103" t="s">
        <v>4448</v>
      </c>
      <c r="B2658" s="94" t="str">
        <f>IFERROR(VLOOKUP(Proc[[#This Row],[App]],Table2[],3,0),"open")</f>
        <v>open</v>
      </c>
      <c r="C2658" s="103" t="s">
        <v>404</v>
      </c>
      <c r="D2658" t="s">
        <v>4605</v>
      </c>
      <c r="E2658" t="s">
        <v>4771</v>
      </c>
      <c r="F2658" s="94" t="s">
        <v>4809</v>
      </c>
      <c r="G2658" s="103" t="s">
        <v>406</v>
      </c>
      <c r="H2658" s="94" t="str">
        <f>IF(Proc[[#This Row],[type]]="LFF (MDG-F)",MID(Proc[[#This Row],[Obj]],13,10),"")</f>
        <v>DE20516800</v>
      </c>
      <c r="J2658" s="94" t="b">
        <f>Proc[[#This Row],[Requested]]=Proc[[#This Row],[CurrentParent]]</f>
        <v>0</v>
      </c>
      <c r="K2658" s="94" t="str">
        <f>IF(Proc[[#This Row],[Author]]="Marcela Urrego",VLOOKUP(LEFT(Proc[[#This Row],[Requested]],1),Table3[#All],2,0),VLOOKUP(Proc[[#This Row],[Author]],Table4[],2,0))</f>
        <v>MGF</v>
      </c>
      <c r="L2658" s="94"/>
      <c r="M2658" s="109">
        <v>45841.453541666669</v>
      </c>
      <c r="N2658" s="109"/>
      <c r="O2658" s="109"/>
      <c r="P2658" s="110" t="str">
        <f ca="1">IF(Proc[[#This Row],[DaysAgeing]]&gt;5,"yep","on track")</f>
        <v>on track</v>
      </c>
      <c r="Q2658" s="3">
        <f ca="1">IF(Proc[[#This Row],[DateClosed]]="",ABS(NETWORKDAYS(Proc[[#This Row],[DateOpened]],TODAY()))-1,ABS(NETWORKDAYS(Proc[[#This Row],[DateOpened]],Proc[[#This Row],[DateClosed]]))-1)</f>
        <v>1</v>
      </c>
      <c r="R2658" s="110" t="s">
        <v>485</v>
      </c>
      <c r="S2658" s="94"/>
    </row>
    <row r="2659" spans="1:19">
      <c r="A2659" s="103" t="s">
        <v>4448</v>
      </c>
      <c r="B2659" s="94" t="str">
        <f>IFERROR(VLOOKUP(Proc[[#This Row],[App]],Table2[],3,0),"open")</f>
        <v>open</v>
      </c>
      <c r="C2659" s="103" t="s">
        <v>404</v>
      </c>
      <c r="D2659" t="s">
        <v>4606</v>
      </c>
      <c r="E2659" t="s">
        <v>4771</v>
      </c>
      <c r="F2659" s="94" t="s">
        <v>4809</v>
      </c>
      <c r="G2659" s="103" t="s">
        <v>406</v>
      </c>
      <c r="H2659" s="94" t="str">
        <f>IF(Proc[[#This Row],[type]]="LFF (MDG-F)",MID(Proc[[#This Row],[Obj]],13,10),"")</f>
        <v>DE20518800</v>
      </c>
      <c r="J2659" s="94" t="b">
        <f>Proc[[#This Row],[Requested]]=Proc[[#This Row],[CurrentParent]]</f>
        <v>0</v>
      </c>
      <c r="K2659" s="94" t="str">
        <f>IF(Proc[[#This Row],[Author]]="Marcela Urrego",VLOOKUP(LEFT(Proc[[#This Row],[Requested]],1),Table3[#All],2,0),VLOOKUP(Proc[[#This Row],[Author]],Table4[],2,0))</f>
        <v>MGF</v>
      </c>
      <c r="L2659" s="94"/>
      <c r="M2659" s="109">
        <v>45841.453541666669</v>
      </c>
      <c r="N2659" s="109"/>
      <c r="O2659" s="109"/>
      <c r="P2659" s="110" t="str">
        <f ca="1">IF(Proc[[#This Row],[DaysAgeing]]&gt;5,"yep","on track")</f>
        <v>on track</v>
      </c>
      <c r="Q2659" s="3">
        <f ca="1">IF(Proc[[#This Row],[DateClosed]]="",ABS(NETWORKDAYS(Proc[[#This Row],[DateOpened]],TODAY()))-1,ABS(NETWORKDAYS(Proc[[#This Row],[DateOpened]],Proc[[#This Row],[DateClosed]]))-1)</f>
        <v>1</v>
      </c>
      <c r="R2659" s="110" t="s">
        <v>485</v>
      </c>
      <c r="S2659" s="94"/>
    </row>
    <row r="2660" spans="1:19">
      <c r="A2660" s="103" t="s">
        <v>4448</v>
      </c>
      <c r="B2660" s="94" t="str">
        <f>IFERROR(VLOOKUP(Proc[[#This Row],[App]],Table2[],3,0),"open")</f>
        <v>open</v>
      </c>
      <c r="C2660" s="103" t="s">
        <v>404</v>
      </c>
      <c r="D2660" t="s">
        <v>4607</v>
      </c>
      <c r="E2660" t="s">
        <v>4771</v>
      </c>
      <c r="F2660" s="94" t="s">
        <v>4809</v>
      </c>
      <c r="G2660" s="103" t="s">
        <v>406</v>
      </c>
      <c r="H2660" s="94" t="str">
        <f>IF(Proc[[#This Row],[type]]="LFF (MDG-F)",MID(Proc[[#This Row],[Obj]],13,10),"")</f>
        <v>DE20518900</v>
      </c>
      <c r="J2660" s="94" t="b">
        <f>Proc[[#This Row],[Requested]]=Proc[[#This Row],[CurrentParent]]</f>
        <v>0</v>
      </c>
      <c r="K2660" s="94" t="str">
        <f>IF(Proc[[#This Row],[Author]]="Marcela Urrego",VLOOKUP(LEFT(Proc[[#This Row],[Requested]],1),Table3[#All],2,0),VLOOKUP(Proc[[#This Row],[Author]],Table4[],2,0))</f>
        <v>MGF</v>
      </c>
      <c r="L2660" s="94"/>
      <c r="M2660" s="109">
        <v>45841.453541666669</v>
      </c>
      <c r="N2660" s="109"/>
      <c r="O2660" s="109"/>
      <c r="P2660" s="110" t="str">
        <f ca="1">IF(Proc[[#This Row],[DaysAgeing]]&gt;5,"yep","on track")</f>
        <v>on track</v>
      </c>
      <c r="Q2660" s="3">
        <f ca="1">IF(Proc[[#This Row],[DateClosed]]="",ABS(NETWORKDAYS(Proc[[#This Row],[DateOpened]],TODAY()))-1,ABS(NETWORKDAYS(Proc[[#This Row],[DateOpened]],Proc[[#This Row],[DateClosed]]))-1)</f>
        <v>1</v>
      </c>
      <c r="R2660" s="110" t="s">
        <v>485</v>
      </c>
      <c r="S2660" s="94"/>
    </row>
    <row r="2661" spans="1:19">
      <c r="A2661" s="103" t="s">
        <v>4448</v>
      </c>
      <c r="B2661" s="94" t="str">
        <f>IFERROR(VLOOKUP(Proc[[#This Row],[App]],Table2[],3,0),"open")</f>
        <v>open</v>
      </c>
      <c r="C2661" s="103" t="s">
        <v>404</v>
      </c>
      <c r="D2661" t="s">
        <v>4608</v>
      </c>
      <c r="E2661" t="s">
        <v>4771</v>
      </c>
      <c r="F2661" s="94" t="s">
        <v>4809</v>
      </c>
      <c r="G2661" s="103" t="s">
        <v>406</v>
      </c>
      <c r="H2661" s="94" t="str">
        <f>IF(Proc[[#This Row],[type]]="LFF (MDG-F)",MID(Proc[[#This Row],[Obj]],13,10),"")</f>
        <v>DE20538199</v>
      </c>
      <c r="J2661" s="94" t="b">
        <f>Proc[[#This Row],[Requested]]=Proc[[#This Row],[CurrentParent]]</f>
        <v>0</v>
      </c>
      <c r="K2661" s="94" t="str">
        <f>IF(Proc[[#This Row],[Author]]="Marcela Urrego",VLOOKUP(LEFT(Proc[[#This Row],[Requested]],1),Table3[#All],2,0),VLOOKUP(Proc[[#This Row],[Author]],Table4[],2,0))</f>
        <v>MGF</v>
      </c>
      <c r="L2661" s="94"/>
      <c r="M2661" s="109">
        <v>45841.453541666669</v>
      </c>
      <c r="N2661" s="109"/>
      <c r="O2661" s="109"/>
      <c r="P2661" s="110" t="str">
        <f ca="1">IF(Proc[[#This Row],[DaysAgeing]]&gt;5,"yep","on track")</f>
        <v>on track</v>
      </c>
      <c r="Q2661" s="3">
        <f ca="1">IF(Proc[[#This Row],[DateClosed]]="",ABS(NETWORKDAYS(Proc[[#This Row],[DateOpened]],TODAY()))-1,ABS(NETWORKDAYS(Proc[[#This Row],[DateOpened]],Proc[[#This Row],[DateClosed]]))-1)</f>
        <v>1</v>
      </c>
      <c r="R2661" s="110" t="s">
        <v>485</v>
      </c>
      <c r="S2661" s="94"/>
    </row>
    <row r="2662" spans="1:19">
      <c r="A2662" s="103" t="s">
        <v>4448</v>
      </c>
      <c r="B2662" s="94" t="str">
        <f>IFERROR(VLOOKUP(Proc[[#This Row],[App]],Table2[],3,0),"open")</f>
        <v>open</v>
      </c>
      <c r="C2662" s="103" t="s">
        <v>404</v>
      </c>
      <c r="D2662" t="s">
        <v>4609</v>
      </c>
      <c r="E2662" t="s">
        <v>4771</v>
      </c>
      <c r="F2662" s="94" t="s">
        <v>4809</v>
      </c>
      <c r="G2662" s="103" t="s">
        <v>406</v>
      </c>
      <c r="H2662" s="94" t="str">
        <f>IF(Proc[[#This Row],[type]]="LFF (MDG-F)",MID(Proc[[#This Row],[Obj]],13,10),"")</f>
        <v>DE20542000</v>
      </c>
      <c r="J2662" s="94" t="b">
        <f>Proc[[#This Row],[Requested]]=Proc[[#This Row],[CurrentParent]]</f>
        <v>0</v>
      </c>
      <c r="K2662" s="94" t="str">
        <f>IF(Proc[[#This Row],[Author]]="Marcela Urrego",VLOOKUP(LEFT(Proc[[#This Row],[Requested]],1),Table3[#All],2,0),VLOOKUP(Proc[[#This Row],[Author]],Table4[],2,0))</f>
        <v>MGF</v>
      </c>
      <c r="L2662" s="94"/>
      <c r="M2662" s="109">
        <v>45841.453541666669</v>
      </c>
      <c r="N2662" s="109"/>
      <c r="O2662" s="109"/>
      <c r="P2662" s="110" t="str">
        <f ca="1">IF(Proc[[#This Row],[DaysAgeing]]&gt;5,"yep","on track")</f>
        <v>on track</v>
      </c>
      <c r="Q2662" s="3">
        <f ca="1">IF(Proc[[#This Row],[DateClosed]]="",ABS(NETWORKDAYS(Proc[[#This Row],[DateOpened]],TODAY()))-1,ABS(NETWORKDAYS(Proc[[#This Row],[DateOpened]],Proc[[#This Row],[DateClosed]]))-1)</f>
        <v>1</v>
      </c>
      <c r="R2662" s="110" t="s">
        <v>485</v>
      </c>
      <c r="S2662" s="94"/>
    </row>
    <row r="2663" spans="1:19">
      <c r="A2663" s="103" t="s">
        <v>4448</v>
      </c>
      <c r="B2663" s="94" t="str">
        <f>IFERROR(VLOOKUP(Proc[[#This Row],[App]],Table2[],3,0),"open")</f>
        <v>open</v>
      </c>
      <c r="C2663" s="103" t="s">
        <v>404</v>
      </c>
      <c r="D2663" t="s">
        <v>4610</v>
      </c>
      <c r="E2663" t="s">
        <v>4772</v>
      </c>
      <c r="F2663" s="94" t="s">
        <v>4810</v>
      </c>
      <c r="G2663" s="103" t="s">
        <v>406</v>
      </c>
      <c r="H2663" s="94" t="str">
        <f>IF(Proc[[#This Row],[type]]="LFF (MDG-F)",MID(Proc[[#This Row],[Obj]],13,10),"")</f>
        <v>DE20537833</v>
      </c>
      <c r="J2663" s="94" t="b">
        <f>Proc[[#This Row],[Requested]]=Proc[[#This Row],[CurrentParent]]</f>
        <v>0</v>
      </c>
      <c r="K2663" s="94" t="str">
        <f>IF(Proc[[#This Row],[Author]]="Marcela Urrego",VLOOKUP(LEFT(Proc[[#This Row],[Requested]],1),Table3[#All],2,0),VLOOKUP(Proc[[#This Row],[Author]],Table4[],2,0))</f>
        <v>MGF</v>
      </c>
      <c r="L2663" s="94"/>
      <c r="M2663" s="109">
        <v>45841.453541666669</v>
      </c>
      <c r="N2663" s="109"/>
      <c r="O2663" s="109"/>
      <c r="P2663" s="110" t="str">
        <f ca="1">IF(Proc[[#This Row],[DaysAgeing]]&gt;5,"yep","on track")</f>
        <v>on track</v>
      </c>
      <c r="Q2663" s="3">
        <f ca="1">IF(Proc[[#This Row],[DateClosed]]="",ABS(NETWORKDAYS(Proc[[#This Row],[DateOpened]],TODAY()))-1,ABS(NETWORKDAYS(Proc[[#This Row],[DateOpened]],Proc[[#This Row],[DateClosed]]))-1)</f>
        <v>1</v>
      </c>
      <c r="R2663" s="110" t="s">
        <v>485</v>
      </c>
      <c r="S2663" s="94"/>
    </row>
    <row r="2664" spans="1:19">
      <c r="A2664" s="103" t="s">
        <v>4448</v>
      </c>
      <c r="B2664" s="94" t="str">
        <f>IFERROR(VLOOKUP(Proc[[#This Row],[App]],Table2[],3,0),"open")</f>
        <v>open</v>
      </c>
      <c r="C2664" s="103" t="s">
        <v>404</v>
      </c>
      <c r="D2664" t="s">
        <v>4611</v>
      </c>
      <c r="E2664" t="s">
        <v>4772</v>
      </c>
      <c r="F2664" s="94" t="s">
        <v>4810</v>
      </c>
      <c r="G2664" s="103" t="s">
        <v>406</v>
      </c>
      <c r="H2664" s="94" t="str">
        <f>IF(Proc[[#This Row],[type]]="LFF (MDG-F)",MID(Proc[[#This Row],[Obj]],13,10),"")</f>
        <v>DE20538012</v>
      </c>
      <c r="J2664" s="94" t="b">
        <f>Proc[[#This Row],[Requested]]=Proc[[#This Row],[CurrentParent]]</f>
        <v>0</v>
      </c>
      <c r="K2664" s="94" t="str">
        <f>IF(Proc[[#This Row],[Author]]="Marcela Urrego",VLOOKUP(LEFT(Proc[[#This Row],[Requested]],1),Table3[#All],2,0),VLOOKUP(Proc[[#This Row],[Author]],Table4[],2,0))</f>
        <v>MGF</v>
      </c>
      <c r="L2664" s="94"/>
      <c r="M2664" s="109">
        <v>45841.453541666669</v>
      </c>
      <c r="N2664" s="109"/>
      <c r="O2664" s="109"/>
      <c r="P2664" s="110" t="str">
        <f ca="1">IF(Proc[[#This Row],[DaysAgeing]]&gt;5,"yep","on track")</f>
        <v>on track</v>
      </c>
      <c r="Q2664" s="3">
        <f ca="1">IF(Proc[[#This Row],[DateClosed]]="",ABS(NETWORKDAYS(Proc[[#This Row],[DateOpened]],TODAY()))-1,ABS(NETWORKDAYS(Proc[[#This Row],[DateOpened]],Proc[[#This Row],[DateClosed]]))-1)</f>
        <v>1</v>
      </c>
      <c r="R2664" s="110" t="s">
        <v>485</v>
      </c>
      <c r="S2664" s="94"/>
    </row>
    <row r="2665" spans="1:19">
      <c r="A2665" s="103" t="s">
        <v>4448</v>
      </c>
      <c r="B2665" s="94" t="str">
        <f>IFERROR(VLOOKUP(Proc[[#This Row],[App]],Table2[],3,0),"open")</f>
        <v>open</v>
      </c>
      <c r="C2665" s="103" t="s">
        <v>404</v>
      </c>
      <c r="D2665" t="s">
        <v>4612</v>
      </c>
      <c r="E2665" t="s">
        <v>4772</v>
      </c>
      <c r="F2665" s="94" t="s">
        <v>4810</v>
      </c>
      <c r="G2665" s="103" t="s">
        <v>406</v>
      </c>
      <c r="H2665" s="94" t="str">
        <f>IF(Proc[[#This Row],[type]]="LFF (MDG-F)",MID(Proc[[#This Row],[Obj]],13,10),"")</f>
        <v>DE20538014</v>
      </c>
      <c r="J2665" s="94" t="b">
        <f>Proc[[#This Row],[Requested]]=Proc[[#This Row],[CurrentParent]]</f>
        <v>0</v>
      </c>
      <c r="K2665" s="94" t="str">
        <f>IF(Proc[[#This Row],[Author]]="Marcela Urrego",VLOOKUP(LEFT(Proc[[#This Row],[Requested]],1),Table3[#All],2,0),VLOOKUP(Proc[[#This Row],[Author]],Table4[],2,0))</f>
        <v>MGF</v>
      </c>
      <c r="L2665" s="94"/>
      <c r="M2665" s="109">
        <v>45841.453541666669</v>
      </c>
      <c r="N2665" s="109"/>
      <c r="O2665" s="109"/>
      <c r="P2665" s="110" t="str">
        <f ca="1">IF(Proc[[#This Row],[DaysAgeing]]&gt;5,"yep","on track")</f>
        <v>on track</v>
      </c>
      <c r="Q2665" s="3">
        <f ca="1">IF(Proc[[#This Row],[DateClosed]]="",ABS(NETWORKDAYS(Proc[[#This Row],[DateOpened]],TODAY()))-1,ABS(NETWORKDAYS(Proc[[#This Row],[DateOpened]],Proc[[#This Row],[DateClosed]]))-1)</f>
        <v>1</v>
      </c>
      <c r="R2665" s="110" t="s">
        <v>485</v>
      </c>
      <c r="S2665" s="94"/>
    </row>
    <row r="2666" spans="1:19">
      <c r="A2666" s="103" t="s">
        <v>4448</v>
      </c>
      <c r="B2666" s="94" t="str">
        <f>IFERROR(VLOOKUP(Proc[[#This Row],[App]],Table2[],3,0),"open")</f>
        <v>open</v>
      </c>
      <c r="C2666" s="103" t="s">
        <v>404</v>
      </c>
      <c r="D2666" t="s">
        <v>4613</v>
      </c>
      <c r="E2666" t="s">
        <v>4772</v>
      </c>
      <c r="F2666" s="94" t="s">
        <v>4810</v>
      </c>
      <c r="G2666" s="103" t="s">
        <v>406</v>
      </c>
      <c r="H2666" s="94" t="str">
        <f>IF(Proc[[#This Row],[type]]="LFF (MDG-F)",MID(Proc[[#This Row],[Obj]],13,10),"")</f>
        <v>DE20538015</v>
      </c>
      <c r="J2666" s="94" t="b">
        <f>Proc[[#This Row],[Requested]]=Proc[[#This Row],[CurrentParent]]</f>
        <v>0</v>
      </c>
      <c r="K2666" s="94" t="str">
        <f>IF(Proc[[#This Row],[Author]]="Marcela Urrego",VLOOKUP(LEFT(Proc[[#This Row],[Requested]],1),Table3[#All],2,0),VLOOKUP(Proc[[#This Row],[Author]],Table4[],2,0))</f>
        <v>MGF</v>
      </c>
      <c r="L2666" s="94"/>
      <c r="M2666" s="109">
        <v>45841.453541666669</v>
      </c>
      <c r="N2666" s="109"/>
      <c r="O2666" s="109"/>
      <c r="P2666" s="110" t="str">
        <f ca="1">IF(Proc[[#This Row],[DaysAgeing]]&gt;5,"yep","on track")</f>
        <v>on track</v>
      </c>
      <c r="Q2666" s="3">
        <f ca="1">IF(Proc[[#This Row],[DateClosed]]="",ABS(NETWORKDAYS(Proc[[#This Row],[DateOpened]],TODAY()))-1,ABS(NETWORKDAYS(Proc[[#This Row],[DateOpened]],Proc[[#This Row],[DateClosed]]))-1)</f>
        <v>1</v>
      </c>
      <c r="R2666" s="110" t="s">
        <v>485</v>
      </c>
      <c r="S2666" s="94"/>
    </row>
    <row r="2667" spans="1:19">
      <c r="A2667" s="103" t="s">
        <v>4448</v>
      </c>
      <c r="B2667" s="94" t="str">
        <f>IFERROR(VLOOKUP(Proc[[#This Row],[App]],Table2[],3,0),"open")</f>
        <v>open</v>
      </c>
      <c r="C2667" s="103" t="s">
        <v>404</v>
      </c>
      <c r="D2667" t="s">
        <v>4614</v>
      </c>
      <c r="E2667" t="s">
        <v>4772</v>
      </c>
      <c r="F2667" s="94" t="s">
        <v>4810</v>
      </c>
      <c r="G2667" s="103" t="s">
        <v>406</v>
      </c>
      <c r="H2667" s="94" t="str">
        <f>IF(Proc[[#This Row],[type]]="LFF (MDG-F)",MID(Proc[[#This Row],[Obj]],13,10),"")</f>
        <v>DE20538017</v>
      </c>
      <c r="J2667" s="94" t="b">
        <f>Proc[[#This Row],[Requested]]=Proc[[#This Row],[CurrentParent]]</f>
        <v>0</v>
      </c>
      <c r="K2667" s="94" t="str">
        <f>IF(Proc[[#This Row],[Author]]="Marcela Urrego",VLOOKUP(LEFT(Proc[[#This Row],[Requested]],1),Table3[#All],2,0),VLOOKUP(Proc[[#This Row],[Author]],Table4[],2,0))</f>
        <v>MGF</v>
      </c>
      <c r="L2667" s="94"/>
      <c r="M2667" s="109">
        <v>45841.453541666669</v>
      </c>
      <c r="N2667" s="109"/>
      <c r="O2667" s="109"/>
      <c r="P2667" s="110" t="str">
        <f ca="1">IF(Proc[[#This Row],[DaysAgeing]]&gt;5,"yep","on track")</f>
        <v>on track</v>
      </c>
      <c r="Q2667" s="3">
        <f ca="1">IF(Proc[[#This Row],[DateClosed]]="",ABS(NETWORKDAYS(Proc[[#This Row],[DateOpened]],TODAY()))-1,ABS(NETWORKDAYS(Proc[[#This Row],[DateOpened]],Proc[[#This Row],[DateClosed]]))-1)</f>
        <v>1</v>
      </c>
      <c r="R2667" s="110" t="s">
        <v>485</v>
      </c>
      <c r="S2667" s="94"/>
    </row>
    <row r="2668" spans="1:19">
      <c r="A2668" s="103" t="s">
        <v>4448</v>
      </c>
      <c r="B2668" s="94" t="str">
        <f>IFERROR(VLOOKUP(Proc[[#This Row],[App]],Table2[],3,0),"open")</f>
        <v>open</v>
      </c>
      <c r="C2668" s="103" t="s">
        <v>404</v>
      </c>
      <c r="D2668" t="s">
        <v>4615</v>
      </c>
      <c r="E2668" t="s">
        <v>4772</v>
      </c>
      <c r="F2668" s="94" t="s">
        <v>4810</v>
      </c>
      <c r="G2668" s="103" t="s">
        <v>406</v>
      </c>
      <c r="H2668" s="94" t="str">
        <f>IF(Proc[[#This Row],[type]]="LFF (MDG-F)",MID(Proc[[#This Row],[Obj]],13,10),"")</f>
        <v>DE20538018</v>
      </c>
      <c r="J2668" s="94" t="b">
        <f>Proc[[#This Row],[Requested]]=Proc[[#This Row],[CurrentParent]]</f>
        <v>0</v>
      </c>
      <c r="K2668" s="94" t="str">
        <f>IF(Proc[[#This Row],[Author]]="Marcela Urrego",VLOOKUP(LEFT(Proc[[#This Row],[Requested]],1),Table3[#All],2,0),VLOOKUP(Proc[[#This Row],[Author]],Table4[],2,0))</f>
        <v>MGF</v>
      </c>
      <c r="L2668" s="94"/>
      <c r="M2668" s="109">
        <v>45841.453541666669</v>
      </c>
      <c r="N2668" s="109"/>
      <c r="O2668" s="109"/>
      <c r="P2668" s="110" t="str">
        <f ca="1">IF(Proc[[#This Row],[DaysAgeing]]&gt;5,"yep","on track")</f>
        <v>on track</v>
      </c>
      <c r="Q2668" s="3">
        <f ca="1">IF(Proc[[#This Row],[DateClosed]]="",ABS(NETWORKDAYS(Proc[[#This Row],[DateOpened]],TODAY()))-1,ABS(NETWORKDAYS(Proc[[#This Row],[DateOpened]],Proc[[#This Row],[DateClosed]]))-1)</f>
        <v>1</v>
      </c>
      <c r="R2668" s="110" t="s">
        <v>485</v>
      </c>
      <c r="S2668" s="94"/>
    </row>
    <row r="2669" spans="1:19">
      <c r="A2669" s="103" t="s">
        <v>4448</v>
      </c>
      <c r="B2669" s="94" t="str">
        <f>IFERROR(VLOOKUP(Proc[[#This Row],[App]],Table2[],3,0),"open")</f>
        <v>open</v>
      </c>
      <c r="C2669" s="103" t="s">
        <v>404</v>
      </c>
      <c r="D2669" t="s">
        <v>4616</v>
      </c>
      <c r="E2669" t="s">
        <v>4772</v>
      </c>
      <c r="F2669" s="94" t="s">
        <v>4810</v>
      </c>
      <c r="G2669" s="103" t="s">
        <v>406</v>
      </c>
      <c r="H2669" s="94" t="str">
        <f>IF(Proc[[#This Row],[type]]="LFF (MDG-F)",MID(Proc[[#This Row],[Obj]],13,10),"")</f>
        <v>DE20538132</v>
      </c>
      <c r="J2669" s="94" t="b">
        <f>Proc[[#This Row],[Requested]]=Proc[[#This Row],[CurrentParent]]</f>
        <v>0</v>
      </c>
      <c r="K2669" s="94" t="str">
        <f>IF(Proc[[#This Row],[Author]]="Marcela Urrego",VLOOKUP(LEFT(Proc[[#This Row],[Requested]],1),Table3[#All],2,0),VLOOKUP(Proc[[#This Row],[Author]],Table4[],2,0))</f>
        <v>MGF</v>
      </c>
      <c r="L2669" s="94"/>
      <c r="M2669" s="109">
        <v>45841.453541666669</v>
      </c>
      <c r="N2669" s="109"/>
      <c r="O2669" s="109"/>
      <c r="P2669" s="110" t="str">
        <f ca="1">IF(Proc[[#This Row],[DaysAgeing]]&gt;5,"yep","on track")</f>
        <v>on track</v>
      </c>
      <c r="Q2669" s="3">
        <f ca="1">IF(Proc[[#This Row],[DateClosed]]="",ABS(NETWORKDAYS(Proc[[#This Row],[DateOpened]],TODAY()))-1,ABS(NETWORKDAYS(Proc[[#This Row],[DateOpened]],Proc[[#This Row],[DateClosed]]))-1)</f>
        <v>1</v>
      </c>
      <c r="R2669" s="110" t="s">
        <v>485</v>
      </c>
      <c r="S2669" s="94"/>
    </row>
    <row r="2670" spans="1:19">
      <c r="A2670" s="103" t="s">
        <v>4448</v>
      </c>
      <c r="B2670" s="94" t="str">
        <f>IFERROR(VLOOKUP(Proc[[#This Row],[App]],Table2[],3,0),"open")</f>
        <v>open</v>
      </c>
      <c r="C2670" s="103" t="s">
        <v>404</v>
      </c>
      <c r="D2670" t="s">
        <v>4617</v>
      </c>
      <c r="E2670" t="s">
        <v>4773</v>
      </c>
      <c r="F2670" s="94" t="s">
        <v>4811</v>
      </c>
      <c r="G2670" s="103" t="s">
        <v>406</v>
      </c>
      <c r="H2670" s="94" t="str">
        <f>IF(Proc[[#This Row],[type]]="LFF (MDG-F)",MID(Proc[[#This Row],[Obj]],13,10),"")</f>
        <v>DE20538101</v>
      </c>
      <c r="J2670" s="94" t="b">
        <f>Proc[[#This Row],[Requested]]=Proc[[#This Row],[CurrentParent]]</f>
        <v>0</v>
      </c>
      <c r="K2670" s="94" t="str">
        <f>IF(Proc[[#This Row],[Author]]="Marcela Urrego",VLOOKUP(LEFT(Proc[[#This Row],[Requested]],1),Table3[#All],2,0),VLOOKUP(Proc[[#This Row],[Author]],Table4[],2,0))</f>
        <v>MGF</v>
      </c>
      <c r="L2670" s="94"/>
      <c r="M2670" s="109">
        <v>45841.453541666669</v>
      </c>
      <c r="N2670" s="109"/>
      <c r="O2670" s="109"/>
      <c r="P2670" s="110" t="str">
        <f ca="1">IF(Proc[[#This Row],[DaysAgeing]]&gt;5,"yep","on track")</f>
        <v>on track</v>
      </c>
      <c r="Q2670" s="3">
        <f ca="1">IF(Proc[[#This Row],[DateClosed]]="",ABS(NETWORKDAYS(Proc[[#This Row],[DateOpened]],TODAY()))-1,ABS(NETWORKDAYS(Proc[[#This Row],[DateOpened]],Proc[[#This Row],[DateClosed]]))-1)</f>
        <v>1</v>
      </c>
      <c r="R2670" s="110" t="s">
        <v>485</v>
      </c>
      <c r="S2670" s="94"/>
    </row>
    <row r="2671" spans="1:19">
      <c r="A2671" s="103" t="s">
        <v>4448</v>
      </c>
      <c r="B2671" s="94" t="str">
        <f>IFERROR(VLOOKUP(Proc[[#This Row],[App]],Table2[],3,0),"open")</f>
        <v>open</v>
      </c>
      <c r="C2671" s="103" t="s">
        <v>404</v>
      </c>
      <c r="D2671" t="s">
        <v>4618</v>
      </c>
      <c r="E2671" t="s">
        <v>4773</v>
      </c>
      <c r="F2671" s="94" t="s">
        <v>4812</v>
      </c>
      <c r="G2671" s="103" t="s">
        <v>406</v>
      </c>
      <c r="H2671" s="94" t="str">
        <f>IF(Proc[[#This Row],[type]]="LFF (MDG-F)",MID(Proc[[#This Row],[Obj]],13,10),"")</f>
        <v>DE20538102</v>
      </c>
      <c r="J2671" s="94" t="b">
        <f>Proc[[#This Row],[Requested]]=Proc[[#This Row],[CurrentParent]]</f>
        <v>0</v>
      </c>
      <c r="K2671" s="94" t="str">
        <f>IF(Proc[[#This Row],[Author]]="Marcela Urrego",VLOOKUP(LEFT(Proc[[#This Row],[Requested]],1),Table3[#All],2,0),VLOOKUP(Proc[[#This Row],[Author]],Table4[],2,0))</f>
        <v>MGF</v>
      </c>
      <c r="L2671" s="94"/>
      <c r="M2671" s="109">
        <v>45841.453541666669</v>
      </c>
      <c r="N2671" s="109"/>
      <c r="O2671" s="109"/>
      <c r="P2671" s="110" t="str">
        <f ca="1">IF(Proc[[#This Row],[DaysAgeing]]&gt;5,"yep","on track")</f>
        <v>on track</v>
      </c>
      <c r="Q2671" s="3">
        <f ca="1">IF(Proc[[#This Row],[DateClosed]]="",ABS(NETWORKDAYS(Proc[[#This Row],[DateOpened]],TODAY()))-1,ABS(NETWORKDAYS(Proc[[#This Row],[DateOpened]],Proc[[#This Row],[DateClosed]]))-1)</f>
        <v>1</v>
      </c>
      <c r="R2671" s="110" t="s">
        <v>485</v>
      </c>
      <c r="S2671" s="94"/>
    </row>
    <row r="2672" spans="1:19">
      <c r="A2672" s="103" t="s">
        <v>4448</v>
      </c>
      <c r="B2672" s="94" t="str">
        <f>IFERROR(VLOOKUP(Proc[[#This Row],[App]],Table2[],3,0),"open")</f>
        <v>open</v>
      </c>
      <c r="C2672" s="103" t="s">
        <v>404</v>
      </c>
      <c r="D2672" t="s">
        <v>4619</v>
      </c>
      <c r="E2672" t="s">
        <v>4773</v>
      </c>
      <c r="F2672" s="94" t="s">
        <v>4811</v>
      </c>
      <c r="G2672" s="103" t="s">
        <v>406</v>
      </c>
      <c r="H2672" s="94" t="str">
        <f>IF(Proc[[#This Row],[type]]="LFF (MDG-F)",MID(Proc[[#This Row],[Obj]],13,10),"")</f>
        <v>DE20538104</v>
      </c>
      <c r="J2672" s="94" t="b">
        <f>Proc[[#This Row],[Requested]]=Proc[[#This Row],[CurrentParent]]</f>
        <v>0</v>
      </c>
      <c r="K2672" s="94" t="str">
        <f>IF(Proc[[#This Row],[Author]]="Marcela Urrego",VLOOKUP(LEFT(Proc[[#This Row],[Requested]],1),Table3[#All],2,0),VLOOKUP(Proc[[#This Row],[Author]],Table4[],2,0))</f>
        <v>MGF</v>
      </c>
      <c r="L2672" s="94"/>
      <c r="M2672" s="109">
        <v>45841.453541666669</v>
      </c>
      <c r="N2672" s="109"/>
      <c r="O2672" s="109"/>
      <c r="P2672" s="110" t="str">
        <f ca="1">IF(Proc[[#This Row],[DaysAgeing]]&gt;5,"yep","on track")</f>
        <v>on track</v>
      </c>
      <c r="Q2672" s="3">
        <f ca="1">IF(Proc[[#This Row],[DateClosed]]="",ABS(NETWORKDAYS(Proc[[#This Row],[DateOpened]],TODAY()))-1,ABS(NETWORKDAYS(Proc[[#This Row],[DateOpened]],Proc[[#This Row],[DateClosed]]))-1)</f>
        <v>1</v>
      </c>
      <c r="R2672" s="110" t="s">
        <v>485</v>
      </c>
      <c r="S2672" s="94"/>
    </row>
    <row r="2673" spans="1:19">
      <c r="A2673" s="103" t="s">
        <v>4448</v>
      </c>
      <c r="B2673" s="94" t="str">
        <f>IFERROR(VLOOKUP(Proc[[#This Row],[App]],Table2[],3,0),"open")</f>
        <v>open</v>
      </c>
      <c r="C2673" s="103" t="s">
        <v>404</v>
      </c>
      <c r="D2673" t="s">
        <v>4620</v>
      </c>
      <c r="E2673" t="s">
        <v>4774</v>
      </c>
      <c r="F2673" s="94" t="s">
        <v>4813</v>
      </c>
      <c r="G2673" s="103" t="s">
        <v>406</v>
      </c>
      <c r="H2673" s="94" t="str">
        <f>IF(Proc[[#This Row],[type]]="LFF (MDG-F)",MID(Proc[[#This Row],[Obj]],13,10),"")</f>
        <v>DE20538109</v>
      </c>
      <c r="J2673" s="94" t="b">
        <f>Proc[[#This Row],[Requested]]=Proc[[#This Row],[CurrentParent]]</f>
        <v>0</v>
      </c>
      <c r="K2673" s="94" t="str">
        <f>IF(Proc[[#This Row],[Author]]="Marcela Urrego",VLOOKUP(LEFT(Proc[[#This Row],[Requested]],1),Table3[#All],2,0),VLOOKUP(Proc[[#This Row],[Author]],Table4[],2,0))</f>
        <v>MGF</v>
      </c>
      <c r="L2673" s="94"/>
      <c r="M2673" s="109">
        <v>45841.453541666669</v>
      </c>
      <c r="N2673" s="109"/>
      <c r="O2673" s="109"/>
      <c r="P2673" s="110" t="str">
        <f ca="1">IF(Proc[[#This Row],[DaysAgeing]]&gt;5,"yep","on track")</f>
        <v>on track</v>
      </c>
      <c r="Q2673" s="3">
        <f ca="1">IF(Proc[[#This Row],[DateClosed]]="",ABS(NETWORKDAYS(Proc[[#This Row],[DateOpened]],TODAY()))-1,ABS(NETWORKDAYS(Proc[[#This Row],[DateOpened]],Proc[[#This Row],[DateClosed]]))-1)</f>
        <v>1</v>
      </c>
      <c r="R2673" s="110" t="s">
        <v>485</v>
      </c>
      <c r="S2673" s="94"/>
    </row>
    <row r="2674" spans="1:19">
      <c r="A2674" s="103" t="s">
        <v>4448</v>
      </c>
      <c r="B2674" s="94" t="str">
        <f>IFERROR(VLOOKUP(Proc[[#This Row],[App]],Table2[],3,0),"open")</f>
        <v>open</v>
      </c>
      <c r="C2674" s="103" t="s">
        <v>404</v>
      </c>
      <c r="D2674" t="s">
        <v>4621</v>
      </c>
      <c r="E2674" t="s">
        <v>4773</v>
      </c>
      <c r="F2674" s="94" t="s">
        <v>4811</v>
      </c>
      <c r="G2674" s="103" t="s">
        <v>406</v>
      </c>
      <c r="H2674" s="94" t="str">
        <f>IF(Proc[[#This Row],[type]]="LFF (MDG-F)",MID(Proc[[#This Row],[Obj]],13,10),"")</f>
        <v>DE20538116</v>
      </c>
      <c r="J2674" s="94" t="b">
        <f>Proc[[#This Row],[Requested]]=Proc[[#This Row],[CurrentParent]]</f>
        <v>0</v>
      </c>
      <c r="K2674" s="94" t="str">
        <f>IF(Proc[[#This Row],[Author]]="Marcela Urrego",VLOOKUP(LEFT(Proc[[#This Row],[Requested]],1),Table3[#All],2,0),VLOOKUP(Proc[[#This Row],[Author]],Table4[],2,0))</f>
        <v>MGF</v>
      </c>
      <c r="L2674" s="94"/>
      <c r="M2674" s="109">
        <v>45841.453541666669</v>
      </c>
      <c r="N2674" s="109"/>
      <c r="O2674" s="109"/>
      <c r="P2674" s="110" t="str">
        <f ca="1">IF(Proc[[#This Row],[DaysAgeing]]&gt;5,"yep","on track")</f>
        <v>on track</v>
      </c>
      <c r="Q2674" s="3">
        <f ca="1">IF(Proc[[#This Row],[DateClosed]]="",ABS(NETWORKDAYS(Proc[[#This Row],[DateOpened]],TODAY()))-1,ABS(NETWORKDAYS(Proc[[#This Row],[DateOpened]],Proc[[#This Row],[DateClosed]]))-1)</f>
        <v>1</v>
      </c>
      <c r="R2674" s="110" t="s">
        <v>485</v>
      </c>
      <c r="S2674" s="94"/>
    </row>
    <row r="2675" spans="1:19">
      <c r="A2675" s="103" t="s">
        <v>4448</v>
      </c>
      <c r="B2675" s="94" t="str">
        <f>IFERROR(VLOOKUP(Proc[[#This Row],[App]],Table2[],3,0),"open")</f>
        <v>open</v>
      </c>
      <c r="C2675" s="103" t="s">
        <v>404</v>
      </c>
      <c r="D2675" t="s">
        <v>4622</v>
      </c>
      <c r="E2675" t="s">
        <v>4774</v>
      </c>
      <c r="F2675" s="94" t="s">
        <v>4814</v>
      </c>
      <c r="G2675" s="103" t="s">
        <v>406</v>
      </c>
      <c r="H2675" s="94" t="str">
        <f>IF(Proc[[#This Row],[type]]="LFF (MDG-F)",MID(Proc[[#This Row],[Obj]],13,10),"")</f>
        <v>DE20538123</v>
      </c>
      <c r="J2675" s="94" t="b">
        <f>Proc[[#This Row],[Requested]]=Proc[[#This Row],[CurrentParent]]</f>
        <v>0</v>
      </c>
      <c r="K2675" s="94" t="str">
        <f>IF(Proc[[#This Row],[Author]]="Marcela Urrego",VLOOKUP(LEFT(Proc[[#This Row],[Requested]],1),Table3[#All],2,0),VLOOKUP(Proc[[#This Row],[Author]],Table4[],2,0))</f>
        <v>MGF</v>
      </c>
      <c r="L2675" s="94"/>
      <c r="M2675" s="109">
        <v>45841.453541666669</v>
      </c>
      <c r="N2675" s="109"/>
      <c r="O2675" s="109"/>
      <c r="P2675" s="110" t="str">
        <f ca="1">IF(Proc[[#This Row],[DaysAgeing]]&gt;5,"yep","on track")</f>
        <v>on track</v>
      </c>
      <c r="Q2675" s="3">
        <f ca="1">IF(Proc[[#This Row],[DateClosed]]="",ABS(NETWORKDAYS(Proc[[#This Row],[DateOpened]],TODAY()))-1,ABS(NETWORKDAYS(Proc[[#This Row],[DateOpened]],Proc[[#This Row],[DateClosed]]))-1)</f>
        <v>1</v>
      </c>
      <c r="R2675" s="110" t="s">
        <v>485</v>
      </c>
      <c r="S2675" s="94"/>
    </row>
    <row r="2676" spans="1:19">
      <c r="A2676" s="103" t="s">
        <v>4448</v>
      </c>
      <c r="B2676" s="94" t="str">
        <f>IFERROR(VLOOKUP(Proc[[#This Row],[App]],Table2[],3,0),"open")</f>
        <v>open</v>
      </c>
      <c r="C2676" s="103" t="s">
        <v>404</v>
      </c>
      <c r="D2676" t="s">
        <v>4623</v>
      </c>
      <c r="E2676" t="s">
        <v>4775</v>
      </c>
      <c r="F2676" s="94" t="s">
        <v>4811</v>
      </c>
      <c r="G2676" s="103" t="s">
        <v>406</v>
      </c>
      <c r="H2676" s="94" t="str">
        <f>IF(Proc[[#This Row],[type]]="LFF (MDG-F)",MID(Proc[[#This Row],[Obj]],13,10),"")</f>
        <v>DE20538128</v>
      </c>
      <c r="J2676" s="94" t="b">
        <f>Proc[[#This Row],[Requested]]=Proc[[#This Row],[CurrentParent]]</f>
        <v>0</v>
      </c>
      <c r="K2676" s="94" t="str">
        <f>IF(Proc[[#This Row],[Author]]="Marcela Urrego",VLOOKUP(LEFT(Proc[[#This Row],[Requested]],1),Table3[#All],2,0),VLOOKUP(Proc[[#This Row],[Author]],Table4[],2,0))</f>
        <v>MGF</v>
      </c>
      <c r="L2676" s="94"/>
      <c r="M2676" s="109">
        <v>45841.453541666669</v>
      </c>
      <c r="N2676" s="109"/>
      <c r="O2676" s="109"/>
      <c r="P2676" s="110" t="str">
        <f ca="1">IF(Proc[[#This Row],[DaysAgeing]]&gt;5,"yep","on track")</f>
        <v>on track</v>
      </c>
      <c r="Q2676" s="3">
        <f ca="1">IF(Proc[[#This Row],[DateClosed]]="",ABS(NETWORKDAYS(Proc[[#This Row],[DateOpened]],TODAY()))-1,ABS(NETWORKDAYS(Proc[[#This Row],[DateOpened]],Proc[[#This Row],[DateClosed]]))-1)</f>
        <v>1</v>
      </c>
      <c r="R2676" s="110" t="s">
        <v>485</v>
      </c>
      <c r="S2676" s="94"/>
    </row>
    <row r="2677" spans="1:19">
      <c r="A2677" s="103" t="s">
        <v>4448</v>
      </c>
      <c r="B2677" s="94" t="str">
        <f>IFERROR(VLOOKUP(Proc[[#This Row],[App]],Table2[],3,0),"open")</f>
        <v>open</v>
      </c>
      <c r="C2677" s="103" t="s">
        <v>404</v>
      </c>
      <c r="D2677" t="s">
        <v>4624</v>
      </c>
      <c r="E2677" t="s">
        <v>4774</v>
      </c>
      <c r="F2677" s="94" t="s">
        <v>4814</v>
      </c>
      <c r="G2677" s="103" t="s">
        <v>406</v>
      </c>
      <c r="H2677" s="94" t="str">
        <f>IF(Proc[[#This Row],[type]]="LFF (MDG-F)",MID(Proc[[#This Row],[Obj]],13,10),"")</f>
        <v>DE20538146</v>
      </c>
      <c r="J2677" s="94" t="b">
        <f>Proc[[#This Row],[Requested]]=Proc[[#This Row],[CurrentParent]]</f>
        <v>0</v>
      </c>
      <c r="K2677" s="94" t="str">
        <f>IF(Proc[[#This Row],[Author]]="Marcela Urrego",VLOOKUP(LEFT(Proc[[#This Row],[Requested]],1),Table3[#All],2,0),VLOOKUP(Proc[[#This Row],[Author]],Table4[],2,0))</f>
        <v>MGF</v>
      </c>
      <c r="L2677" s="94"/>
      <c r="M2677" s="109">
        <v>45841.453541666669</v>
      </c>
      <c r="N2677" s="109"/>
      <c r="O2677" s="109"/>
      <c r="P2677" s="110" t="str">
        <f ca="1">IF(Proc[[#This Row],[DaysAgeing]]&gt;5,"yep","on track")</f>
        <v>on track</v>
      </c>
      <c r="Q2677" s="3">
        <f ca="1">IF(Proc[[#This Row],[DateClosed]]="",ABS(NETWORKDAYS(Proc[[#This Row],[DateOpened]],TODAY()))-1,ABS(NETWORKDAYS(Proc[[#This Row],[DateOpened]],Proc[[#This Row],[DateClosed]]))-1)</f>
        <v>1</v>
      </c>
      <c r="R2677" s="110" t="s">
        <v>485</v>
      </c>
      <c r="S2677" s="94"/>
    </row>
    <row r="2678" spans="1:19">
      <c r="A2678" s="103" t="s">
        <v>4448</v>
      </c>
      <c r="B2678" s="94" t="str">
        <f>IFERROR(VLOOKUP(Proc[[#This Row],[App]],Table2[],3,0),"open")</f>
        <v>open</v>
      </c>
      <c r="C2678" s="103" t="s">
        <v>404</v>
      </c>
      <c r="D2678" t="s">
        <v>4625</v>
      </c>
      <c r="E2678" t="s">
        <v>4774</v>
      </c>
      <c r="F2678" s="94" t="s">
        <v>4814</v>
      </c>
      <c r="G2678" s="103" t="s">
        <v>406</v>
      </c>
      <c r="H2678" s="94" t="str">
        <f>IF(Proc[[#This Row],[type]]="LFF (MDG-F)",MID(Proc[[#This Row],[Obj]],13,10),"")</f>
        <v>DE20538150</v>
      </c>
      <c r="J2678" s="94" t="b">
        <f>Proc[[#This Row],[Requested]]=Proc[[#This Row],[CurrentParent]]</f>
        <v>0</v>
      </c>
      <c r="K2678" s="94" t="str">
        <f>IF(Proc[[#This Row],[Author]]="Marcela Urrego",VLOOKUP(LEFT(Proc[[#This Row],[Requested]],1),Table3[#All],2,0),VLOOKUP(Proc[[#This Row],[Author]],Table4[],2,0))</f>
        <v>MGF</v>
      </c>
      <c r="L2678" s="94"/>
      <c r="M2678" s="109">
        <v>45841.453541666669</v>
      </c>
      <c r="N2678" s="109"/>
      <c r="O2678" s="109"/>
      <c r="P2678" s="110" t="str">
        <f ca="1">IF(Proc[[#This Row],[DaysAgeing]]&gt;5,"yep","on track")</f>
        <v>on track</v>
      </c>
      <c r="Q2678" s="3">
        <f ca="1">IF(Proc[[#This Row],[DateClosed]]="",ABS(NETWORKDAYS(Proc[[#This Row],[DateOpened]],TODAY()))-1,ABS(NETWORKDAYS(Proc[[#This Row],[DateOpened]],Proc[[#This Row],[DateClosed]]))-1)</f>
        <v>1</v>
      </c>
      <c r="R2678" s="110" t="s">
        <v>485</v>
      </c>
      <c r="S2678" s="94"/>
    </row>
    <row r="2679" spans="1:19">
      <c r="A2679" s="103" t="s">
        <v>4448</v>
      </c>
      <c r="B2679" s="94" t="str">
        <f>IFERROR(VLOOKUP(Proc[[#This Row],[App]],Table2[],3,0),"open")</f>
        <v>open</v>
      </c>
      <c r="C2679" s="103" t="s">
        <v>404</v>
      </c>
      <c r="D2679" t="s">
        <v>4626</v>
      </c>
      <c r="E2679" t="s">
        <v>4773</v>
      </c>
      <c r="F2679" s="94" t="s">
        <v>4812</v>
      </c>
      <c r="G2679" s="103" t="s">
        <v>406</v>
      </c>
      <c r="H2679" s="94" t="str">
        <f>IF(Proc[[#This Row],[type]]="LFF (MDG-F)",MID(Proc[[#This Row],[Obj]],13,10),"")</f>
        <v>DE20538152</v>
      </c>
      <c r="J2679" s="94" t="b">
        <f>Proc[[#This Row],[Requested]]=Proc[[#This Row],[CurrentParent]]</f>
        <v>0</v>
      </c>
      <c r="K2679" s="94" t="str">
        <f>IF(Proc[[#This Row],[Author]]="Marcela Urrego",VLOOKUP(LEFT(Proc[[#This Row],[Requested]],1),Table3[#All],2,0),VLOOKUP(Proc[[#This Row],[Author]],Table4[],2,0))</f>
        <v>MGF</v>
      </c>
      <c r="L2679" s="94"/>
      <c r="M2679" s="109">
        <v>45841.453541666669</v>
      </c>
      <c r="N2679" s="109"/>
      <c r="O2679" s="109"/>
      <c r="P2679" s="110" t="str">
        <f ca="1">IF(Proc[[#This Row],[DaysAgeing]]&gt;5,"yep","on track")</f>
        <v>on track</v>
      </c>
      <c r="Q2679" s="3">
        <f ca="1">IF(Proc[[#This Row],[DateClosed]]="",ABS(NETWORKDAYS(Proc[[#This Row],[DateOpened]],TODAY()))-1,ABS(NETWORKDAYS(Proc[[#This Row],[DateOpened]],Proc[[#This Row],[DateClosed]]))-1)</f>
        <v>1</v>
      </c>
      <c r="R2679" s="110" t="s">
        <v>485</v>
      </c>
      <c r="S2679" s="94"/>
    </row>
    <row r="2680" spans="1:19">
      <c r="A2680" s="103" t="s">
        <v>4448</v>
      </c>
      <c r="B2680" s="94" t="str">
        <f>IFERROR(VLOOKUP(Proc[[#This Row],[App]],Table2[],3,0),"open")</f>
        <v>open</v>
      </c>
      <c r="C2680" s="103" t="s">
        <v>404</v>
      </c>
      <c r="D2680" t="s">
        <v>4627</v>
      </c>
      <c r="E2680" t="s">
        <v>4773</v>
      </c>
      <c r="F2680" s="94" t="s">
        <v>4815</v>
      </c>
      <c r="G2680" s="103" t="s">
        <v>406</v>
      </c>
      <c r="H2680" s="94" t="str">
        <f>IF(Proc[[#This Row],[type]]="LFF (MDG-F)",MID(Proc[[#This Row],[Obj]],13,10),"")</f>
        <v>DE20538157</v>
      </c>
      <c r="J2680" s="94" t="b">
        <f>Proc[[#This Row],[Requested]]=Proc[[#This Row],[CurrentParent]]</f>
        <v>0</v>
      </c>
      <c r="K2680" s="94" t="str">
        <f>IF(Proc[[#This Row],[Author]]="Marcela Urrego",VLOOKUP(LEFT(Proc[[#This Row],[Requested]],1),Table3[#All],2,0),VLOOKUP(Proc[[#This Row],[Author]],Table4[],2,0))</f>
        <v>MGF</v>
      </c>
      <c r="L2680" s="94"/>
      <c r="M2680" s="109">
        <v>45841.453541666669</v>
      </c>
      <c r="N2680" s="109"/>
      <c r="O2680" s="109"/>
      <c r="P2680" s="110" t="str">
        <f ca="1">IF(Proc[[#This Row],[DaysAgeing]]&gt;5,"yep","on track")</f>
        <v>on track</v>
      </c>
      <c r="Q2680" s="3">
        <f ca="1">IF(Proc[[#This Row],[DateClosed]]="",ABS(NETWORKDAYS(Proc[[#This Row],[DateOpened]],TODAY()))-1,ABS(NETWORKDAYS(Proc[[#This Row],[DateOpened]],Proc[[#This Row],[DateClosed]]))-1)</f>
        <v>1</v>
      </c>
      <c r="R2680" s="110" t="s">
        <v>485</v>
      </c>
      <c r="S2680" s="94"/>
    </row>
    <row r="2681" spans="1:19">
      <c r="A2681" s="103" t="s">
        <v>4448</v>
      </c>
      <c r="B2681" s="94" t="str">
        <f>IFERROR(VLOOKUP(Proc[[#This Row],[App]],Table2[],3,0),"open")</f>
        <v>open</v>
      </c>
      <c r="C2681" s="103" t="s">
        <v>404</v>
      </c>
      <c r="D2681" t="s">
        <v>4628</v>
      </c>
      <c r="E2681" t="s">
        <v>4773</v>
      </c>
      <c r="F2681" s="94" t="s">
        <v>4812</v>
      </c>
      <c r="G2681" s="103" t="s">
        <v>406</v>
      </c>
      <c r="H2681" s="94" t="str">
        <f>IF(Proc[[#This Row],[type]]="LFF (MDG-F)",MID(Proc[[#This Row],[Obj]],13,10),"")</f>
        <v>DE20538158</v>
      </c>
      <c r="J2681" s="94" t="b">
        <f>Proc[[#This Row],[Requested]]=Proc[[#This Row],[CurrentParent]]</f>
        <v>0</v>
      </c>
      <c r="K2681" s="94" t="str">
        <f>IF(Proc[[#This Row],[Author]]="Marcela Urrego",VLOOKUP(LEFT(Proc[[#This Row],[Requested]],1),Table3[#All],2,0),VLOOKUP(Proc[[#This Row],[Author]],Table4[],2,0))</f>
        <v>MGF</v>
      </c>
      <c r="L2681" s="94"/>
      <c r="M2681" s="109">
        <v>45841.453541666669</v>
      </c>
      <c r="N2681" s="109"/>
      <c r="O2681" s="109"/>
      <c r="P2681" s="110" t="str">
        <f ca="1">IF(Proc[[#This Row],[DaysAgeing]]&gt;5,"yep","on track")</f>
        <v>on track</v>
      </c>
      <c r="Q2681" s="3">
        <f ca="1">IF(Proc[[#This Row],[DateClosed]]="",ABS(NETWORKDAYS(Proc[[#This Row],[DateOpened]],TODAY()))-1,ABS(NETWORKDAYS(Proc[[#This Row],[DateOpened]],Proc[[#This Row],[DateClosed]]))-1)</f>
        <v>1</v>
      </c>
      <c r="R2681" s="110" t="s">
        <v>485</v>
      </c>
      <c r="S2681" s="94"/>
    </row>
    <row r="2682" spans="1:19">
      <c r="A2682" s="103" t="s">
        <v>4448</v>
      </c>
      <c r="B2682" s="94" t="str">
        <f>IFERROR(VLOOKUP(Proc[[#This Row],[App]],Table2[],3,0),"open")</f>
        <v>open</v>
      </c>
      <c r="C2682" s="103" t="s">
        <v>404</v>
      </c>
      <c r="D2682" t="s">
        <v>4629</v>
      </c>
      <c r="E2682" t="s">
        <v>4773</v>
      </c>
      <c r="F2682" s="94" t="s">
        <v>4812</v>
      </c>
      <c r="G2682" s="103" t="s">
        <v>406</v>
      </c>
      <c r="H2682" s="94" t="str">
        <f>IF(Proc[[#This Row],[type]]="LFF (MDG-F)",MID(Proc[[#This Row],[Obj]],13,10),"")</f>
        <v>DE20538159</v>
      </c>
      <c r="J2682" s="94" t="b">
        <f>Proc[[#This Row],[Requested]]=Proc[[#This Row],[CurrentParent]]</f>
        <v>0</v>
      </c>
      <c r="K2682" s="94" t="str">
        <f>IF(Proc[[#This Row],[Author]]="Marcela Urrego",VLOOKUP(LEFT(Proc[[#This Row],[Requested]],1),Table3[#All],2,0),VLOOKUP(Proc[[#This Row],[Author]],Table4[],2,0))</f>
        <v>MGF</v>
      </c>
      <c r="L2682" s="94"/>
      <c r="M2682" s="109">
        <v>45841.453541666669</v>
      </c>
      <c r="N2682" s="109"/>
      <c r="O2682" s="109"/>
      <c r="P2682" s="110" t="str">
        <f ca="1">IF(Proc[[#This Row],[DaysAgeing]]&gt;5,"yep","on track")</f>
        <v>on track</v>
      </c>
      <c r="Q2682" s="3">
        <f ca="1">IF(Proc[[#This Row],[DateClosed]]="",ABS(NETWORKDAYS(Proc[[#This Row],[DateOpened]],TODAY()))-1,ABS(NETWORKDAYS(Proc[[#This Row],[DateOpened]],Proc[[#This Row],[DateClosed]]))-1)</f>
        <v>1</v>
      </c>
      <c r="R2682" s="110" t="s">
        <v>485</v>
      </c>
      <c r="S2682" s="94"/>
    </row>
    <row r="2683" spans="1:19">
      <c r="A2683" s="103" t="s">
        <v>4448</v>
      </c>
      <c r="B2683" s="94" t="str">
        <f>IFERROR(VLOOKUP(Proc[[#This Row],[App]],Table2[],3,0),"open")</f>
        <v>open</v>
      </c>
      <c r="C2683" s="103" t="s">
        <v>404</v>
      </c>
      <c r="D2683" t="s">
        <v>4630</v>
      </c>
      <c r="E2683" t="s">
        <v>4773</v>
      </c>
      <c r="F2683" s="94" t="s">
        <v>4812</v>
      </c>
      <c r="G2683" s="103" t="s">
        <v>406</v>
      </c>
      <c r="H2683" s="94" t="str">
        <f>IF(Proc[[#This Row],[type]]="LFF (MDG-F)",MID(Proc[[#This Row],[Obj]],13,10),"")</f>
        <v>DE20538179</v>
      </c>
      <c r="J2683" s="94" t="b">
        <f>Proc[[#This Row],[Requested]]=Proc[[#This Row],[CurrentParent]]</f>
        <v>0</v>
      </c>
      <c r="K2683" s="94" t="str">
        <f>IF(Proc[[#This Row],[Author]]="Marcela Urrego",VLOOKUP(LEFT(Proc[[#This Row],[Requested]],1),Table3[#All],2,0),VLOOKUP(Proc[[#This Row],[Author]],Table4[],2,0))</f>
        <v>MGF</v>
      </c>
      <c r="L2683" s="94"/>
      <c r="M2683" s="109">
        <v>45841.453541666669</v>
      </c>
      <c r="N2683" s="109"/>
      <c r="O2683" s="109"/>
      <c r="P2683" s="110" t="str">
        <f ca="1">IF(Proc[[#This Row],[DaysAgeing]]&gt;5,"yep","on track")</f>
        <v>on track</v>
      </c>
      <c r="Q2683" s="3">
        <f ca="1">IF(Proc[[#This Row],[DateClosed]]="",ABS(NETWORKDAYS(Proc[[#This Row],[DateOpened]],TODAY()))-1,ABS(NETWORKDAYS(Proc[[#This Row],[DateOpened]],Proc[[#This Row],[DateClosed]]))-1)</f>
        <v>1</v>
      </c>
      <c r="R2683" s="110" t="s">
        <v>485</v>
      </c>
      <c r="S2683" s="94"/>
    </row>
    <row r="2684" spans="1:19">
      <c r="A2684" s="103" t="s">
        <v>4448</v>
      </c>
      <c r="B2684" s="94" t="str">
        <f>IFERROR(VLOOKUP(Proc[[#This Row],[App]],Table2[],3,0),"open")</f>
        <v>open</v>
      </c>
      <c r="C2684" s="103" t="s">
        <v>404</v>
      </c>
      <c r="D2684" t="s">
        <v>4631</v>
      </c>
      <c r="E2684" t="s">
        <v>4775</v>
      </c>
      <c r="F2684" s="94" t="s">
        <v>4812</v>
      </c>
      <c r="G2684" s="103" t="s">
        <v>406</v>
      </c>
      <c r="H2684" s="94" t="str">
        <f>IF(Proc[[#This Row],[type]]="LFF (MDG-F)",MID(Proc[[#This Row],[Obj]],13,10),"")</f>
        <v>DE20538180</v>
      </c>
      <c r="J2684" s="94" t="b">
        <f>Proc[[#This Row],[Requested]]=Proc[[#This Row],[CurrentParent]]</f>
        <v>0</v>
      </c>
      <c r="K2684" s="94" t="str">
        <f>IF(Proc[[#This Row],[Author]]="Marcela Urrego",VLOOKUP(LEFT(Proc[[#This Row],[Requested]],1),Table3[#All],2,0),VLOOKUP(Proc[[#This Row],[Author]],Table4[],2,0))</f>
        <v>MGF</v>
      </c>
      <c r="L2684" s="94"/>
      <c r="M2684" s="109">
        <v>45841.453541666669</v>
      </c>
      <c r="N2684" s="109"/>
      <c r="O2684" s="109"/>
      <c r="P2684" s="110" t="str">
        <f ca="1">IF(Proc[[#This Row],[DaysAgeing]]&gt;5,"yep","on track")</f>
        <v>on track</v>
      </c>
      <c r="Q2684" s="3">
        <f ca="1">IF(Proc[[#This Row],[DateClosed]]="",ABS(NETWORKDAYS(Proc[[#This Row],[DateOpened]],TODAY()))-1,ABS(NETWORKDAYS(Proc[[#This Row],[DateOpened]],Proc[[#This Row],[DateClosed]]))-1)</f>
        <v>1</v>
      </c>
      <c r="R2684" s="110" t="s">
        <v>485</v>
      </c>
      <c r="S2684" s="94"/>
    </row>
    <row r="2685" spans="1:19">
      <c r="A2685" s="103" t="s">
        <v>4448</v>
      </c>
      <c r="B2685" s="94" t="str">
        <f>IFERROR(VLOOKUP(Proc[[#This Row],[App]],Table2[],3,0),"open")</f>
        <v>open</v>
      </c>
      <c r="C2685" s="103" t="s">
        <v>404</v>
      </c>
      <c r="D2685" t="s">
        <v>4632</v>
      </c>
      <c r="E2685" t="s">
        <v>4773</v>
      </c>
      <c r="F2685" s="94" t="s">
        <v>4812</v>
      </c>
      <c r="G2685" s="103" t="s">
        <v>406</v>
      </c>
      <c r="H2685" s="94" t="str">
        <f>IF(Proc[[#This Row],[type]]="LFF (MDG-F)",MID(Proc[[#This Row],[Obj]],13,10),"")</f>
        <v>DE20538181</v>
      </c>
      <c r="J2685" s="94" t="b">
        <f>Proc[[#This Row],[Requested]]=Proc[[#This Row],[CurrentParent]]</f>
        <v>0</v>
      </c>
      <c r="K2685" s="94" t="str">
        <f>IF(Proc[[#This Row],[Author]]="Marcela Urrego",VLOOKUP(LEFT(Proc[[#This Row],[Requested]],1),Table3[#All],2,0),VLOOKUP(Proc[[#This Row],[Author]],Table4[],2,0))</f>
        <v>MGF</v>
      </c>
      <c r="L2685" s="94"/>
      <c r="M2685" s="109">
        <v>45841.453541666669</v>
      </c>
      <c r="N2685" s="109"/>
      <c r="O2685" s="109"/>
      <c r="P2685" s="110" t="str">
        <f ca="1">IF(Proc[[#This Row],[DaysAgeing]]&gt;5,"yep","on track")</f>
        <v>on track</v>
      </c>
      <c r="Q2685" s="3">
        <f ca="1">IF(Proc[[#This Row],[DateClosed]]="",ABS(NETWORKDAYS(Proc[[#This Row],[DateOpened]],TODAY()))-1,ABS(NETWORKDAYS(Proc[[#This Row],[DateOpened]],Proc[[#This Row],[DateClosed]]))-1)</f>
        <v>1</v>
      </c>
      <c r="R2685" s="110" t="s">
        <v>485</v>
      </c>
      <c r="S2685" s="94"/>
    </row>
    <row r="2686" spans="1:19">
      <c r="A2686" s="103" t="s">
        <v>4448</v>
      </c>
      <c r="B2686" s="94" t="str">
        <f>IFERROR(VLOOKUP(Proc[[#This Row],[App]],Table2[],3,0),"open")</f>
        <v>open</v>
      </c>
      <c r="C2686" s="103" t="s">
        <v>404</v>
      </c>
      <c r="D2686" t="s">
        <v>4633</v>
      </c>
      <c r="E2686" t="s">
        <v>4773</v>
      </c>
      <c r="F2686" s="94" t="s">
        <v>4811</v>
      </c>
      <c r="G2686" s="103" t="s">
        <v>406</v>
      </c>
      <c r="H2686" s="94" t="str">
        <f>IF(Proc[[#This Row],[type]]="LFF (MDG-F)",MID(Proc[[#This Row],[Obj]],13,10),"")</f>
        <v>DE20538182</v>
      </c>
      <c r="J2686" s="94" t="b">
        <f>Proc[[#This Row],[Requested]]=Proc[[#This Row],[CurrentParent]]</f>
        <v>0</v>
      </c>
      <c r="K2686" s="94" t="str">
        <f>IF(Proc[[#This Row],[Author]]="Marcela Urrego",VLOOKUP(LEFT(Proc[[#This Row],[Requested]],1),Table3[#All],2,0),VLOOKUP(Proc[[#This Row],[Author]],Table4[],2,0))</f>
        <v>MGF</v>
      </c>
      <c r="L2686" s="94"/>
      <c r="M2686" s="109">
        <v>45841.453541666669</v>
      </c>
      <c r="N2686" s="109"/>
      <c r="O2686" s="109"/>
      <c r="P2686" s="110" t="str">
        <f ca="1">IF(Proc[[#This Row],[DaysAgeing]]&gt;5,"yep","on track")</f>
        <v>on track</v>
      </c>
      <c r="Q2686" s="3">
        <f ca="1">IF(Proc[[#This Row],[DateClosed]]="",ABS(NETWORKDAYS(Proc[[#This Row],[DateOpened]],TODAY()))-1,ABS(NETWORKDAYS(Proc[[#This Row],[DateOpened]],Proc[[#This Row],[DateClosed]]))-1)</f>
        <v>1</v>
      </c>
      <c r="R2686" s="110" t="s">
        <v>485</v>
      </c>
      <c r="S2686" s="94"/>
    </row>
    <row r="2687" spans="1:19">
      <c r="A2687" s="103" t="s">
        <v>4448</v>
      </c>
      <c r="B2687" s="94" t="str">
        <f>IFERROR(VLOOKUP(Proc[[#This Row],[App]],Table2[],3,0),"open")</f>
        <v>open</v>
      </c>
      <c r="C2687" s="103" t="s">
        <v>404</v>
      </c>
      <c r="D2687" t="s">
        <v>4634</v>
      </c>
      <c r="E2687" t="s">
        <v>4773</v>
      </c>
      <c r="F2687" s="94" t="s">
        <v>4811</v>
      </c>
      <c r="G2687" s="103" t="s">
        <v>406</v>
      </c>
      <c r="H2687" s="94" t="str">
        <f>IF(Proc[[#This Row],[type]]="LFF (MDG-F)",MID(Proc[[#This Row],[Obj]],13,10),"")</f>
        <v>DE20538183</v>
      </c>
      <c r="J2687" s="94" t="b">
        <f>Proc[[#This Row],[Requested]]=Proc[[#This Row],[CurrentParent]]</f>
        <v>0</v>
      </c>
      <c r="K2687" s="94" t="str">
        <f>IF(Proc[[#This Row],[Author]]="Marcela Urrego",VLOOKUP(LEFT(Proc[[#This Row],[Requested]],1),Table3[#All],2,0),VLOOKUP(Proc[[#This Row],[Author]],Table4[],2,0))</f>
        <v>MGF</v>
      </c>
      <c r="L2687" s="94"/>
      <c r="M2687" s="109">
        <v>45841.453541666669</v>
      </c>
      <c r="N2687" s="109"/>
      <c r="O2687" s="109"/>
      <c r="P2687" s="110" t="str">
        <f ca="1">IF(Proc[[#This Row],[DaysAgeing]]&gt;5,"yep","on track")</f>
        <v>on track</v>
      </c>
      <c r="Q2687" s="3">
        <f ca="1">IF(Proc[[#This Row],[DateClosed]]="",ABS(NETWORKDAYS(Proc[[#This Row],[DateOpened]],TODAY()))-1,ABS(NETWORKDAYS(Proc[[#This Row],[DateOpened]],Proc[[#This Row],[DateClosed]]))-1)</f>
        <v>1</v>
      </c>
      <c r="R2687" s="110" t="s">
        <v>485</v>
      </c>
      <c r="S2687" s="94"/>
    </row>
    <row r="2688" spans="1:19">
      <c r="A2688" s="103" t="s">
        <v>4448</v>
      </c>
      <c r="B2688" s="94" t="str">
        <f>IFERROR(VLOOKUP(Proc[[#This Row],[App]],Table2[],3,0),"open")</f>
        <v>open</v>
      </c>
      <c r="C2688" s="103" t="s">
        <v>404</v>
      </c>
      <c r="D2688" t="s">
        <v>4635</v>
      </c>
      <c r="E2688" t="s">
        <v>4775</v>
      </c>
      <c r="F2688" s="94" t="s">
        <v>4811</v>
      </c>
      <c r="G2688" s="103" t="s">
        <v>406</v>
      </c>
      <c r="H2688" s="94" t="str">
        <f>IF(Proc[[#This Row],[type]]="LFF (MDG-F)",MID(Proc[[#This Row],[Obj]],13,10),"")</f>
        <v>DE20538187</v>
      </c>
      <c r="J2688" s="94" t="b">
        <f>Proc[[#This Row],[Requested]]=Proc[[#This Row],[CurrentParent]]</f>
        <v>0</v>
      </c>
      <c r="K2688" s="94" t="str">
        <f>IF(Proc[[#This Row],[Author]]="Marcela Urrego",VLOOKUP(LEFT(Proc[[#This Row],[Requested]],1),Table3[#All],2,0),VLOOKUP(Proc[[#This Row],[Author]],Table4[],2,0))</f>
        <v>MGF</v>
      </c>
      <c r="L2688" s="94"/>
      <c r="M2688" s="109">
        <v>45841.453541666669</v>
      </c>
      <c r="N2688" s="109"/>
      <c r="O2688" s="109"/>
      <c r="P2688" s="110" t="str">
        <f ca="1">IF(Proc[[#This Row],[DaysAgeing]]&gt;5,"yep","on track")</f>
        <v>on track</v>
      </c>
      <c r="Q2688" s="3">
        <f ca="1">IF(Proc[[#This Row],[DateClosed]]="",ABS(NETWORKDAYS(Proc[[#This Row],[DateOpened]],TODAY()))-1,ABS(NETWORKDAYS(Proc[[#This Row],[DateOpened]],Proc[[#This Row],[DateClosed]]))-1)</f>
        <v>1</v>
      </c>
      <c r="R2688" s="110" t="s">
        <v>485</v>
      </c>
      <c r="S2688" s="94"/>
    </row>
    <row r="2689" spans="1:19">
      <c r="A2689" s="103" t="s">
        <v>4448</v>
      </c>
      <c r="B2689" s="94" t="str">
        <f>IFERROR(VLOOKUP(Proc[[#This Row],[App]],Table2[],3,0),"open")</f>
        <v>open</v>
      </c>
      <c r="C2689" s="103" t="s">
        <v>404</v>
      </c>
      <c r="D2689" t="s">
        <v>4636</v>
      </c>
      <c r="E2689" t="s">
        <v>4773</v>
      </c>
      <c r="F2689" s="94" t="s">
        <v>4811</v>
      </c>
      <c r="G2689" s="103" t="s">
        <v>406</v>
      </c>
      <c r="H2689" s="94" t="str">
        <f>IF(Proc[[#This Row],[type]]="LFF (MDG-F)",MID(Proc[[#This Row],[Obj]],13,10),"")</f>
        <v>DE20538188</v>
      </c>
      <c r="J2689" s="94" t="b">
        <f>Proc[[#This Row],[Requested]]=Proc[[#This Row],[CurrentParent]]</f>
        <v>0</v>
      </c>
      <c r="K2689" s="94" t="str">
        <f>IF(Proc[[#This Row],[Author]]="Marcela Urrego",VLOOKUP(LEFT(Proc[[#This Row],[Requested]],1),Table3[#All],2,0),VLOOKUP(Proc[[#This Row],[Author]],Table4[],2,0))</f>
        <v>MGF</v>
      </c>
      <c r="L2689" s="94"/>
      <c r="M2689" s="109">
        <v>45841.453541666669</v>
      </c>
      <c r="N2689" s="109"/>
      <c r="O2689" s="109"/>
      <c r="P2689" s="110" t="str">
        <f ca="1">IF(Proc[[#This Row],[DaysAgeing]]&gt;5,"yep","on track")</f>
        <v>on track</v>
      </c>
      <c r="Q2689" s="3">
        <f ca="1">IF(Proc[[#This Row],[DateClosed]]="",ABS(NETWORKDAYS(Proc[[#This Row],[DateOpened]],TODAY()))-1,ABS(NETWORKDAYS(Proc[[#This Row],[DateOpened]],Proc[[#This Row],[DateClosed]]))-1)</f>
        <v>1</v>
      </c>
      <c r="R2689" s="110" t="s">
        <v>485</v>
      </c>
      <c r="S2689" s="94"/>
    </row>
    <row r="2690" spans="1:19">
      <c r="A2690" s="103" t="s">
        <v>4448</v>
      </c>
      <c r="B2690" s="94" t="str">
        <f>IFERROR(VLOOKUP(Proc[[#This Row],[App]],Table2[],3,0),"open")</f>
        <v>open</v>
      </c>
      <c r="C2690" s="103" t="s">
        <v>404</v>
      </c>
      <c r="D2690" t="s">
        <v>4637</v>
      </c>
      <c r="E2690" t="s">
        <v>4773</v>
      </c>
      <c r="F2690" s="94" t="s">
        <v>4811</v>
      </c>
      <c r="G2690" s="103" t="s">
        <v>406</v>
      </c>
      <c r="H2690" s="94" t="str">
        <f>IF(Proc[[#This Row],[type]]="LFF (MDG-F)",MID(Proc[[#This Row],[Obj]],13,10),"")</f>
        <v>DE20538189</v>
      </c>
      <c r="J2690" s="94" t="b">
        <f>Proc[[#This Row],[Requested]]=Proc[[#This Row],[CurrentParent]]</f>
        <v>0</v>
      </c>
      <c r="K2690" s="94" t="str">
        <f>IF(Proc[[#This Row],[Author]]="Marcela Urrego",VLOOKUP(LEFT(Proc[[#This Row],[Requested]],1),Table3[#All],2,0),VLOOKUP(Proc[[#This Row],[Author]],Table4[],2,0))</f>
        <v>MGF</v>
      </c>
      <c r="L2690" s="94"/>
      <c r="M2690" s="109">
        <v>45841.453541666669</v>
      </c>
      <c r="N2690" s="109"/>
      <c r="O2690" s="109"/>
      <c r="P2690" s="110" t="str">
        <f ca="1">IF(Proc[[#This Row],[DaysAgeing]]&gt;5,"yep","on track")</f>
        <v>on track</v>
      </c>
      <c r="Q2690" s="3">
        <f ca="1">IF(Proc[[#This Row],[DateClosed]]="",ABS(NETWORKDAYS(Proc[[#This Row],[DateOpened]],TODAY()))-1,ABS(NETWORKDAYS(Proc[[#This Row],[DateOpened]],Proc[[#This Row],[DateClosed]]))-1)</f>
        <v>1</v>
      </c>
      <c r="R2690" s="110" t="s">
        <v>485</v>
      </c>
      <c r="S2690" s="94"/>
    </row>
    <row r="2691" spans="1:19">
      <c r="A2691" s="103" t="s">
        <v>4448</v>
      </c>
      <c r="B2691" s="94" t="str">
        <f>IFERROR(VLOOKUP(Proc[[#This Row],[App]],Table2[],3,0),"open")</f>
        <v>open</v>
      </c>
      <c r="C2691" s="103" t="s">
        <v>404</v>
      </c>
      <c r="D2691" t="s">
        <v>4638</v>
      </c>
      <c r="E2691" t="s">
        <v>4773</v>
      </c>
      <c r="F2691" s="94" t="s">
        <v>4812</v>
      </c>
      <c r="G2691" s="103" t="s">
        <v>406</v>
      </c>
      <c r="H2691" s="94" t="str">
        <f>IF(Proc[[#This Row],[type]]="LFF (MDG-F)",MID(Proc[[#This Row],[Obj]],13,10),"")</f>
        <v>DE20538196</v>
      </c>
      <c r="J2691" s="94" t="b">
        <f>Proc[[#This Row],[Requested]]=Proc[[#This Row],[CurrentParent]]</f>
        <v>0</v>
      </c>
      <c r="K2691" s="94" t="str">
        <f>IF(Proc[[#This Row],[Author]]="Marcela Urrego",VLOOKUP(LEFT(Proc[[#This Row],[Requested]],1),Table3[#All],2,0),VLOOKUP(Proc[[#This Row],[Author]],Table4[],2,0))</f>
        <v>MGF</v>
      </c>
      <c r="L2691" s="94"/>
      <c r="M2691" s="109">
        <v>45841.453541666669</v>
      </c>
      <c r="N2691" s="109"/>
      <c r="O2691" s="109"/>
      <c r="P2691" s="110" t="str">
        <f ca="1">IF(Proc[[#This Row],[DaysAgeing]]&gt;5,"yep","on track")</f>
        <v>on track</v>
      </c>
      <c r="Q2691" s="3">
        <f ca="1">IF(Proc[[#This Row],[DateClosed]]="",ABS(NETWORKDAYS(Proc[[#This Row],[DateOpened]],TODAY()))-1,ABS(NETWORKDAYS(Proc[[#This Row],[DateOpened]],Proc[[#This Row],[DateClosed]]))-1)</f>
        <v>1</v>
      </c>
      <c r="R2691" s="110" t="s">
        <v>485</v>
      </c>
      <c r="S2691" s="94"/>
    </row>
    <row r="2692" spans="1:19">
      <c r="A2692" s="103" t="s">
        <v>4448</v>
      </c>
      <c r="B2692" s="94" t="str">
        <f>IFERROR(VLOOKUP(Proc[[#This Row],[App]],Table2[],3,0),"open")</f>
        <v>open</v>
      </c>
      <c r="C2692" s="103" t="s">
        <v>404</v>
      </c>
      <c r="D2692" t="s">
        <v>4639</v>
      </c>
      <c r="E2692" t="s">
        <v>4774</v>
      </c>
      <c r="F2692" s="94" t="s">
        <v>4814</v>
      </c>
      <c r="G2692" s="103" t="s">
        <v>406</v>
      </c>
      <c r="H2692" s="94" t="str">
        <f>IF(Proc[[#This Row],[type]]="LFF (MDG-F)",MID(Proc[[#This Row],[Obj]],13,10),"")</f>
        <v>DE20538236</v>
      </c>
      <c r="J2692" s="94" t="b">
        <f>Proc[[#This Row],[Requested]]=Proc[[#This Row],[CurrentParent]]</f>
        <v>0</v>
      </c>
      <c r="K2692" s="94" t="str">
        <f>IF(Proc[[#This Row],[Author]]="Marcela Urrego",VLOOKUP(LEFT(Proc[[#This Row],[Requested]],1),Table3[#All],2,0),VLOOKUP(Proc[[#This Row],[Author]],Table4[],2,0))</f>
        <v>MGF</v>
      </c>
      <c r="L2692" s="94"/>
      <c r="M2692" s="109">
        <v>45841.453541666669</v>
      </c>
      <c r="N2692" s="109"/>
      <c r="O2692" s="109"/>
      <c r="P2692" s="110" t="str">
        <f ca="1">IF(Proc[[#This Row],[DaysAgeing]]&gt;5,"yep","on track")</f>
        <v>on track</v>
      </c>
      <c r="Q2692" s="3">
        <f ca="1">IF(Proc[[#This Row],[DateClosed]]="",ABS(NETWORKDAYS(Proc[[#This Row],[DateOpened]],TODAY()))-1,ABS(NETWORKDAYS(Proc[[#This Row],[DateOpened]],Proc[[#This Row],[DateClosed]]))-1)</f>
        <v>1</v>
      </c>
      <c r="R2692" s="110" t="s">
        <v>485</v>
      </c>
      <c r="S2692" s="94"/>
    </row>
    <row r="2693" spans="1:19">
      <c r="A2693" s="103" t="s">
        <v>4448</v>
      </c>
      <c r="B2693" s="94" t="str">
        <f>IFERROR(VLOOKUP(Proc[[#This Row],[App]],Table2[],3,0),"open")</f>
        <v>open</v>
      </c>
      <c r="C2693" s="103" t="s">
        <v>404</v>
      </c>
      <c r="D2693" t="s">
        <v>4640</v>
      </c>
      <c r="E2693" t="s">
        <v>4773</v>
      </c>
      <c r="F2693" s="94" t="s">
        <v>4811</v>
      </c>
      <c r="G2693" s="103" t="s">
        <v>406</v>
      </c>
      <c r="H2693" s="94" t="str">
        <f>IF(Proc[[#This Row],[type]]="LFF (MDG-F)",MID(Proc[[#This Row],[Obj]],13,10),"")</f>
        <v>DE20538470</v>
      </c>
      <c r="J2693" s="94" t="b">
        <f>Proc[[#This Row],[Requested]]=Proc[[#This Row],[CurrentParent]]</f>
        <v>0</v>
      </c>
      <c r="K2693" s="94" t="str">
        <f>IF(Proc[[#This Row],[Author]]="Marcela Urrego",VLOOKUP(LEFT(Proc[[#This Row],[Requested]],1),Table3[#All],2,0),VLOOKUP(Proc[[#This Row],[Author]],Table4[],2,0))</f>
        <v>MGF</v>
      </c>
      <c r="L2693" s="94"/>
      <c r="M2693" s="109">
        <v>45841.453541666669</v>
      </c>
      <c r="N2693" s="109"/>
      <c r="O2693" s="109"/>
      <c r="P2693" s="110" t="str">
        <f ca="1">IF(Proc[[#This Row],[DaysAgeing]]&gt;5,"yep","on track")</f>
        <v>on track</v>
      </c>
      <c r="Q2693" s="3">
        <f ca="1">IF(Proc[[#This Row],[DateClosed]]="",ABS(NETWORKDAYS(Proc[[#This Row],[DateOpened]],TODAY()))-1,ABS(NETWORKDAYS(Proc[[#This Row],[DateOpened]],Proc[[#This Row],[DateClosed]]))-1)</f>
        <v>1</v>
      </c>
      <c r="R2693" s="110" t="s">
        <v>485</v>
      </c>
      <c r="S2693" s="94"/>
    </row>
    <row r="2694" spans="1:19">
      <c r="A2694" s="103" t="s">
        <v>4448</v>
      </c>
      <c r="B2694" s="94" t="str">
        <f>IFERROR(VLOOKUP(Proc[[#This Row],[App]],Table2[],3,0),"open")</f>
        <v>open</v>
      </c>
      <c r="C2694" s="103" t="s">
        <v>404</v>
      </c>
      <c r="D2694" t="s">
        <v>4641</v>
      </c>
      <c r="E2694" t="s">
        <v>4775</v>
      </c>
      <c r="F2694" s="94" t="s">
        <v>4811</v>
      </c>
      <c r="G2694" s="103" t="s">
        <v>406</v>
      </c>
      <c r="H2694" s="94" t="str">
        <f>IF(Proc[[#This Row],[type]]="LFF (MDG-F)",MID(Proc[[#This Row],[Obj]],13,10),"")</f>
        <v>DE20538472</v>
      </c>
      <c r="J2694" s="94" t="b">
        <f>Proc[[#This Row],[Requested]]=Proc[[#This Row],[CurrentParent]]</f>
        <v>0</v>
      </c>
      <c r="K2694" s="94" t="str">
        <f>IF(Proc[[#This Row],[Author]]="Marcela Urrego",VLOOKUP(LEFT(Proc[[#This Row],[Requested]],1),Table3[#All],2,0),VLOOKUP(Proc[[#This Row],[Author]],Table4[],2,0))</f>
        <v>MGF</v>
      </c>
      <c r="L2694" s="94"/>
      <c r="M2694" s="109">
        <v>45841.453541666669</v>
      </c>
      <c r="N2694" s="109"/>
      <c r="O2694" s="109"/>
      <c r="P2694" s="110" t="str">
        <f ca="1">IF(Proc[[#This Row],[DaysAgeing]]&gt;5,"yep","on track")</f>
        <v>on track</v>
      </c>
      <c r="Q2694" s="3">
        <f ca="1">IF(Proc[[#This Row],[DateClosed]]="",ABS(NETWORKDAYS(Proc[[#This Row],[DateOpened]],TODAY()))-1,ABS(NETWORKDAYS(Proc[[#This Row],[DateOpened]],Proc[[#This Row],[DateClosed]]))-1)</f>
        <v>1</v>
      </c>
      <c r="R2694" s="110" t="s">
        <v>485</v>
      </c>
      <c r="S2694" s="94"/>
    </row>
    <row r="2695" spans="1:19">
      <c r="A2695" s="103" t="s">
        <v>4448</v>
      </c>
      <c r="B2695" s="94" t="str">
        <f>IFERROR(VLOOKUP(Proc[[#This Row],[App]],Table2[],3,0),"open")</f>
        <v>open</v>
      </c>
      <c r="C2695" s="103" t="s">
        <v>404</v>
      </c>
      <c r="D2695" t="s">
        <v>4642</v>
      </c>
      <c r="E2695" t="s">
        <v>4775</v>
      </c>
      <c r="F2695" s="94" t="s">
        <v>4811</v>
      </c>
      <c r="G2695" s="103" t="s">
        <v>406</v>
      </c>
      <c r="H2695" s="94" t="str">
        <f>IF(Proc[[#This Row],[type]]="LFF (MDG-F)",MID(Proc[[#This Row],[Obj]],13,10),"")</f>
        <v>DE20538473</v>
      </c>
      <c r="J2695" s="94" t="b">
        <f>Proc[[#This Row],[Requested]]=Proc[[#This Row],[CurrentParent]]</f>
        <v>0</v>
      </c>
      <c r="K2695" s="94" t="str">
        <f>IF(Proc[[#This Row],[Author]]="Marcela Urrego",VLOOKUP(LEFT(Proc[[#This Row],[Requested]],1),Table3[#All],2,0),VLOOKUP(Proc[[#This Row],[Author]],Table4[],2,0))</f>
        <v>MGF</v>
      </c>
      <c r="L2695" s="94"/>
      <c r="M2695" s="109">
        <v>45841.453541666669</v>
      </c>
      <c r="N2695" s="109"/>
      <c r="O2695" s="109"/>
      <c r="P2695" s="110" t="str">
        <f ca="1">IF(Proc[[#This Row],[DaysAgeing]]&gt;5,"yep","on track")</f>
        <v>on track</v>
      </c>
      <c r="Q2695" s="3">
        <f ca="1">IF(Proc[[#This Row],[DateClosed]]="",ABS(NETWORKDAYS(Proc[[#This Row],[DateOpened]],TODAY()))-1,ABS(NETWORKDAYS(Proc[[#This Row],[DateOpened]],Proc[[#This Row],[DateClosed]]))-1)</f>
        <v>1</v>
      </c>
      <c r="R2695" s="110" t="s">
        <v>485</v>
      </c>
      <c r="S2695" s="94"/>
    </row>
    <row r="2696" spans="1:19">
      <c r="A2696" s="103" t="s">
        <v>4448</v>
      </c>
      <c r="B2696" s="94" t="str">
        <f>IFERROR(VLOOKUP(Proc[[#This Row],[App]],Table2[],3,0),"open")</f>
        <v>open</v>
      </c>
      <c r="C2696" s="103" t="s">
        <v>404</v>
      </c>
      <c r="D2696" t="s">
        <v>4643</v>
      </c>
      <c r="E2696" t="s">
        <v>4773</v>
      </c>
      <c r="F2696" s="94" t="s">
        <v>4812</v>
      </c>
      <c r="G2696" s="103" t="s">
        <v>406</v>
      </c>
      <c r="H2696" s="94" t="str">
        <f>IF(Proc[[#This Row],[type]]="LFF (MDG-F)",MID(Proc[[#This Row],[Obj]],13,10),"")</f>
        <v>DE20538762</v>
      </c>
      <c r="J2696" s="94" t="b">
        <f>Proc[[#This Row],[Requested]]=Proc[[#This Row],[CurrentParent]]</f>
        <v>0</v>
      </c>
      <c r="K2696" s="94" t="str">
        <f>IF(Proc[[#This Row],[Author]]="Marcela Urrego",VLOOKUP(LEFT(Proc[[#This Row],[Requested]],1),Table3[#All],2,0),VLOOKUP(Proc[[#This Row],[Author]],Table4[],2,0))</f>
        <v>MGF</v>
      </c>
      <c r="L2696" s="94"/>
      <c r="M2696" s="109">
        <v>45841.453541666669</v>
      </c>
      <c r="N2696" s="109"/>
      <c r="O2696" s="109"/>
      <c r="P2696" s="110" t="str">
        <f ca="1">IF(Proc[[#This Row],[DaysAgeing]]&gt;5,"yep","on track")</f>
        <v>on track</v>
      </c>
      <c r="Q2696" s="3">
        <f ca="1">IF(Proc[[#This Row],[DateClosed]]="",ABS(NETWORKDAYS(Proc[[#This Row],[DateOpened]],TODAY()))-1,ABS(NETWORKDAYS(Proc[[#This Row],[DateOpened]],Proc[[#This Row],[DateClosed]]))-1)</f>
        <v>1</v>
      </c>
      <c r="R2696" s="110" t="s">
        <v>485</v>
      </c>
      <c r="S2696" s="94"/>
    </row>
    <row r="2697" spans="1:19">
      <c r="A2697" s="103" t="s">
        <v>4448</v>
      </c>
      <c r="B2697" s="94" t="str">
        <f>IFERROR(VLOOKUP(Proc[[#This Row],[App]],Table2[],3,0),"open")</f>
        <v>open</v>
      </c>
      <c r="C2697" s="103" t="s">
        <v>404</v>
      </c>
      <c r="D2697" t="s">
        <v>4644</v>
      </c>
      <c r="E2697" t="s">
        <v>4773</v>
      </c>
      <c r="F2697" s="94" t="s">
        <v>4811</v>
      </c>
      <c r="G2697" s="103" t="s">
        <v>406</v>
      </c>
      <c r="H2697" s="94" t="str">
        <f>IF(Proc[[#This Row],[type]]="LFF (MDG-F)",MID(Proc[[#This Row],[Obj]],13,10),"")</f>
        <v>DE20538961</v>
      </c>
      <c r="J2697" s="94" t="b">
        <f>Proc[[#This Row],[Requested]]=Proc[[#This Row],[CurrentParent]]</f>
        <v>0</v>
      </c>
      <c r="K2697" s="94" t="str">
        <f>IF(Proc[[#This Row],[Author]]="Marcela Urrego",VLOOKUP(LEFT(Proc[[#This Row],[Requested]],1),Table3[#All],2,0),VLOOKUP(Proc[[#This Row],[Author]],Table4[],2,0))</f>
        <v>MGF</v>
      </c>
      <c r="L2697" s="94"/>
      <c r="M2697" s="109">
        <v>45841.453541666669</v>
      </c>
      <c r="N2697" s="109"/>
      <c r="O2697" s="109"/>
      <c r="P2697" s="110" t="str">
        <f ca="1">IF(Proc[[#This Row],[DaysAgeing]]&gt;5,"yep","on track")</f>
        <v>on track</v>
      </c>
      <c r="Q2697" s="3">
        <f ca="1">IF(Proc[[#This Row],[DateClosed]]="",ABS(NETWORKDAYS(Proc[[#This Row],[DateOpened]],TODAY()))-1,ABS(NETWORKDAYS(Proc[[#This Row],[DateOpened]],Proc[[#This Row],[DateClosed]]))-1)</f>
        <v>1</v>
      </c>
      <c r="R2697" s="110" t="s">
        <v>485</v>
      </c>
      <c r="S2697" s="94"/>
    </row>
    <row r="2698" spans="1:19">
      <c r="A2698" s="103" t="s">
        <v>4448</v>
      </c>
      <c r="B2698" s="94" t="str">
        <f>IFERROR(VLOOKUP(Proc[[#This Row],[App]],Table2[],3,0),"open")</f>
        <v>open</v>
      </c>
      <c r="C2698" s="103" t="s">
        <v>404</v>
      </c>
      <c r="D2698" t="s">
        <v>4645</v>
      </c>
      <c r="E2698" t="s">
        <v>4773</v>
      </c>
      <c r="F2698" s="94" t="s">
        <v>4811</v>
      </c>
      <c r="G2698" s="103" t="s">
        <v>406</v>
      </c>
      <c r="H2698" s="94" t="str">
        <f>IF(Proc[[#This Row],[type]]="LFF (MDG-F)",MID(Proc[[#This Row],[Obj]],13,10),"")</f>
        <v>DE20538962</v>
      </c>
      <c r="J2698" s="94" t="b">
        <f>Proc[[#This Row],[Requested]]=Proc[[#This Row],[CurrentParent]]</f>
        <v>0</v>
      </c>
      <c r="K2698" s="94" t="str">
        <f>IF(Proc[[#This Row],[Author]]="Marcela Urrego",VLOOKUP(LEFT(Proc[[#This Row],[Requested]],1),Table3[#All],2,0),VLOOKUP(Proc[[#This Row],[Author]],Table4[],2,0))</f>
        <v>MGF</v>
      </c>
      <c r="L2698" s="94"/>
      <c r="M2698" s="109">
        <v>45841.453541666669</v>
      </c>
      <c r="N2698" s="109"/>
      <c r="O2698" s="109"/>
      <c r="P2698" s="110" t="str">
        <f ca="1">IF(Proc[[#This Row],[DaysAgeing]]&gt;5,"yep","on track")</f>
        <v>on track</v>
      </c>
      <c r="Q2698" s="3">
        <f ca="1">IF(Proc[[#This Row],[DateClosed]]="",ABS(NETWORKDAYS(Proc[[#This Row],[DateOpened]],TODAY()))-1,ABS(NETWORKDAYS(Proc[[#This Row],[DateOpened]],Proc[[#This Row],[DateClosed]]))-1)</f>
        <v>1</v>
      </c>
      <c r="R2698" s="110" t="s">
        <v>485</v>
      </c>
      <c r="S2698" s="94"/>
    </row>
    <row r="2699" spans="1:19">
      <c r="A2699" s="103" t="s">
        <v>4448</v>
      </c>
      <c r="B2699" s="94" t="str">
        <f>IFERROR(VLOOKUP(Proc[[#This Row],[App]],Table2[],3,0),"open")</f>
        <v>open</v>
      </c>
      <c r="C2699" s="103" t="s">
        <v>404</v>
      </c>
      <c r="D2699" t="s">
        <v>4646</v>
      </c>
      <c r="E2699" t="s">
        <v>4774</v>
      </c>
      <c r="F2699" s="94" t="s">
        <v>4814</v>
      </c>
      <c r="G2699" s="103" t="s">
        <v>406</v>
      </c>
      <c r="H2699" s="94" t="str">
        <f>IF(Proc[[#This Row],[type]]="LFF (MDG-F)",MID(Proc[[#This Row],[Obj]],13,10),"")</f>
        <v>DE20538963</v>
      </c>
      <c r="J2699" s="94" t="b">
        <f>Proc[[#This Row],[Requested]]=Proc[[#This Row],[CurrentParent]]</f>
        <v>0</v>
      </c>
      <c r="K2699" s="94" t="str">
        <f>IF(Proc[[#This Row],[Author]]="Marcela Urrego",VLOOKUP(LEFT(Proc[[#This Row],[Requested]],1),Table3[#All],2,0),VLOOKUP(Proc[[#This Row],[Author]],Table4[],2,0))</f>
        <v>MGF</v>
      </c>
      <c r="L2699" s="94"/>
      <c r="M2699" s="109">
        <v>45841.453541666669</v>
      </c>
      <c r="N2699" s="109"/>
      <c r="O2699" s="109"/>
      <c r="P2699" s="110" t="str">
        <f ca="1">IF(Proc[[#This Row],[DaysAgeing]]&gt;5,"yep","on track")</f>
        <v>on track</v>
      </c>
      <c r="Q2699" s="3">
        <f ca="1">IF(Proc[[#This Row],[DateClosed]]="",ABS(NETWORKDAYS(Proc[[#This Row],[DateOpened]],TODAY()))-1,ABS(NETWORKDAYS(Proc[[#This Row],[DateOpened]],Proc[[#This Row],[DateClosed]]))-1)</f>
        <v>1</v>
      </c>
      <c r="R2699" s="110" t="s">
        <v>485</v>
      </c>
      <c r="S2699" s="94"/>
    </row>
    <row r="2700" spans="1:19">
      <c r="A2700" s="103" t="s">
        <v>4448</v>
      </c>
      <c r="B2700" s="94" t="str">
        <f>IFERROR(VLOOKUP(Proc[[#This Row],[App]],Table2[],3,0),"open")</f>
        <v>open</v>
      </c>
      <c r="C2700" s="103" t="s">
        <v>404</v>
      </c>
      <c r="D2700" t="s">
        <v>4647</v>
      </c>
      <c r="E2700" t="s">
        <v>4774</v>
      </c>
      <c r="F2700" s="94" t="s">
        <v>4814</v>
      </c>
      <c r="G2700" s="103" t="s">
        <v>406</v>
      </c>
      <c r="H2700" s="94" t="str">
        <f>IF(Proc[[#This Row],[type]]="LFF (MDG-F)",MID(Proc[[#This Row],[Obj]],13,10),"")</f>
        <v>DE20538964</v>
      </c>
      <c r="J2700" s="94" t="b">
        <f>Proc[[#This Row],[Requested]]=Proc[[#This Row],[CurrentParent]]</f>
        <v>0</v>
      </c>
      <c r="K2700" s="94" t="str">
        <f>IF(Proc[[#This Row],[Author]]="Marcela Urrego",VLOOKUP(LEFT(Proc[[#This Row],[Requested]],1),Table3[#All],2,0),VLOOKUP(Proc[[#This Row],[Author]],Table4[],2,0))</f>
        <v>MGF</v>
      </c>
      <c r="L2700" s="94"/>
      <c r="M2700" s="109">
        <v>45841.453541666669</v>
      </c>
      <c r="N2700" s="109"/>
      <c r="O2700" s="109"/>
      <c r="P2700" s="110" t="str">
        <f ca="1">IF(Proc[[#This Row],[DaysAgeing]]&gt;5,"yep","on track")</f>
        <v>on track</v>
      </c>
      <c r="Q2700" s="3">
        <f ca="1">IF(Proc[[#This Row],[DateClosed]]="",ABS(NETWORKDAYS(Proc[[#This Row],[DateOpened]],TODAY()))-1,ABS(NETWORKDAYS(Proc[[#This Row],[DateOpened]],Proc[[#This Row],[DateClosed]]))-1)</f>
        <v>1</v>
      </c>
      <c r="R2700" s="110" t="s">
        <v>485</v>
      </c>
      <c r="S2700" s="94"/>
    </row>
    <row r="2701" spans="1:19">
      <c r="A2701" s="103" t="s">
        <v>4448</v>
      </c>
      <c r="B2701" s="94" t="str">
        <f>IFERROR(VLOOKUP(Proc[[#This Row],[App]],Table2[],3,0),"open")</f>
        <v>open</v>
      </c>
      <c r="C2701" s="103" t="s">
        <v>404</v>
      </c>
      <c r="D2701" t="s">
        <v>4648</v>
      </c>
      <c r="E2701" t="s">
        <v>4774</v>
      </c>
      <c r="F2701" s="94" t="s">
        <v>4814</v>
      </c>
      <c r="G2701" s="103" t="s">
        <v>406</v>
      </c>
      <c r="H2701" s="94" t="str">
        <f>IF(Proc[[#This Row],[type]]="LFF (MDG-F)",MID(Proc[[#This Row],[Obj]],13,10),"")</f>
        <v>DE20538965</v>
      </c>
      <c r="J2701" s="94" t="b">
        <f>Proc[[#This Row],[Requested]]=Proc[[#This Row],[CurrentParent]]</f>
        <v>0</v>
      </c>
      <c r="K2701" s="94" t="str">
        <f>IF(Proc[[#This Row],[Author]]="Marcela Urrego",VLOOKUP(LEFT(Proc[[#This Row],[Requested]],1),Table3[#All],2,0),VLOOKUP(Proc[[#This Row],[Author]],Table4[],2,0))</f>
        <v>MGF</v>
      </c>
      <c r="L2701" s="94"/>
      <c r="M2701" s="109">
        <v>45841.453541666669</v>
      </c>
      <c r="N2701" s="109"/>
      <c r="O2701" s="109"/>
      <c r="P2701" s="110" t="str">
        <f ca="1">IF(Proc[[#This Row],[DaysAgeing]]&gt;5,"yep","on track")</f>
        <v>on track</v>
      </c>
      <c r="Q2701" s="3">
        <f ca="1">IF(Proc[[#This Row],[DateClosed]]="",ABS(NETWORKDAYS(Proc[[#This Row],[DateOpened]],TODAY()))-1,ABS(NETWORKDAYS(Proc[[#This Row],[DateOpened]],Proc[[#This Row],[DateClosed]]))-1)</f>
        <v>1</v>
      </c>
      <c r="R2701" s="110" t="s">
        <v>485</v>
      </c>
      <c r="S2701" s="94"/>
    </row>
    <row r="2702" spans="1:19">
      <c r="A2702" s="103" t="s">
        <v>4448</v>
      </c>
      <c r="B2702" s="94" t="str">
        <f>IFERROR(VLOOKUP(Proc[[#This Row],[App]],Table2[],3,0),"open")</f>
        <v>open</v>
      </c>
      <c r="C2702" s="103" t="s">
        <v>404</v>
      </c>
      <c r="D2702" t="s">
        <v>4649</v>
      </c>
      <c r="E2702" t="s">
        <v>4774</v>
      </c>
      <c r="F2702" s="94" t="s">
        <v>4814</v>
      </c>
      <c r="G2702" s="103" t="s">
        <v>406</v>
      </c>
      <c r="H2702" s="94" t="str">
        <f>IF(Proc[[#This Row],[type]]="LFF (MDG-F)",MID(Proc[[#This Row],[Obj]],13,10),"")</f>
        <v>DE20538966</v>
      </c>
      <c r="I2702" t="s">
        <v>4872</v>
      </c>
      <c r="J2702" s="94" t="b">
        <f>Proc[[#This Row],[Requested]]=Proc[[#This Row],[CurrentParent]]</f>
        <v>0</v>
      </c>
      <c r="K2702" s="94" t="str">
        <f>IF(Proc[[#This Row],[Author]]="Marcela Urrego",VLOOKUP(LEFT(Proc[[#This Row],[Requested]],1),Table3[#All],2,0),VLOOKUP(Proc[[#This Row],[Author]],Table4[],2,0))</f>
        <v>MGF</v>
      </c>
      <c r="L2702" s="94"/>
      <c r="M2702" s="109">
        <v>45841.453541666669</v>
      </c>
      <c r="N2702" s="109"/>
      <c r="O2702" s="109"/>
      <c r="P2702" s="110" t="str">
        <f ca="1">IF(Proc[[#This Row],[DaysAgeing]]&gt;5,"yep","on track")</f>
        <v>on track</v>
      </c>
      <c r="Q2702" s="3">
        <f ca="1">IF(Proc[[#This Row],[DateClosed]]="",ABS(NETWORKDAYS(Proc[[#This Row],[DateOpened]],TODAY()))-1,ABS(NETWORKDAYS(Proc[[#This Row],[DateOpened]],Proc[[#This Row],[DateClosed]]))-1)</f>
        <v>1</v>
      </c>
      <c r="R2702" s="110" t="s">
        <v>485</v>
      </c>
      <c r="S2702" s="94"/>
    </row>
    <row r="2703" spans="1:19">
      <c r="A2703" s="103" t="s">
        <v>4448</v>
      </c>
      <c r="B2703" s="94" t="str">
        <f>IFERROR(VLOOKUP(Proc[[#This Row],[App]],Table2[],3,0),"open")</f>
        <v>open</v>
      </c>
      <c r="C2703" s="103" t="s">
        <v>404</v>
      </c>
      <c r="D2703" t="s">
        <v>4650</v>
      </c>
      <c r="E2703" t="s">
        <v>4774</v>
      </c>
      <c r="F2703" s="94" t="s">
        <v>4814</v>
      </c>
      <c r="G2703" s="103" t="s">
        <v>406</v>
      </c>
      <c r="H2703" s="94" t="str">
        <f>IF(Proc[[#This Row],[type]]="LFF (MDG-F)",MID(Proc[[#This Row],[Obj]],13,10),"")</f>
        <v>DE20538967</v>
      </c>
      <c r="J2703" s="94" t="b">
        <f>Proc[[#This Row],[Requested]]=Proc[[#This Row],[CurrentParent]]</f>
        <v>0</v>
      </c>
      <c r="K2703" s="94" t="str">
        <f>IF(Proc[[#This Row],[Author]]="Marcela Urrego",VLOOKUP(LEFT(Proc[[#This Row],[Requested]],1),Table3[#All],2,0),VLOOKUP(Proc[[#This Row],[Author]],Table4[],2,0))</f>
        <v>MGF</v>
      </c>
      <c r="L2703" s="94"/>
      <c r="M2703" s="109">
        <v>45841.453541666669</v>
      </c>
      <c r="N2703" s="109"/>
      <c r="O2703" s="109"/>
      <c r="P2703" s="110" t="str">
        <f ca="1">IF(Proc[[#This Row],[DaysAgeing]]&gt;5,"yep","on track")</f>
        <v>on track</v>
      </c>
      <c r="Q2703" s="3">
        <f ca="1">IF(Proc[[#This Row],[DateClosed]]="",ABS(NETWORKDAYS(Proc[[#This Row],[DateOpened]],TODAY()))-1,ABS(NETWORKDAYS(Proc[[#This Row],[DateOpened]],Proc[[#This Row],[DateClosed]]))-1)</f>
        <v>1</v>
      </c>
      <c r="R2703" s="110" t="s">
        <v>485</v>
      </c>
      <c r="S2703" s="94"/>
    </row>
    <row r="2704" spans="1:19">
      <c r="A2704" s="103" t="s">
        <v>4448</v>
      </c>
      <c r="B2704" s="94" t="str">
        <f>IFERROR(VLOOKUP(Proc[[#This Row],[App]],Table2[],3,0),"open")</f>
        <v>open</v>
      </c>
      <c r="C2704" s="103" t="s">
        <v>404</v>
      </c>
      <c r="D2704" t="s">
        <v>4651</v>
      </c>
      <c r="E2704" t="s">
        <v>4774</v>
      </c>
      <c r="F2704" s="94" t="s">
        <v>4814</v>
      </c>
      <c r="G2704" s="103" t="s">
        <v>406</v>
      </c>
      <c r="H2704" s="94" t="str">
        <f>IF(Proc[[#This Row],[type]]="LFF (MDG-F)",MID(Proc[[#This Row],[Obj]],13,10),"")</f>
        <v>DE20538968</v>
      </c>
      <c r="J2704" s="94" t="b">
        <f>Proc[[#This Row],[Requested]]=Proc[[#This Row],[CurrentParent]]</f>
        <v>0</v>
      </c>
      <c r="K2704" s="94" t="str">
        <f>IF(Proc[[#This Row],[Author]]="Marcela Urrego",VLOOKUP(LEFT(Proc[[#This Row],[Requested]],1),Table3[#All],2,0),VLOOKUP(Proc[[#This Row],[Author]],Table4[],2,0))</f>
        <v>MGF</v>
      </c>
      <c r="L2704" s="94"/>
      <c r="M2704" s="109">
        <v>45841.453541666669</v>
      </c>
      <c r="N2704" s="109"/>
      <c r="O2704" s="109"/>
      <c r="P2704" s="110" t="str">
        <f ca="1">IF(Proc[[#This Row],[DaysAgeing]]&gt;5,"yep","on track")</f>
        <v>on track</v>
      </c>
      <c r="Q2704" s="3">
        <f ca="1">IF(Proc[[#This Row],[DateClosed]]="",ABS(NETWORKDAYS(Proc[[#This Row],[DateOpened]],TODAY()))-1,ABS(NETWORKDAYS(Proc[[#This Row],[DateOpened]],Proc[[#This Row],[DateClosed]]))-1)</f>
        <v>1</v>
      </c>
      <c r="R2704" s="110" t="s">
        <v>485</v>
      </c>
      <c r="S2704" s="94"/>
    </row>
    <row r="2705" spans="1:19">
      <c r="A2705" s="103" t="s">
        <v>4448</v>
      </c>
      <c r="B2705" s="94" t="str">
        <f>IFERROR(VLOOKUP(Proc[[#This Row],[App]],Table2[],3,0),"open")</f>
        <v>open</v>
      </c>
      <c r="C2705" s="103" t="s">
        <v>404</v>
      </c>
      <c r="D2705" t="s">
        <v>4652</v>
      </c>
      <c r="E2705" t="s">
        <v>4774</v>
      </c>
      <c r="F2705" s="94" t="s">
        <v>4814</v>
      </c>
      <c r="G2705" s="103" t="s">
        <v>406</v>
      </c>
      <c r="H2705" s="94" t="str">
        <f>IF(Proc[[#This Row],[type]]="LFF (MDG-F)",MID(Proc[[#This Row],[Obj]],13,10),"")</f>
        <v>DE20538969</v>
      </c>
      <c r="J2705" s="94" t="b">
        <f>Proc[[#This Row],[Requested]]=Proc[[#This Row],[CurrentParent]]</f>
        <v>0</v>
      </c>
      <c r="K2705" s="94" t="str">
        <f>IF(Proc[[#This Row],[Author]]="Marcela Urrego",VLOOKUP(LEFT(Proc[[#This Row],[Requested]],1),Table3[#All],2,0),VLOOKUP(Proc[[#This Row],[Author]],Table4[],2,0))</f>
        <v>MGF</v>
      </c>
      <c r="L2705" s="94"/>
      <c r="M2705" s="109">
        <v>45841.453541666669</v>
      </c>
      <c r="N2705" s="109"/>
      <c r="O2705" s="109"/>
      <c r="P2705" s="110" t="str">
        <f ca="1">IF(Proc[[#This Row],[DaysAgeing]]&gt;5,"yep","on track")</f>
        <v>on track</v>
      </c>
      <c r="Q2705" s="3">
        <f ca="1">IF(Proc[[#This Row],[DateClosed]]="",ABS(NETWORKDAYS(Proc[[#This Row],[DateOpened]],TODAY()))-1,ABS(NETWORKDAYS(Proc[[#This Row],[DateOpened]],Proc[[#This Row],[DateClosed]]))-1)</f>
        <v>1</v>
      </c>
      <c r="R2705" s="110" t="s">
        <v>485</v>
      </c>
      <c r="S2705" s="94"/>
    </row>
    <row r="2706" spans="1:19">
      <c r="A2706" s="103" t="s">
        <v>4448</v>
      </c>
      <c r="B2706" s="94" t="str">
        <f>IFERROR(VLOOKUP(Proc[[#This Row],[App]],Table2[],3,0),"open")</f>
        <v>open</v>
      </c>
      <c r="C2706" s="103" t="s">
        <v>404</v>
      </c>
      <c r="D2706" t="s">
        <v>4653</v>
      </c>
      <c r="E2706" t="s">
        <v>4774</v>
      </c>
      <c r="F2706" s="94" t="s">
        <v>4814</v>
      </c>
      <c r="G2706" s="103" t="s">
        <v>406</v>
      </c>
      <c r="H2706" s="94" t="str">
        <f>IF(Proc[[#This Row],[type]]="LFF (MDG-F)",MID(Proc[[#This Row],[Obj]],13,10),"")</f>
        <v>DE20538970</v>
      </c>
      <c r="J2706" s="94" t="b">
        <f>Proc[[#This Row],[Requested]]=Proc[[#This Row],[CurrentParent]]</f>
        <v>0</v>
      </c>
      <c r="K2706" s="94" t="str">
        <f>IF(Proc[[#This Row],[Author]]="Marcela Urrego",VLOOKUP(LEFT(Proc[[#This Row],[Requested]],1),Table3[#All],2,0),VLOOKUP(Proc[[#This Row],[Author]],Table4[],2,0))</f>
        <v>MGF</v>
      </c>
      <c r="L2706" s="94"/>
      <c r="M2706" s="109">
        <v>45841.453541666669</v>
      </c>
      <c r="N2706" s="109"/>
      <c r="O2706" s="109"/>
      <c r="P2706" s="110" t="str">
        <f ca="1">IF(Proc[[#This Row],[DaysAgeing]]&gt;5,"yep","on track")</f>
        <v>on track</v>
      </c>
      <c r="Q2706" s="3">
        <f ca="1">IF(Proc[[#This Row],[DateClosed]]="",ABS(NETWORKDAYS(Proc[[#This Row],[DateOpened]],TODAY()))-1,ABS(NETWORKDAYS(Proc[[#This Row],[DateOpened]],Proc[[#This Row],[DateClosed]]))-1)</f>
        <v>1</v>
      </c>
      <c r="R2706" s="110" t="s">
        <v>485</v>
      </c>
      <c r="S2706" s="94"/>
    </row>
    <row r="2707" spans="1:19">
      <c r="A2707" s="103" t="s">
        <v>4448</v>
      </c>
      <c r="B2707" s="94" t="str">
        <f>IFERROR(VLOOKUP(Proc[[#This Row],[App]],Table2[],3,0),"open")</f>
        <v>open</v>
      </c>
      <c r="C2707" s="103" t="s">
        <v>404</v>
      </c>
      <c r="D2707" t="s">
        <v>4654</v>
      </c>
      <c r="E2707" t="s">
        <v>4774</v>
      </c>
      <c r="F2707" s="94" t="s">
        <v>4814</v>
      </c>
      <c r="G2707" s="103" t="s">
        <v>406</v>
      </c>
      <c r="H2707" s="94" t="str">
        <f>IF(Proc[[#This Row],[type]]="LFF (MDG-F)",MID(Proc[[#This Row],[Obj]],13,10),"")</f>
        <v>DE20538971</v>
      </c>
      <c r="J2707" s="94" t="b">
        <f>Proc[[#This Row],[Requested]]=Proc[[#This Row],[CurrentParent]]</f>
        <v>0</v>
      </c>
      <c r="K2707" s="94" t="str">
        <f>IF(Proc[[#This Row],[Author]]="Marcela Urrego",VLOOKUP(LEFT(Proc[[#This Row],[Requested]],1),Table3[#All],2,0),VLOOKUP(Proc[[#This Row],[Author]],Table4[],2,0))</f>
        <v>MGF</v>
      </c>
      <c r="L2707" s="94"/>
      <c r="M2707" s="109">
        <v>45841.453541666669</v>
      </c>
      <c r="N2707" s="109"/>
      <c r="O2707" s="109"/>
      <c r="P2707" s="110" t="str">
        <f ca="1">IF(Proc[[#This Row],[DaysAgeing]]&gt;5,"yep","on track")</f>
        <v>on track</v>
      </c>
      <c r="Q2707" s="3">
        <f ca="1">IF(Proc[[#This Row],[DateClosed]]="",ABS(NETWORKDAYS(Proc[[#This Row],[DateOpened]],TODAY()))-1,ABS(NETWORKDAYS(Proc[[#This Row],[DateOpened]],Proc[[#This Row],[DateClosed]]))-1)</f>
        <v>1</v>
      </c>
      <c r="R2707" s="110" t="s">
        <v>485</v>
      </c>
      <c r="S2707" s="94"/>
    </row>
    <row r="2708" spans="1:19">
      <c r="A2708" s="103" t="s">
        <v>4448</v>
      </c>
      <c r="B2708" s="94" t="str">
        <f>IFERROR(VLOOKUP(Proc[[#This Row],[App]],Table2[],3,0),"open")</f>
        <v>open</v>
      </c>
      <c r="C2708" s="103" t="s">
        <v>404</v>
      </c>
      <c r="D2708" t="s">
        <v>4655</v>
      </c>
      <c r="E2708" t="s">
        <v>4774</v>
      </c>
      <c r="F2708" s="94" t="s">
        <v>4814</v>
      </c>
      <c r="G2708" s="103" t="s">
        <v>406</v>
      </c>
      <c r="H2708" s="94" t="str">
        <f>IF(Proc[[#This Row],[type]]="LFF (MDG-F)",MID(Proc[[#This Row],[Obj]],13,10),"")</f>
        <v>DE20538972</v>
      </c>
      <c r="J2708" s="94" t="b">
        <f>Proc[[#This Row],[Requested]]=Proc[[#This Row],[CurrentParent]]</f>
        <v>0</v>
      </c>
      <c r="K2708" s="94" t="str">
        <f>IF(Proc[[#This Row],[Author]]="Marcela Urrego",VLOOKUP(LEFT(Proc[[#This Row],[Requested]],1),Table3[#All],2,0),VLOOKUP(Proc[[#This Row],[Author]],Table4[],2,0))</f>
        <v>MGF</v>
      </c>
      <c r="L2708" s="94"/>
      <c r="M2708" s="109">
        <v>45841.453541666669</v>
      </c>
      <c r="N2708" s="109"/>
      <c r="O2708" s="109"/>
      <c r="P2708" s="110" t="str">
        <f ca="1">IF(Proc[[#This Row],[DaysAgeing]]&gt;5,"yep","on track")</f>
        <v>on track</v>
      </c>
      <c r="Q2708" s="3">
        <f ca="1">IF(Proc[[#This Row],[DateClosed]]="",ABS(NETWORKDAYS(Proc[[#This Row],[DateOpened]],TODAY()))-1,ABS(NETWORKDAYS(Proc[[#This Row],[DateOpened]],Proc[[#This Row],[DateClosed]]))-1)</f>
        <v>1</v>
      </c>
      <c r="R2708" s="110" t="s">
        <v>485</v>
      </c>
      <c r="S2708" s="94"/>
    </row>
    <row r="2709" spans="1:19">
      <c r="A2709" s="103" t="s">
        <v>4448</v>
      </c>
      <c r="B2709" s="94" t="str">
        <f>IFERROR(VLOOKUP(Proc[[#This Row],[App]],Table2[],3,0),"open")</f>
        <v>open</v>
      </c>
      <c r="C2709" s="103" t="s">
        <v>404</v>
      </c>
      <c r="D2709" t="s">
        <v>4656</v>
      </c>
      <c r="E2709" t="s">
        <v>4774</v>
      </c>
      <c r="F2709" s="94" t="s">
        <v>4814</v>
      </c>
      <c r="G2709" s="103" t="s">
        <v>406</v>
      </c>
      <c r="H2709" s="94" t="str">
        <f>IF(Proc[[#This Row],[type]]="LFF (MDG-F)",MID(Proc[[#This Row],[Obj]],13,10),"")</f>
        <v>DE20538973</v>
      </c>
      <c r="J2709" s="94" t="b">
        <f>Proc[[#This Row],[Requested]]=Proc[[#This Row],[CurrentParent]]</f>
        <v>0</v>
      </c>
      <c r="K2709" s="94" t="str">
        <f>IF(Proc[[#This Row],[Author]]="Marcela Urrego",VLOOKUP(LEFT(Proc[[#This Row],[Requested]],1),Table3[#All],2,0),VLOOKUP(Proc[[#This Row],[Author]],Table4[],2,0))</f>
        <v>MGF</v>
      </c>
      <c r="L2709" s="94"/>
      <c r="M2709" s="109">
        <v>45841.453541666669</v>
      </c>
      <c r="N2709" s="109"/>
      <c r="O2709" s="109"/>
      <c r="P2709" s="110" t="str">
        <f ca="1">IF(Proc[[#This Row],[DaysAgeing]]&gt;5,"yep","on track")</f>
        <v>on track</v>
      </c>
      <c r="Q2709" s="3">
        <f ca="1">IF(Proc[[#This Row],[DateClosed]]="",ABS(NETWORKDAYS(Proc[[#This Row],[DateOpened]],TODAY()))-1,ABS(NETWORKDAYS(Proc[[#This Row],[DateOpened]],Proc[[#This Row],[DateClosed]]))-1)</f>
        <v>1</v>
      </c>
      <c r="R2709" s="110" t="s">
        <v>485</v>
      </c>
      <c r="S2709" s="94"/>
    </row>
    <row r="2710" spans="1:19">
      <c r="A2710" s="103" t="s">
        <v>4448</v>
      </c>
      <c r="B2710" s="94" t="str">
        <f>IFERROR(VLOOKUP(Proc[[#This Row],[App]],Table2[],3,0),"open")</f>
        <v>open</v>
      </c>
      <c r="C2710" s="103" t="s">
        <v>404</v>
      </c>
      <c r="D2710" t="s">
        <v>4657</v>
      </c>
      <c r="E2710" t="s">
        <v>4774</v>
      </c>
      <c r="F2710" s="94" t="s">
        <v>4814</v>
      </c>
      <c r="G2710" s="103" t="s">
        <v>406</v>
      </c>
      <c r="H2710" s="94" t="str">
        <f>IF(Proc[[#This Row],[type]]="LFF (MDG-F)",MID(Proc[[#This Row],[Obj]],13,10),"")</f>
        <v>DE20538974</v>
      </c>
      <c r="J2710" s="94" t="b">
        <f>Proc[[#This Row],[Requested]]=Proc[[#This Row],[CurrentParent]]</f>
        <v>0</v>
      </c>
      <c r="K2710" s="94" t="str">
        <f>IF(Proc[[#This Row],[Author]]="Marcela Urrego",VLOOKUP(LEFT(Proc[[#This Row],[Requested]],1),Table3[#All],2,0),VLOOKUP(Proc[[#This Row],[Author]],Table4[],2,0))</f>
        <v>MGF</v>
      </c>
      <c r="L2710" s="94"/>
      <c r="M2710" s="109">
        <v>45841.453541666669</v>
      </c>
      <c r="N2710" s="109"/>
      <c r="O2710" s="109"/>
      <c r="P2710" s="110" t="str">
        <f ca="1">IF(Proc[[#This Row],[DaysAgeing]]&gt;5,"yep","on track")</f>
        <v>on track</v>
      </c>
      <c r="Q2710" s="3">
        <f ca="1">IF(Proc[[#This Row],[DateClosed]]="",ABS(NETWORKDAYS(Proc[[#This Row],[DateOpened]],TODAY()))-1,ABS(NETWORKDAYS(Proc[[#This Row],[DateOpened]],Proc[[#This Row],[DateClosed]]))-1)</f>
        <v>1</v>
      </c>
      <c r="R2710" s="110" t="s">
        <v>485</v>
      </c>
      <c r="S2710" s="94"/>
    </row>
    <row r="2711" spans="1:19">
      <c r="A2711" s="103" t="s">
        <v>4448</v>
      </c>
      <c r="B2711" s="94" t="str">
        <f>IFERROR(VLOOKUP(Proc[[#This Row],[App]],Table2[],3,0),"open")</f>
        <v>open</v>
      </c>
      <c r="C2711" s="103" t="s">
        <v>404</v>
      </c>
      <c r="D2711" t="s">
        <v>4658</v>
      </c>
      <c r="E2711" t="s">
        <v>4774</v>
      </c>
      <c r="F2711" s="94" t="s">
        <v>4814</v>
      </c>
      <c r="G2711" s="103" t="s">
        <v>406</v>
      </c>
      <c r="H2711" s="94" t="str">
        <f>IF(Proc[[#This Row],[type]]="LFF (MDG-F)",MID(Proc[[#This Row],[Obj]],13,10),"")</f>
        <v>DE20538975</v>
      </c>
      <c r="J2711" s="94" t="b">
        <f>Proc[[#This Row],[Requested]]=Proc[[#This Row],[CurrentParent]]</f>
        <v>0</v>
      </c>
      <c r="K2711" s="94" t="str">
        <f>IF(Proc[[#This Row],[Author]]="Marcela Urrego",VLOOKUP(LEFT(Proc[[#This Row],[Requested]],1),Table3[#All],2,0),VLOOKUP(Proc[[#This Row],[Author]],Table4[],2,0))</f>
        <v>MGF</v>
      </c>
      <c r="L2711" s="94"/>
      <c r="M2711" s="109">
        <v>45841.453541666669</v>
      </c>
      <c r="N2711" s="109"/>
      <c r="O2711" s="109"/>
      <c r="P2711" s="110" t="str">
        <f ca="1">IF(Proc[[#This Row],[DaysAgeing]]&gt;5,"yep","on track")</f>
        <v>on track</v>
      </c>
      <c r="Q2711" s="3">
        <f ca="1">IF(Proc[[#This Row],[DateClosed]]="",ABS(NETWORKDAYS(Proc[[#This Row],[DateOpened]],TODAY()))-1,ABS(NETWORKDAYS(Proc[[#This Row],[DateOpened]],Proc[[#This Row],[DateClosed]]))-1)</f>
        <v>1</v>
      </c>
      <c r="R2711" s="110" t="s">
        <v>485</v>
      </c>
      <c r="S2711" s="94"/>
    </row>
    <row r="2712" spans="1:19">
      <c r="A2712" s="103" t="s">
        <v>4448</v>
      </c>
      <c r="B2712" s="94" t="str">
        <f>IFERROR(VLOOKUP(Proc[[#This Row],[App]],Table2[],3,0),"open")</f>
        <v>open</v>
      </c>
      <c r="C2712" s="103" t="s">
        <v>404</v>
      </c>
      <c r="D2712" t="s">
        <v>4659</v>
      </c>
      <c r="E2712" t="s">
        <v>4774</v>
      </c>
      <c r="F2712" s="94" t="s">
        <v>4814</v>
      </c>
      <c r="G2712" s="103" t="s">
        <v>406</v>
      </c>
      <c r="H2712" s="94" t="str">
        <f>IF(Proc[[#This Row],[type]]="LFF (MDG-F)",MID(Proc[[#This Row],[Obj]],13,10),"")</f>
        <v>DE20538977</v>
      </c>
      <c r="J2712" s="94" t="b">
        <f>Proc[[#This Row],[Requested]]=Proc[[#This Row],[CurrentParent]]</f>
        <v>0</v>
      </c>
      <c r="K2712" s="94" t="str">
        <f>IF(Proc[[#This Row],[Author]]="Marcela Urrego",VLOOKUP(LEFT(Proc[[#This Row],[Requested]],1),Table3[#All],2,0),VLOOKUP(Proc[[#This Row],[Author]],Table4[],2,0))</f>
        <v>MGF</v>
      </c>
      <c r="L2712" s="94"/>
      <c r="M2712" s="109">
        <v>45841.453541666669</v>
      </c>
      <c r="N2712" s="109"/>
      <c r="O2712" s="109"/>
      <c r="P2712" s="110" t="str">
        <f ca="1">IF(Proc[[#This Row],[DaysAgeing]]&gt;5,"yep","on track")</f>
        <v>on track</v>
      </c>
      <c r="Q2712" s="3">
        <f ca="1">IF(Proc[[#This Row],[DateClosed]]="",ABS(NETWORKDAYS(Proc[[#This Row],[DateOpened]],TODAY()))-1,ABS(NETWORKDAYS(Proc[[#This Row],[DateOpened]],Proc[[#This Row],[DateClosed]]))-1)</f>
        <v>1</v>
      </c>
      <c r="R2712" s="110" t="s">
        <v>485</v>
      </c>
      <c r="S2712" s="94"/>
    </row>
    <row r="2713" spans="1:19">
      <c r="A2713" s="103" t="s">
        <v>4448</v>
      </c>
      <c r="B2713" s="94" t="str">
        <f>IFERROR(VLOOKUP(Proc[[#This Row],[App]],Table2[],3,0),"open")</f>
        <v>open</v>
      </c>
      <c r="C2713" s="103" t="s">
        <v>404</v>
      </c>
      <c r="D2713" t="s">
        <v>4660</v>
      </c>
      <c r="E2713" t="s">
        <v>4773</v>
      </c>
      <c r="F2713" s="94" t="s">
        <v>4815</v>
      </c>
      <c r="G2713" s="103" t="s">
        <v>406</v>
      </c>
      <c r="H2713" s="94" t="str">
        <f>IF(Proc[[#This Row],[type]]="LFF (MDG-F)",MID(Proc[[#This Row],[Obj]],13,10),"")</f>
        <v>DE20538979</v>
      </c>
      <c r="J2713" s="94" t="b">
        <f>Proc[[#This Row],[Requested]]=Proc[[#This Row],[CurrentParent]]</f>
        <v>0</v>
      </c>
      <c r="K2713" s="94" t="str">
        <f>IF(Proc[[#This Row],[Author]]="Marcela Urrego",VLOOKUP(LEFT(Proc[[#This Row],[Requested]],1),Table3[#All],2,0),VLOOKUP(Proc[[#This Row],[Author]],Table4[],2,0))</f>
        <v>MGF</v>
      </c>
      <c r="L2713" s="94"/>
      <c r="M2713" s="109">
        <v>45841.453541666669</v>
      </c>
      <c r="N2713" s="109"/>
      <c r="O2713" s="109"/>
      <c r="P2713" s="110" t="str">
        <f ca="1">IF(Proc[[#This Row],[DaysAgeing]]&gt;5,"yep","on track")</f>
        <v>on track</v>
      </c>
      <c r="Q2713" s="3">
        <f ca="1">IF(Proc[[#This Row],[DateClosed]]="",ABS(NETWORKDAYS(Proc[[#This Row],[DateOpened]],TODAY()))-1,ABS(NETWORKDAYS(Proc[[#This Row],[DateOpened]],Proc[[#This Row],[DateClosed]]))-1)</f>
        <v>1</v>
      </c>
      <c r="R2713" s="110" t="s">
        <v>485</v>
      </c>
      <c r="S2713" s="94"/>
    </row>
    <row r="2714" spans="1:19">
      <c r="A2714" s="103" t="s">
        <v>4448</v>
      </c>
      <c r="B2714" s="94" t="str">
        <f>IFERROR(VLOOKUP(Proc[[#This Row],[App]],Table2[],3,0),"open")</f>
        <v>open</v>
      </c>
      <c r="C2714" s="103" t="s">
        <v>404</v>
      </c>
      <c r="D2714" t="s">
        <v>4661</v>
      </c>
      <c r="E2714" t="s">
        <v>4773</v>
      </c>
      <c r="F2714" s="94" t="s">
        <v>4812</v>
      </c>
      <c r="G2714" s="103" t="s">
        <v>406</v>
      </c>
      <c r="H2714" s="94" t="str">
        <f>IF(Proc[[#This Row],[type]]="LFF (MDG-F)",MID(Proc[[#This Row],[Obj]],13,10),"")</f>
        <v>DE20538980</v>
      </c>
      <c r="J2714" s="94" t="b">
        <f>Proc[[#This Row],[Requested]]=Proc[[#This Row],[CurrentParent]]</f>
        <v>0</v>
      </c>
      <c r="K2714" s="94" t="str">
        <f>IF(Proc[[#This Row],[Author]]="Marcela Urrego",VLOOKUP(LEFT(Proc[[#This Row],[Requested]],1),Table3[#All],2,0),VLOOKUP(Proc[[#This Row],[Author]],Table4[],2,0))</f>
        <v>MGF</v>
      </c>
      <c r="L2714" s="94"/>
      <c r="M2714" s="109">
        <v>45841.453541666669</v>
      </c>
      <c r="N2714" s="109"/>
      <c r="O2714" s="109"/>
      <c r="P2714" s="110" t="str">
        <f ca="1">IF(Proc[[#This Row],[DaysAgeing]]&gt;5,"yep","on track")</f>
        <v>on track</v>
      </c>
      <c r="Q2714" s="3">
        <f ca="1">IF(Proc[[#This Row],[DateClosed]]="",ABS(NETWORKDAYS(Proc[[#This Row],[DateOpened]],TODAY()))-1,ABS(NETWORKDAYS(Proc[[#This Row],[DateOpened]],Proc[[#This Row],[DateClosed]]))-1)</f>
        <v>1</v>
      </c>
      <c r="R2714" s="110" t="s">
        <v>485</v>
      </c>
      <c r="S2714" s="94"/>
    </row>
    <row r="2715" spans="1:19">
      <c r="A2715" s="103" t="s">
        <v>4448</v>
      </c>
      <c r="B2715" s="94" t="str">
        <f>IFERROR(VLOOKUP(Proc[[#This Row],[App]],Table2[],3,0),"open")</f>
        <v>open</v>
      </c>
      <c r="C2715" s="103" t="s">
        <v>404</v>
      </c>
      <c r="D2715" t="s">
        <v>4662</v>
      </c>
      <c r="E2715" t="s">
        <v>4773</v>
      </c>
      <c r="F2715" s="94" t="s">
        <v>4811</v>
      </c>
      <c r="G2715" s="103" t="s">
        <v>406</v>
      </c>
      <c r="H2715" s="94" t="str">
        <f>IF(Proc[[#This Row],[type]]="LFF (MDG-F)",MID(Proc[[#This Row],[Obj]],13,10),"")</f>
        <v>DE20538982</v>
      </c>
      <c r="J2715" s="94" t="b">
        <f>Proc[[#This Row],[Requested]]=Proc[[#This Row],[CurrentParent]]</f>
        <v>0</v>
      </c>
      <c r="K2715" s="94" t="str">
        <f>IF(Proc[[#This Row],[Author]]="Marcela Urrego",VLOOKUP(LEFT(Proc[[#This Row],[Requested]],1),Table3[#All],2,0),VLOOKUP(Proc[[#This Row],[Author]],Table4[],2,0))</f>
        <v>MGF</v>
      </c>
      <c r="L2715" s="94"/>
      <c r="M2715" s="109">
        <v>45841.453541666669</v>
      </c>
      <c r="N2715" s="109"/>
      <c r="O2715" s="109"/>
      <c r="P2715" s="110" t="str">
        <f ca="1">IF(Proc[[#This Row],[DaysAgeing]]&gt;5,"yep","on track")</f>
        <v>on track</v>
      </c>
      <c r="Q2715" s="3">
        <f ca="1">IF(Proc[[#This Row],[DateClosed]]="",ABS(NETWORKDAYS(Proc[[#This Row],[DateOpened]],TODAY()))-1,ABS(NETWORKDAYS(Proc[[#This Row],[DateOpened]],Proc[[#This Row],[DateClosed]]))-1)</f>
        <v>1</v>
      </c>
      <c r="R2715" s="110" t="s">
        <v>485</v>
      </c>
      <c r="S2715" s="94"/>
    </row>
    <row r="2716" spans="1:19">
      <c r="A2716" s="103" t="s">
        <v>4448</v>
      </c>
      <c r="B2716" s="94" t="str">
        <f>IFERROR(VLOOKUP(Proc[[#This Row],[App]],Table2[],3,0),"open")</f>
        <v>open</v>
      </c>
      <c r="C2716" s="103" t="s">
        <v>404</v>
      </c>
      <c r="D2716" t="s">
        <v>4663</v>
      </c>
      <c r="E2716" t="s">
        <v>4774</v>
      </c>
      <c r="F2716" s="94" t="s">
        <v>4814</v>
      </c>
      <c r="G2716" s="103" t="s">
        <v>406</v>
      </c>
      <c r="H2716" s="94" t="str">
        <f>IF(Proc[[#This Row],[type]]="LFF (MDG-F)",MID(Proc[[#This Row],[Obj]],13,10),"")</f>
        <v>DE20538984</v>
      </c>
      <c r="J2716" s="94" t="b">
        <f>Proc[[#This Row],[Requested]]=Proc[[#This Row],[CurrentParent]]</f>
        <v>0</v>
      </c>
      <c r="K2716" s="94" t="str">
        <f>IF(Proc[[#This Row],[Author]]="Marcela Urrego",VLOOKUP(LEFT(Proc[[#This Row],[Requested]],1),Table3[#All],2,0),VLOOKUP(Proc[[#This Row],[Author]],Table4[],2,0))</f>
        <v>MGF</v>
      </c>
      <c r="L2716" s="94"/>
      <c r="M2716" s="109">
        <v>45841.453541666669</v>
      </c>
      <c r="N2716" s="109"/>
      <c r="O2716" s="109"/>
      <c r="P2716" s="110" t="str">
        <f ca="1">IF(Proc[[#This Row],[DaysAgeing]]&gt;5,"yep","on track")</f>
        <v>on track</v>
      </c>
      <c r="Q2716" s="3">
        <f ca="1">IF(Proc[[#This Row],[DateClosed]]="",ABS(NETWORKDAYS(Proc[[#This Row],[DateOpened]],TODAY()))-1,ABS(NETWORKDAYS(Proc[[#This Row],[DateOpened]],Proc[[#This Row],[DateClosed]]))-1)</f>
        <v>1</v>
      </c>
      <c r="R2716" s="110" t="s">
        <v>485</v>
      </c>
      <c r="S2716" s="94"/>
    </row>
    <row r="2717" spans="1:19">
      <c r="A2717" s="103" t="s">
        <v>4448</v>
      </c>
      <c r="B2717" s="94" t="str">
        <f>IFERROR(VLOOKUP(Proc[[#This Row],[App]],Table2[],3,0),"open")</f>
        <v>open</v>
      </c>
      <c r="C2717" s="103" t="s">
        <v>404</v>
      </c>
      <c r="D2717" t="s">
        <v>4664</v>
      </c>
      <c r="E2717" t="s">
        <v>4774</v>
      </c>
      <c r="F2717" s="94" t="s">
        <v>4814</v>
      </c>
      <c r="G2717" s="103" t="s">
        <v>406</v>
      </c>
      <c r="H2717" s="94" t="str">
        <f>IF(Proc[[#This Row],[type]]="LFF (MDG-F)",MID(Proc[[#This Row],[Obj]],13,10),"")</f>
        <v>DE20538985</v>
      </c>
      <c r="J2717" s="94" t="b">
        <f>Proc[[#This Row],[Requested]]=Proc[[#This Row],[CurrentParent]]</f>
        <v>0</v>
      </c>
      <c r="K2717" s="94" t="str">
        <f>IF(Proc[[#This Row],[Author]]="Marcela Urrego",VLOOKUP(LEFT(Proc[[#This Row],[Requested]],1),Table3[#All],2,0),VLOOKUP(Proc[[#This Row],[Author]],Table4[],2,0))</f>
        <v>MGF</v>
      </c>
      <c r="L2717" s="94"/>
      <c r="M2717" s="109">
        <v>45841.453541666669</v>
      </c>
      <c r="N2717" s="109"/>
      <c r="O2717" s="109"/>
      <c r="P2717" s="110" t="str">
        <f ca="1">IF(Proc[[#This Row],[DaysAgeing]]&gt;5,"yep","on track")</f>
        <v>on track</v>
      </c>
      <c r="Q2717" s="3">
        <f ca="1">IF(Proc[[#This Row],[DateClosed]]="",ABS(NETWORKDAYS(Proc[[#This Row],[DateOpened]],TODAY()))-1,ABS(NETWORKDAYS(Proc[[#This Row],[DateOpened]],Proc[[#This Row],[DateClosed]]))-1)</f>
        <v>1</v>
      </c>
      <c r="R2717" s="110" t="s">
        <v>485</v>
      </c>
      <c r="S2717" s="94"/>
    </row>
    <row r="2718" spans="1:19">
      <c r="A2718" s="103" t="s">
        <v>4448</v>
      </c>
      <c r="B2718" s="94" t="str">
        <f>IFERROR(VLOOKUP(Proc[[#This Row],[App]],Table2[],3,0),"open")</f>
        <v>open</v>
      </c>
      <c r="C2718" s="103" t="s">
        <v>404</v>
      </c>
      <c r="D2718" t="s">
        <v>4665</v>
      </c>
      <c r="E2718" t="s">
        <v>4774</v>
      </c>
      <c r="F2718" s="94" t="s">
        <v>4814</v>
      </c>
      <c r="G2718" s="103" t="s">
        <v>406</v>
      </c>
      <c r="H2718" s="94" t="str">
        <f>IF(Proc[[#This Row],[type]]="LFF (MDG-F)",MID(Proc[[#This Row],[Obj]],13,10),"")</f>
        <v>DE20538994</v>
      </c>
      <c r="J2718" s="94" t="b">
        <f>Proc[[#This Row],[Requested]]=Proc[[#This Row],[CurrentParent]]</f>
        <v>0</v>
      </c>
      <c r="K2718" s="94" t="str">
        <f>IF(Proc[[#This Row],[Author]]="Marcela Urrego",VLOOKUP(LEFT(Proc[[#This Row],[Requested]],1),Table3[#All],2,0),VLOOKUP(Proc[[#This Row],[Author]],Table4[],2,0))</f>
        <v>MGF</v>
      </c>
      <c r="L2718" s="94"/>
      <c r="M2718" s="109">
        <v>45841.453541666669</v>
      </c>
      <c r="N2718" s="109"/>
      <c r="O2718" s="109"/>
      <c r="P2718" s="110" t="str">
        <f ca="1">IF(Proc[[#This Row],[DaysAgeing]]&gt;5,"yep","on track")</f>
        <v>on track</v>
      </c>
      <c r="Q2718" s="3">
        <f ca="1">IF(Proc[[#This Row],[DateClosed]]="",ABS(NETWORKDAYS(Proc[[#This Row],[DateOpened]],TODAY()))-1,ABS(NETWORKDAYS(Proc[[#This Row],[DateOpened]],Proc[[#This Row],[DateClosed]]))-1)</f>
        <v>1</v>
      </c>
      <c r="R2718" s="110" t="s">
        <v>485</v>
      </c>
      <c r="S2718" s="94"/>
    </row>
    <row r="2719" spans="1:19">
      <c r="A2719" s="103" t="s">
        <v>4448</v>
      </c>
      <c r="B2719" s="94" t="str">
        <f>IFERROR(VLOOKUP(Proc[[#This Row],[App]],Table2[],3,0),"open")</f>
        <v>open</v>
      </c>
      <c r="C2719" s="103" t="s">
        <v>404</v>
      </c>
      <c r="D2719" t="s">
        <v>4666</v>
      </c>
      <c r="E2719" t="s">
        <v>4774</v>
      </c>
      <c r="F2719" s="94" t="s">
        <v>4814</v>
      </c>
      <c r="G2719" s="103" t="s">
        <v>406</v>
      </c>
      <c r="H2719" s="94" t="str">
        <f>IF(Proc[[#This Row],[type]]="LFF (MDG-F)",MID(Proc[[#This Row],[Obj]],13,10),"")</f>
        <v>DE20539930</v>
      </c>
      <c r="J2719" s="94" t="b">
        <f>Proc[[#This Row],[Requested]]=Proc[[#This Row],[CurrentParent]]</f>
        <v>0</v>
      </c>
      <c r="K2719" s="94" t="str">
        <f>IF(Proc[[#This Row],[Author]]="Marcela Urrego",VLOOKUP(LEFT(Proc[[#This Row],[Requested]],1),Table3[#All],2,0),VLOOKUP(Proc[[#This Row],[Author]],Table4[],2,0))</f>
        <v>MGF</v>
      </c>
      <c r="L2719" s="94"/>
      <c r="M2719" s="109">
        <v>45841.453541666669</v>
      </c>
      <c r="N2719" s="109"/>
      <c r="O2719" s="109"/>
      <c r="P2719" s="110" t="str">
        <f ca="1">IF(Proc[[#This Row],[DaysAgeing]]&gt;5,"yep","on track")</f>
        <v>on track</v>
      </c>
      <c r="Q2719" s="3">
        <f ca="1">IF(Proc[[#This Row],[DateClosed]]="",ABS(NETWORKDAYS(Proc[[#This Row],[DateOpened]],TODAY()))-1,ABS(NETWORKDAYS(Proc[[#This Row],[DateOpened]],Proc[[#This Row],[DateClosed]]))-1)</f>
        <v>1</v>
      </c>
      <c r="R2719" s="110" t="s">
        <v>485</v>
      </c>
      <c r="S2719" s="94"/>
    </row>
    <row r="2720" spans="1:19">
      <c r="A2720" s="103" t="s">
        <v>4448</v>
      </c>
      <c r="B2720" s="94" t="str">
        <f>IFERROR(VLOOKUP(Proc[[#This Row],[App]],Table2[],3,0),"open")</f>
        <v>open</v>
      </c>
      <c r="C2720" s="103" t="s">
        <v>404</v>
      </c>
      <c r="D2720" t="s">
        <v>4667</v>
      </c>
      <c r="E2720" t="s">
        <v>4774</v>
      </c>
      <c r="F2720" s="94" t="s">
        <v>4814</v>
      </c>
      <c r="G2720" s="103" t="s">
        <v>406</v>
      </c>
      <c r="H2720" s="94" t="str">
        <f>IF(Proc[[#This Row],[type]]="LFF (MDG-F)",MID(Proc[[#This Row],[Obj]],13,10),"")</f>
        <v>DE20539931</v>
      </c>
      <c r="J2720" s="94" t="b">
        <f>Proc[[#This Row],[Requested]]=Proc[[#This Row],[CurrentParent]]</f>
        <v>0</v>
      </c>
      <c r="K2720" s="94" t="str">
        <f>IF(Proc[[#This Row],[Author]]="Marcela Urrego",VLOOKUP(LEFT(Proc[[#This Row],[Requested]],1),Table3[#All],2,0),VLOOKUP(Proc[[#This Row],[Author]],Table4[],2,0))</f>
        <v>MGF</v>
      </c>
      <c r="L2720" s="94"/>
      <c r="M2720" s="109">
        <v>45841.453541666669</v>
      </c>
      <c r="N2720" s="109"/>
      <c r="O2720" s="109"/>
      <c r="P2720" s="110" t="str">
        <f ca="1">IF(Proc[[#This Row],[DaysAgeing]]&gt;5,"yep","on track")</f>
        <v>on track</v>
      </c>
      <c r="Q2720" s="3">
        <f ca="1">IF(Proc[[#This Row],[DateClosed]]="",ABS(NETWORKDAYS(Proc[[#This Row],[DateOpened]],TODAY()))-1,ABS(NETWORKDAYS(Proc[[#This Row],[DateOpened]],Proc[[#This Row],[DateClosed]]))-1)</f>
        <v>1</v>
      </c>
      <c r="R2720" s="110" t="s">
        <v>485</v>
      </c>
      <c r="S2720" s="94"/>
    </row>
    <row r="2721" spans="1:19">
      <c r="A2721" s="103" t="s">
        <v>4448</v>
      </c>
      <c r="B2721" s="94" t="str">
        <f>IFERROR(VLOOKUP(Proc[[#This Row],[App]],Table2[],3,0),"open")</f>
        <v>open</v>
      </c>
      <c r="C2721" s="103" t="s">
        <v>404</v>
      </c>
      <c r="D2721" t="s">
        <v>4668</v>
      </c>
      <c r="E2721" t="s">
        <v>4774</v>
      </c>
      <c r="F2721" s="94" t="s">
        <v>4814</v>
      </c>
      <c r="G2721" s="103" t="s">
        <v>406</v>
      </c>
      <c r="H2721" s="94" t="str">
        <f>IF(Proc[[#This Row],[type]]="LFF (MDG-F)",MID(Proc[[#This Row],[Obj]],13,10),"")</f>
        <v>DE20539932</v>
      </c>
      <c r="J2721" s="94" t="b">
        <f>Proc[[#This Row],[Requested]]=Proc[[#This Row],[CurrentParent]]</f>
        <v>0</v>
      </c>
      <c r="K2721" s="94" t="str">
        <f>IF(Proc[[#This Row],[Author]]="Marcela Urrego",VLOOKUP(LEFT(Proc[[#This Row],[Requested]],1),Table3[#All],2,0),VLOOKUP(Proc[[#This Row],[Author]],Table4[],2,0))</f>
        <v>MGF</v>
      </c>
      <c r="L2721" s="94"/>
      <c r="M2721" s="109">
        <v>45841.453541666669</v>
      </c>
      <c r="N2721" s="109"/>
      <c r="O2721" s="109"/>
      <c r="P2721" s="110" t="str">
        <f ca="1">IF(Proc[[#This Row],[DaysAgeing]]&gt;5,"yep","on track")</f>
        <v>on track</v>
      </c>
      <c r="Q2721" s="3">
        <f ca="1">IF(Proc[[#This Row],[DateClosed]]="",ABS(NETWORKDAYS(Proc[[#This Row],[DateOpened]],TODAY()))-1,ABS(NETWORKDAYS(Proc[[#This Row],[DateOpened]],Proc[[#This Row],[DateClosed]]))-1)</f>
        <v>1</v>
      </c>
      <c r="R2721" s="110" t="s">
        <v>485</v>
      </c>
      <c r="S2721" s="94"/>
    </row>
    <row r="2722" spans="1:19">
      <c r="A2722" s="103" t="s">
        <v>4448</v>
      </c>
      <c r="B2722" s="94" t="str">
        <f>IFERROR(VLOOKUP(Proc[[#This Row],[App]],Table2[],3,0),"open")</f>
        <v>open</v>
      </c>
      <c r="C2722" s="103" t="s">
        <v>404</v>
      </c>
      <c r="D2722" t="s">
        <v>4669</v>
      </c>
      <c r="E2722" t="s">
        <v>4774</v>
      </c>
      <c r="F2722" s="94" t="s">
        <v>4814</v>
      </c>
      <c r="G2722" s="103" t="s">
        <v>406</v>
      </c>
      <c r="H2722" s="94" t="str">
        <f>IF(Proc[[#This Row],[type]]="LFF (MDG-F)",MID(Proc[[#This Row],[Obj]],13,10),"")</f>
        <v>DE20539934</v>
      </c>
      <c r="J2722" s="94" t="b">
        <f>Proc[[#This Row],[Requested]]=Proc[[#This Row],[CurrentParent]]</f>
        <v>0</v>
      </c>
      <c r="K2722" s="94" t="str">
        <f>IF(Proc[[#This Row],[Author]]="Marcela Urrego",VLOOKUP(LEFT(Proc[[#This Row],[Requested]],1),Table3[#All],2,0),VLOOKUP(Proc[[#This Row],[Author]],Table4[],2,0))</f>
        <v>MGF</v>
      </c>
      <c r="L2722" s="94"/>
      <c r="M2722" s="109">
        <v>45841.453541666669</v>
      </c>
      <c r="N2722" s="109"/>
      <c r="O2722" s="109"/>
      <c r="P2722" s="110" t="str">
        <f ca="1">IF(Proc[[#This Row],[DaysAgeing]]&gt;5,"yep","on track")</f>
        <v>on track</v>
      </c>
      <c r="Q2722" s="3">
        <f ca="1">IF(Proc[[#This Row],[DateClosed]]="",ABS(NETWORKDAYS(Proc[[#This Row],[DateOpened]],TODAY()))-1,ABS(NETWORKDAYS(Proc[[#This Row],[DateOpened]],Proc[[#This Row],[DateClosed]]))-1)</f>
        <v>1</v>
      </c>
      <c r="R2722" s="110" t="s">
        <v>485</v>
      </c>
      <c r="S2722" s="94"/>
    </row>
    <row r="2723" spans="1:19">
      <c r="A2723" s="103" t="s">
        <v>4448</v>
      </c>
      <c r="B2723" s="94" t="str">
        <f>IFERROR(VLOOKUP(Proc[[#This Row],[App]],Table2[],3,0),"open")</f>
        <v>open</v>
      </c>
      <c r="C2723" s="103" t="s">
        <v>404</v>
      </c>
      <c r="D2723" t="s">
        <v>4670</v>
      </c>
      <c r="E2723" t="s">
        <v>4774</v>
      </c>
      <c r="F2723" s="94" t="s">
        <v>4814</v>
      </c>
      <c r="G2723" s="103" t="s">
        <v>406</v>
      </c>
      <c r="H2723" s="94" t="str">
        <f>IF(Proc[[#This Row],[type]]="LFF (MDG-F)",MID(Proc[[#This Row],[Obj]],13,10),"")</f>
        <v>DE20539935</v>
      </c>
      <c r="J2723" s="94" t="b">
        <f>Proc[[#This Row],[Requested]]=Proc[[#This Row],[CurrentParent]]</f>
        <v>0</v>
      </c>
      <c r="K2723" s="94" t="str">
        <f>IF(Proc[[#This Row],[Author]]="Marcela Urrego",VLOOKUP(LEFT(Proc[[#This Row],[Requested]],1),Table3[#All],2,0),VLOOKUP(Proc[[#This Row],[Author]],Table4[],2,0))</f>
        <v>MGF</v>
      </c>
      <c r="L2723" s="94"/>
      <c r="M2723" s="109">
        <v>45841.453541666669</v>
      </c>
      <c r="N2723" s="109"/>
      <c r="O2723" s="109"/>
      <c r="P2723" s="110" t="str">
        <f ca="1">IF(Proc[[#This Row],[DaysAgeing]]&gt;5,"yep","on track")</f>
        <v>on track</v>
      </c>
      <c r="Q2723" s="3">
        <f ca="1">IF(Proc[[#This Row],[DateClosed]]="",ABS(NETWORKDAYS(Proc[[#This Row],[DateOpened]],TODAY()))-1,ABS(NETWORKDAYS(Proc[[#This Row],[DateOpened]],Proc[[#This Row],[DateClosed]]))-1)</f>
        <v>1</v>
      </c>
      <c r="R2723" s="110" t="s">
        <v>485</v>
      </c>
      <c r="S2723" s="94"/>
    </row>
    <row r="2724" spans="1:19">
      <c r="A2724" s="103" t="s">
        <v>4448</v>
      </c>
      <c r="B2724" s="94" t="str">
        <f>IFERROR(VLOOKUP(Proc[[#This Row],[App]],Table2[],3,0),"open")</f>
        <v>open</v>
      </c>
      <c r="C2724" s="103" t="s">
        <v>404</v>
      </c>
      <c r="D2724" t="s">
        <v>4671</v>
      </c>
      <c r="E2724" t="s">
        <v>4774</v>
      </c>
      <c r="F2724" s="94" t="s">
        <v>4814</v>
      </c>
      <c r="G2724" s="103" t="s">
        <v>406</v>
      </c>
      <c r="H2724" s="94" t="str">
        <f>IF(Proc[[#This Row],[type]]="LFF (MDG-F)",MID(Proc[[#This Row],[Obj]],13,10),"")</f>
        <v>DE20539936</v>
      </c>
      <c r="J2724" s="94" t="b">
        <f>Proc[[#This Row],[Requested]]=Proc[[#This Row],[CurrentParent]]</f>
        <v>0</v>
      </c>
      <c r="K2724" s="94" t="str">
        <f>IF(Proc[[#This Row],[Author]]="Marcela Urrego",VLOOKUP(LEFT(Proc[[#This Row],[Requested]],1),Table3[#All],2,0),VLOOKUP(Proc[[#This Row],[Author]],Table4[],2,0))</f>
        <v>MGF</v>
      </c>
      <c r="L2724" s="94"/>
      <c r="M2724" s="109">
        <v>45841.453541666669</v>
      </c>
      <c r="N2724" s="109"/>
      <c r="O2724" s="109"/>
      <c r="P2724" s="110" t="str">
        <f ca="1">IF(Proc[[#This Row],[DaysAgeing]]&gt;5,"yep","on track")</f>
        <v>on track</v>
      </c>
      <c r="Q2724" s="3">
        <f ca="1">IF(Proc[[#This Row],[DateClosed]]="",ABS(NETWORKDAYS(Proc[[#This Row],[DateOpened]],TODAY()))-1,ABS(NETWORKDAYS(Proc[[#This Row],[DateOpened]],Proc[[#This Row],[DateClosed]]))-1)</f>
        <v>1</v>
      </c>
      <c r="R2724" s="110" t="s">
        <v>485</v>
      </c>
      <c r="S2724" s="94"/>
    </row>
    <row r="2725" spans="1:19">
      <c r="A2725" s="103" t="s">
        <v>4448</v>
      </c>
      <c r="B2725" s="94" t="str">
        <f>IFERROR(VLOOKUP(Proc[[#This Row],[App]],Table2[],3,0),"open")</f>
        <v>open</v>
      </c>
      <c r="C2725" s="103" t="s">
        <v>404</v>
      </c>
      <c r="D2725" t="s">
        <v>4672</v>
      </c>
      <c r="E2725" t="s">
        <v>4774</v>
      </c>
      <c r="F2725" s="94" t="s">
        <v>4814</v>
      </c>
      <c r="G2725" s="103" t="s">
        <v>406</v>
      </c>
      <c r="H2725" s="94" t="str">
        <f>IF(Proc[[#This Row],[type]]="LFF (MDG-F)",MID(Proc[[#This Row],[Obj]],13,10),"")</f>
        <v>DE20539937</v>
      </c>
      <c r="J2725" s="94" t="b">
        <f>Proc[[#This Row],[Requested]]=Proc[[#This Row],[CurrentParent]]</f>
        <v>0</v>
      </c>
      <c r="K2725" s="94" t="str">
        <f>IF(Proc[[#This Row],[Author]]="Marcela Urrego",VLOOKUP(LEFT(Proc[[#This Row],[Requested]],1),Table3[#All],2,0),VLOOKUP(Proc[[#This Row],[Author]],Table4[],2,0))</f>
        <v>MGF</v>
      </c>
      <c r="L2725" s="94"/>
      <c r="M2725" s="109">
        <v>45841.453541666669</v>
      </c>
      <c r="N2725" s="109"/>
      <c r="O2725" s="109"/>
      <c r="P2725" s="110" t="str">
        <f ca="1">IF(Proc[[#This Row],[DaysAgeing]]&gt;5,"yep","on track")</f>
        <v>on track</v>
      </c>
      <c r="Q2725" s="3">
        <f ca="1">IF(Proc[[#This Row],[DateClosed]]="",ABS(NETWORKDAYS(Proc[[#This Row],[DateOpened]],TODAY()))-1,ABS(NETWORKDAYS(Proc[[#This Row],[DateOpened]],Proc[[#This Row],[DateClosed]]))-1)</f>
        <v>1</v>
      </c>
      <c r="R2725" s="110" t="s">
        <v>485</v>
      </c>
      <c r="S2725" s="94"/>
    </row>
    <row r="2726" spans="1:19">
      <c r="A2726" s="103" t="s">
        <v>4448</v>
      </c>
      <c r="B2726" s="94" t="str">
        <f>IFERROR(VLOOKUP(Proc[[#This Row],[App]],Table2[],3,0),"open")</f>
        <v>open</v>
      </c>
      <c r="C2726" s="103" t="s">
        <v>404</v>
      </c>
      <c r="D2726" t="s">
        <v>4673</v>
      </c>
      <c r="E2726" t="s">
        <v>4774</v>
      </c>
      <c r="F2726" s="94" t="s">
        <v>4814</v>
      </c>
      <c r="G2726" s="103" t="s">
        <v>406</v>
      </c>
      <c r="H2726" s="94" t="str">
        <f>IF(Proc[[#This Row],[type]]="LFF (MDG-F)",MID(Proc[[#This Row],[Obj]],13,10),"")</f>
        <v>DE20539938</v>
      </c>
      <c r="J2726" s="94" t="b">
        <f>Proc[[#This Row],[Requested]]=Proc[[#This Row],[CurrentParent]]</f>
        <v>0</v>
      </c>
      <c r="K2726" s="94" t="str">
        <f>IF(Proc[[#This Row],[Author]]="Marcela Urrego",VLOOKUP(LEFT(Proc[[#This Row],[Requested]],1),Table3[#All],2,0),VLOOKUP(Proc[[#This Row],[Author]],Table4[],2,0))</f>
        <v>MGF</v>
      </c>
      <c r="L2726" s="94"/>
      <c r="M2726" s="109">
        <v>45841.453541666669</v>
      </c>
      <c r="N2726" s="109"/>
      <c r="O2726" s="109"/>
      <c r="P2726" s="110" t="str">
        <f ca="1">IF(Proc[[#This Row],[DaysAgeing]]&gt;5,"yep","on track")</f>
        <v>on track</v>
      </c>
      <c r="Q2726" s="3">
        <f ca="1">IF(Proc[[#This Row],[DateClosed]]="",ABS(NETWORKDAYS(Proc[[#This Row],[DateOpened]],TODAY()))-1,ABS(NETWORKDAYS(Proc[[#This Row],[DateOpened]],Proc[[#This Row],[DateClosed]]))-1)</f>
        <v>1</v>
      </c>
      <c r="R2726" s="110" t="s">
        <v>485</v>
      </c>
      <c r="S2726" s="94"/>
    </row>
    <row r="2727" spans="1:19">
      <c r="A2727" s="103" t="s">
        <v>4448</v>
      </c>
      <c r="B2727" s="94" t="str">
        <f>IFERROR(VLOOKUP(Proc[[#This Row],[App]],Table2[],3,0),"open")</f>
        <v>open</v>
      </c>
      <c r="C2727" s="103" t="s">
        <v>404</v>
      </c>
      <c r="D2727" t="s">
        <v>4674</v>
      </c>
      <c r="E2727" t="s">
        <v>4774</v>
      </c>
      <c r="F2727" s="94" t="s">
        <v>4814</v>
      </c>
      <c r="G2727" s="103" t="s">
        <v>406</v>
      </c>
      <c r="H2727" s="94" t="str">
        <f>IF(Proc[[#This Row],[type]]="LFF (MDG-F)",MID(Proc[[#This Row],[Obj]],13,10),"")</f>
        <v>DE20539939</v>
      </c>
      <c r="J2727" s="94" t="b">
        <f>Proc[[#This Row],[Requested]]=Proc[[#This Row],[CurrentParent]]</f>
        <v>0</v>
      </c>
      <c r="K2727" s="94" t="str">
        <f>IF(Proc[[#This Row],[Author]]="Marcela Urrego",VLOOKUP(LEFT(Proc[[#This Row],[Requested]],1),Table3[#All],2,0),VLOOKUP(Proc[[#This Row],[Author]],Table4[],2,0))</f>
        <v>MGF</v>
      </c>
      <c r="L2727" s="94"/>
      <c r="M2727" s="109">
        <v>45841.453541666669</v>
      </c>
      <c r="N2727" s="109"/>
      <c r="O2727" s="109"/>
      <c r="P2727" s="110" t="str">
        <f ca="1">IF(Proc[[#This Row],[DaysAgeing]]&gt;5,"yep","on track")</f>
        <v>on track</v>
      </c>
      <c r="Q2727" s="3">
        <f ca="1">IF(Proc[[#This Row],[DateClosed]]="",ABS(NETWORKDAYS(Proc[[#This Row],[DateOpened]],TODAY()))-1,ABS(NETWORKDAYS(Proc[[#This Row],[DateOpened]],Proc[[#This Row],[DateClosed]]))-1)</f>
        <v>1</v>
      </c>
      <c r="R2727" s="110" t="s">
        <v>485</v>
      </c>
      <c r="S2727" s="94"/>
    </row>
    <row r="2728" spans="1:19">
      <c r="A2728" s="103" t="s">
        <v>4448</v>
      </c>
      <c r="B2728" s="94" t="str">
        <f>IFERROR(VLOOKUP(Proc[[#This Row],[App]],Table2[],3,0),"open")</f>
        <v>open</v>
      </c>
      <c r="C2728" s="103" t="s">
        <v>404</v>
      </c>
      <c r="D2728" t="s">
        <v>4675</v>
      </c>
      <c r="E2728" t="s">
        <v>4774</v>
      </c>
      <c r="F2728" s="94" t="s">
        <v>4814</v>
      </c>
      <c r="G2728" s="103" t="s">
        <v>406</v>
      </c>
      <c r="H2728" s="94" t="str">
        <f>IF(Proc[[#This Row],[type]]="LFF (MDG-F)",MID(Proc[[#This Row],[Obj]],13,10),"")</f>
        <v>DE20539940</v>
      </c>
      <c r="J2728" s="94" t="b">
        <f>Proc[[#This Row],[Requested]]=Proc[[#This Row],[CurrentParent]]</f>
        <v>0</v>
      </c>
      <c r="K2728" s="94" t="str">
        <f>IF(Proc[[#This Row],[Author]]="Marcela Urrego",VLOOKUP(LEFT(Proc[[#This Row],[Requested]],1),Table3[#All],2,0),VLOOKUP(Proc[[#This Row],[Author]],Table4[],2,0))</f>
        <v>MGF</v>
      </c>
      <c r="L2728" s="94"/>
      <c r="M2728" s="109">
        <v>45841.453541666669</v>
      </c>
      <c r="N2728" s="109"/>
      <c r="O2728" s="109"/>
      <c r="P2728" s="110" t="str">
        <f ca="1">IF(Proc[[#This Row],[DaysAgeing]]&gt;5,"yep","on track")</f>
        <v>on track</v>
      </c>
      <c r="Q2728" s="3">
        <f ca="1">IF(Proc[[#This Row],[DateClosed]]="",ABS(NETWORKDAYS(Proc[[#This Row],[DateOpened]],TODAY()))-1,ABS(NETWORKDAYS(Proc[[#This Row],[DateOpened]],Proc[[#This Row],[DateClosed]]))-1)</f>
        <v>1</v>
      </c>
      <c r="R2728" s="110" t="s">
        <v>485</v>
      </c>
      <c r="S2728" s="94"/>
    </row>
    <row r="2729" spans="1:19">
      <c r="A2729" s="103" t="s">
        <v>4448</v>
      </c>
      <c r="B2729" s="94" t="str">
        <f>IFERROR(VLOOKUP(Proc[[#This Row],[App]],Table2[],3,0),"open")</f>
        <v>open</v>
      </c>
      <c r="C2729" s="103" t="s">
        <v>404</v>
      </c>
      <c r="D2729" t="s">
        <v>4676</v>
      </c>
      <c r="E2729" t="s">
        <v>4774</v>
      </c>
      <c r="F2729" s="94" t="s">
        <v>4814</v>
      </c>
      <c r="G2729" s="103" t="s">
        <v>406</v>
      </c>
      <c r="H2729" s="94" t="str">
        <f>IF(Proc[[#This Row],[type]]="LFF (MDG-F)",MID(Proc[[#This Row],[Obj]],13,10),"")</f>
        <v>DE20539941</v>
      </c>
      <c r="J2729" s="94" t="b">
        <f>Proc[[#This Row],[Requested]]=Proc[[#This Row],[CurrentParent]]</f>
        <v>0</v>
      </c>
      <c r="K2729" s="94" t="str">
        <f>IF(Proc[[#This Row],[Author]]="Marcela Urrego",VLOOKUP(LEFT(Proc[[#This Row],[Requested]],1),Table3[#All],2,0),VLOOKUP(Proc[[#This Row],[Author]],Table4[],2,0))</f>
        <v>MGF</v>
      </c>
      <c r="L2729" s="94"/>
      <c r="M2729" s="109">
        <v>45841.453541666669</v>
      </c>
      <c r="N2729" s="109"/>
      <c r="O2729" s="109"/>
      <c r="P2729" s="110" t="str">
        <f ca="1">IF(Proc[[#This Row],[DaysAgeing]]&gt;5,"yep","on track")</f>
        <v>on track</v>
      </c>
      <c r="Q2729" s="3">
        <f ca="1">IF(Proc[[#This Row],[DateClosed]]="",ABS(NETWORKDAYS(Proc[[#This Row],[DateOpened]],TODAY()))-1,ABS(NETWORKDAYS(Proc[[#This Row],[DateOpened]],Proc[[#This Row],[DateClosed]]))-1)</f>
        <v>1</v>
      </c>
      <c r="R2729" s="110" t="s">
        <v>485</v>
      </c>
      <c r="S2729" s="94"/>
    </row>
    <row r="2730" spans="1:19">
      <c r="A2730" s="103" t="s">
        <v>4448</v>
      </c>
      <c r="B2730" s="94" t="str">
        <f>IFERROR(VLOOKUP(Proc[[#This Row],[App]],Table2[],3,0),"open")</f>
        <v>open</v>
      </c>
      <c r="C2730" s="103" t="s">
        <v>404</v>
      </c>
      <c r="D2730" t="s">
        <v>4677</v>
      </c>
      <c r="E2730" t="s">
        <v>4774</v>
      </c>
      <c r="F2730" s="94" t="s">
        <v>4814</v>
      </c>
      <c r="G2730" s="103" t="s">
        <v>406</v>
      </c>
      <c r="H2730" s="94" t="str">
        <f>IF(Proc[[#This Row],[type]]="LFF (MDG-F)",MID(Proc[[#This Row],[Obj]],13,10),"")</f>
        <v>DE20539942</v>
      </c>
      <c r="J2730" s="94" t="b">
        <f>Proc[[#This Row],[Requested]]=Proc[[#This Row],[CurrentParent]]</f>
        <v>0</v>
      </c>
      <c r="K2730" s="94" t="str">
        <f>IF(Proc[[#This Row],[Author]]="Marcela Urrego",VLOOKUP(LEFT(Proc[[#This Row],[Requested]],1),Table3[#All],2,0),VLOOKUP(Proc[[#This Row],[Author]],Table4[],2,0))</f>
        <v>MGF</v>
      </c>
      <c r="L2730" s="94"/>
      <c r="M2730" s="109">
        <v>45841.453541666669</v>
      </c>
      <c r="N2730" s="109"/>
      <c r="O2730" s="109"/>
      <c r="P2730" s="110" t="str">
        <f ca="1">IF(Proc[[#This Row],[DaysAgeing]]&gt;5,"yep","on track")</f>
        <v>on track</v>
      </c>
      <c r="Q2730" s="3">
        <f ca="1">IF(Proc[[#This Row],[DateClosed]]="",ABS(NETWORKDAYS(Proc[[#This Row],[DateOpened]],TODAY()))-1,ABS(NETWORKDAYS(Proc[[#This Row],[DateOpened]],Proc[[#This Row],[DateClosed]]))-1)</f>
        <v>1</v>
      </c>
      <c r="R2730" s="110" t="s">
        <v>485</v>
      </c>
      <c r="S2730" s="94"/>
    </row>
    <row r="2731" spans="1:19">
      <c r="A2731" s="103" t="s">
        <v>4448</v>
      </c>
      <c r="B2731" s="94" t="str">
        <f>IFERROR(VLOOKUP(Proc[[#This Row],[App]],Table2[],3,0),"open")</f>
        <v>open</v>
      </c>
      <c r="C2731" s="103" t="s">
        <v>404</v>
      </c>
      <c r="D2731" t="s">
        <v>4678</v>
      </c>
      <c r="E2731" t="s">
        <v>4774</v>
      </c>
      <c r="F2731" s="94" t="s">
        <v>4814</v>
      </c>
      <c r="G2731" s="103" t="s">
        <v>406</v>
      </c>
      <c r="H2731" s="94" t="str">
        <f>IF(Proc[[#This Row],[type]]="LFF (MDG-F)",MID(Proc[[#This Row],[Obj]],13,10),"")</f>
        <v>DE20539943</v>
      </c>
      <c r="J2731" s="94" t="b">
        <f>Proc[[#This Row],[Requested]]=Proc[[#This Row],[CurrentParent]]</f>
        <v>0</v>
      </c>
      <c r="K2731" s="94" t="str">
        <f>IF(Proc[[#This Row],[Author]]="Marcela Urrego",VLOOKUP(LEFT(Proc[[#This Row],[Requested]],1),Table3[#All],2,0),VLOOKUP(Proc[[#This Row],[Author]],Table4[],2,0))</f>
        <v>MGF</v>
      </c>
      <c r="L2731" s="94"/>
      <c r="M2731" s="109">
        <v>45841.453541666669</v>
      </c>
      <c r="N2731" s="109"/>
      <c r="O2731" s="109"/>
      <c r="P2731" s="110" t="str">
        <f ca="1">IF(Proc[[#This Row],[DaysAgeing]]&gt;5,"yep","on track")</f>
        <v>on track</v>
      </c>
      <c r="Q2731" s="3">
        <f ca="1">IF(Proc[[#This Row],[DateClosed]]="",ABS(NETWORKDAYS(Proc[[#This Row],[DateOpened]],TODAY()))-1,ABS(NETWORKDAYS(Proc[[#This Row],[DateOpened]],Proc[[#This Row],[DateClosed]]))-1)</f>
        <v>1</v>
      </c>
      <c r="R2731" s="110" t="s">
        <v>485</v>
      </c>
      <c r="S2731" s="94"/>
    </row>
    <row r="2732" spans="1:19">
      <c r="A2732" s="103" t="s">
        <v>4448</v>
      </c>
      <c r="B2732" s="94" t="str">
        <f>IFERROR(VLOOKUP(Proc[[#This Row],[App]],Table2[],3,0),"open")</f>
        <v>open</v>
      </c>
      <c r="C2732" s="103" t="s">
        <v>404</v>
      </c>
      <c r="D2732" t="s">
        <v>4679</v>
      </c>
      <c r="E2732" t="s">
        <v>4774</v>
      </c>
      <c r="F2732" s="94" t="s">
        <v>4814</v>
      </c>
      <c r="G2732" s="103" t="s">
        <v>406</v>
      </c>
      <c r="H2732" s="94" t="str">
        <f>IF(Proc[[#This Row],[type]]="LFF (MDG-F)",MID(Proc[[#This Row],[Obj]],13,10),"")</f>
        <v>DE20539944</v>
      </c>
      <c r="J2732" s="94" t="b">
        <f>Proc[[#This Row],[Requested]]=Proc[[#This Row],[CurrentParent]]</f>
        <v>0</v>
      </c>
      <c r="K2732" s="94" t="str">
        <f>IF(Proc[[#This Row],[Author]]="Marcela Urrego",VLOOKUP(LEFT(Proc[[#This Row],[Requested]],1),Table3[#All],2,0),VLOOKUP(Proc[[#This Row],[Author]],Table4[],2,0))</f>
        <v>MGF</v>
      </c>
      <c r="L2732" s="94"/>
      <c r="M2732" s="109">
        <v>45841.453541666669</v>
      </c>
      <c r="N2732" s="109"/>
      <c r="O2732" s="109"/>
      <c r="P2732" s="110" t="str">
        <f ca="1">IF(Proc[[#This Row],[DaysAgeing]]&gt;5,"yep","on track")</f>
        <v>on track</v>
      </c>
      <c r="Q2732" s="3">
        <f ca="1">IF(Proc[[#This Row],[DateClosed]]="",ABS(NETWORKDAYS(Proc[[#This Row],[DateOpened]],TODAY()))-1,ABS(NETWORKDAYS(Proc[[#This Row],[DateOpened]],Proc[[#This Row],[DateClosed]]))-1)</f>
        <v>1</v>
      </c>
      <c r="R2732" s="110" t="s">
        <v>485</v>
      </c>
      <c r="S2732" s="94"/>
    </row>
    <row r="2733" spans="1:19">
      <c r="A2733" s="103" t="s">
        <v>4448</v>
      </c>
      <c r="B2733" s="94" t="str">
        <f>IFERROR(VLOOKUP(Proc[[#This Row],[App]],Table2[],3,0),"open")</f>
        <v>open</v>
      </c>
      <c r="C2733" s="103" t="s">
        <v>404</v>
      </c>
      <c r="D2733" t="s">
        <v>4680</v>
      </c>
      <c r="E2733" t="s">
        <v>4774</v>
      </c>
      <c r="F2733" s="94" t="s">
        <v>4814</v>
      </c>
      <c r="G2733" s="103" t="s">
        <v>406</v>
      </c>
      <c r="H2733" s="94" t="str">
        <f>IF(Proc[[#This Row],[type]]="LFF (MDG-F)",MID(Proc[[#This Row],[Obj]],13,10),"")</f>
        <v>DE20539995</v>
      </c>
      <c r="J2733" s="94" t="b">
        <f>Proc[[#This Row],[Requested]]=Proc[[#This Row],[CurrentParent]]</f>
        <v>0</v>
      </c>
      <c r="K2733" s="94" t="str">
        <f>IF(Proc[[#This Row],[Author]]="Marcela Urrego",VLOOKUP(LEFT(Proc[[#This Row],[Requested]],1),Table3[#All],2,0),VLOOKUP(Proc[[#This Row],[Author]],Table4[],2,0))</f>
        <v>MGF</v>
      </c>
      <c r="L2733" s="94"/>
      <c r="M2733" s="109">
        <v>45841.453541666669</v>
      </c>
      <c r="N2733" s="109"/>
      <c r="O2733" s="109"/>
      <c r="P2733" s="110" t="str">
        <f ca="1">IF(Proc[[#This Row],[DaysAgeing]]&gt;5,"yep","on track")</f>
        <v>on track</v>
      </c>
      <c r="Q2733" s="3">
        <f ca="1">IF(Proc[[#This Row],[DateClosed]]="",ABS(NETWORKDAYS(Proc[[#This Row],[DateOpened]],TODAY()))-1,ABS(NETWORKDAYS(Proc[[#This Row],[DateOpened]],Proc[[#This Row],[DateClosed]]))-1)</f>
        <v>1</v>
      </c>
      <c r="R2733" s="110" t="s">
        <v>485</v>
      </c>
      <c r="S2733" s="94"/>
    </row>
    <row r="2734" spans="1:19">
      <c r="A2734" s="103" t="s">
        <v>4448</v>
      </c>
      <c r="B2734" s="94" t="str">
        <f>IFERROR(VLOOKUP(Proc[[#This Row],[App]],Table2[],3,0),"open")</f>
        <v>open</v>
      </c>
      <c r="C2734" s="103" t="s">
        <v>404</v>
      </c>
      <c r="D2734" t="s">
        <v>4681</v>
      </c>
      <c r="E2734" t="s">
        <v>4776</v>
      </c>
      <c r="F2734" s="94" t="s">
        <v>4816</v>
      </c>
      <c r="G2734" s="103" t="s">
        <v>406</v>
      </c>
      <c r="H2734" s="94" t="str">
        <f>IF(Proc[[#This Row],[type]]="LFF (MDG-F)",MID(Proc[[#This Row],[Obj]],13,10),"")</f>
        <v>DE20538103</v>
      </c>
      <c r="J2734" s="94" t="b">
        <f>Proc[[#This Row],[Requested]]=Proc[[#This Row],[CurrentParent]]</f>
        <v>0</v>
      </c>
      <c r="K2734" s="94" t="str">
        <f>IF(Proc[[#This Row],[Author]]="Marcela Urrego",VLOOKUP(LEFT(Proc[[#This Row],[Requested]],1),Table3[#All],2,0),VLOOKUP(Proc[[#This Row],[Author]],Table4[],2,0))</f>
        <v>MGF</v>
      </c>
      <c r="L2734" s="94"/>
      <c r="M2734" s="109">
        <v>45841.453541666669</v>
      </c>
      <c r="N2734" s="109"/>
      <c r="O2734" s="109"/>
      <c r="P2734" s="110" t="str">
        <f ca="1">IF(Proc[[#This Row],[DaysAgeing]]&gt;5,"yep","on track")</f>
        <v>on track</v>
      </c>
      <c r="Q2734" s="3">
        <f ca="1">IF(Proc[[#This Row],[DateClosed]]="",ABS(NETWORKDAYS(Proc[[#This Row],[DateOpened]],TODAY()))-1,ABS(NETWORKDAYS(Proc[[#This Row],[DateOpened]],Proc[[#This Row],[DateClosed]]))-1)</f>
        <v>1</v>
      </c>
      <c r="R2734" s="110" t="s">
        <v>485</v>
      </c>
      <c r="S2734" s="94"/>
    </row>
    <row r="2735" spans="1:19">
      <c r="A2735" s="103" t="s">
        <v>4448</v>
      </c>
      <c r="B2735" s="94" t="str">
        <f>IFERROR(VLOOKUP(Proc[[#This Row],[App]],Table2[],3,0),"open")</f>
        <v>open</v>
      </c>
      <c r="C2735" s="103" t="s">
        <v>404</v>
      </c>
      <c r="D2735" t="s">
        <v>4682</v>
      </c>
      <c r="E2735" t="s">
        <v>4777</v>
      </c>
      <c r="F2735" s="94" t="s">
        <v>4817</v>
      </c>
      <c r="G2735" s="103" t="s">
        <v>406</v>
      </c>
      <c r="H2735" s="94" t="str">
        <f>IF(Proc[[#This Row],[type]]="LFF (MDG-F)",MID(Proc[[#This Row],[Obj]],13,10),"")</f>
        <v>DE20538108</v>
      </c>
      <c r="J2735" s="94" t="b">
        <f>Proc[[#This Row],[Requested]]=Proc[[#This Row],[CurrentParent]]</f>
        <v>0</v>
      </c>
      <c r="K2735" s="94" t="str">
        <f>IF(Proc[[#This Row],[Author]]="Marcela Urrego",VLOOKUP(LEFT(Proc[[#This Row],[Requested]],1),Table3[#All],2,0),VLOOKUP(Proc[[#This Row],[Author]],Table4[],2,0))</f>
        <v>MGF</v>
      </c>
      <c r="L2735" s="94"/>
      <c r="M2735" s="109">
        <v>45841.453541666669</v>
      </c>
      <c r="N2735" s="109"/>
      <c r="O2735" s="109"/>
      <c r="P2735" s="110" t="str">
        <f ca="1">IF(Proc[[#This Row],[DaysAgeing]]&gt;5,"yep","on track")</f>
        <v>on track</v>
      </c>
      <c r="Q2735" s="3">
        <f ca="1">IF(Proc[[#This Row],[DateClosed]]="",ABS(NETWORKDAYS(Proc[[#This Row],[DateOpened]],TODAY()))-1,ABS(NETWORKDAYS(Proc[[#This Row],[DateOpened]],Proc[[#This Row],[DateClosed]]))-1)</f>
        <v>1</v>
      </c>
      <c r="R2735" s="110" t="s">
        <v>485</v>
      </c>
      <c r="S2735" s="94"/>
    </row>
    <row r="2736" spans="1:19">
      <c r="A2736" s="103" t="s">
        <v>4448</v>
      </c>
      <c r="B2736" s="94" t="str">
        <f>IFERROR(VLOOKUP(Proc[[#This Row],[App]],Table2[],3,0),"open")</f>
        <v>open</v>
      </c>
      <c r="C2736" s="103" t="s">
        <v>404</v>
      </c>
      <c r="D2736" t="s">
        <v>4683</v>
      </c>
      <c r="E2736" t="s">
        <v>4776</v>
      </c>
      <c r="F2736" s="94" t="s">
        <v>4818</v>
      </c>
      <c r="G2736" s="103" t="s">
        <v>406</v>
      </c>
      <c r="H2736" s="94" t="str">
        <f>IF(Proc[[#This Row],[type]]="LFF (MDG-F)",MID(Proc[[#This Row],[Obj]],13,10),"")</f>
        <v>DE20538110</v>
      </c>
      <c r="J2736" s="94" t="b">
        <f>Proc[[#This Row],[Requested]]=Proc[[#This Row],[CurrentParent]]</f>
        <v>0</v>
      </c>
      <c r="K2736" s="94" t="str">
        <f>IF(Proc[[#This Row],[Author]]="Marcela Urrego",VLOOKUP(LEFT(Proc[[#This Row],[Requested]],1),Table3[#All],2,0),VLOOKUP(Proc[[#This Row],[Author]],Table4[],2,0))</f>
        <v>MGF</v>
      </c>
      <c r="L2736" s="94"/>
      <c r="M2736" s="109">
        <v>45841.453541666669</v>
      </c>
      <c r="N2736" s="109"/>
      <c r="O2736" s="109"/>
      <c r="P2736" s="110" t="str">
        <f ca="1">IF(Proc[[#This Row],[DaysAgeing]]&gt;5,"yep","on track")</f>
        <v>on track</v>
      </c>
      <c r="Q2736" s="3">
        <f ca="1">IF(Proc[[#This Row],[DateClosed]]="",ABS(NETWORKDAYS(Proc[[#This Row],[DateOpened]],TODAY()))-1,ABS(NETWORKDAYS(Proc[[#This Row],[DateOpened]],Proc[[#This Row],[DateClosed]]))-1)</f>
        <v>1</v>
      </c>
      <c r="R2736" s="110" t="s">
        <v>485</v>
      </c>
      <c r="S2736" s="94"/>
    </row>
    <row r="2737" spans="1:19">
      <c r="A2737" s="103" t="s">
        <v>4448</v>
      </c>
      <c r="B2737" s="94" t="str">
        <f>IFERROR(VLOOKUP(Proc[[#This Row],[App]],Table2[],3,0),"open")</f>
        <v>open</v>
      </c>
      <c r="C2737" s="103" t="s">
        <v>404</v>
      </c>
      <c r="D2737" t="s">
        <v>4684</v>
      </c>
      <c r="E2737" t="s">
        <v>4778</v>
      </c>
      <c r="F2737" s="94" t="s">
        <v>4819</v>
      </c>
      <c r="G2737" s="103" t="s">
        <v>406</v>
      </c>
      <c r="H2737" s="94" t="str">
        <f>IF(Proc[[#This Row],[type]]="LFF (MDG-F)",MID(Proc[[#This Row],[Obj]],13,10),"")</f>
        <v>DE20538111</v>
      </c>
      <c r="J2737" s="94" t="b">
        <f>Proc[[#This Row],[Requested]]=Proc[[#This Row],[CurrentParent]]</f>
        <v>0</v>
      </c>
      <c r="K2737" s="94" t="str">
        <f>IF(Proc[[#This Row],[Author]]="Marcela Urrego",VLOOKUP(LEFT(Proc[[#This Row],[Requested]],1),Table3[#All],2,0),VLOOKUP(Proc[[#This Row],[Author]],Table4[],2,0))</f>
        <v>MGF</v>
      </c>
      <c r="L2737" s="94"/>
      <c r="M2737" s="109">
        <v>45841.453541666669</v>
      </c>
      <c r="N2737" s="109"/>
      <c r="O2737" s="109"/>
      <c r="P2737" s="110" t="str">
        <f ca="1">IF(Proc[[#This Row],[DaysAgeing]]&gt;5,"yep","on track")</f>
        <v>on track</v>
      </c>
      <c r="Q2737" s="3">
        <f ca="1">IF(Proc[[#This Row],[DateClosed]]="",ABS(NETWORKDAYS(Proc[[#This Row],[DateOpened]],TODAY()))-1,ABS(NETWORKDAYS(Proc[[#This Row],[DateOpened]],Proc[[#This Row],[DateClosed]]))-1)</f>
        <v>1</v>
      </c>
      <c r="R2737" s="110" t="s">
        <v>485</v>
      </c>
      <c r="S2737" s="94"/>
    </row>
    <row r="2738" spans="1:19">
      <c r="A2738" s="103" t="s">
        <v>4448</v>
      </c>
      <c r="B2738" s="94" t="str">
        <f>IFERROR(VLOOKUP(Proc[[#This Row],[App]],Table2[],3,0),"open")</f>
        <v>open</v>
      </c>
      <c r="C2738" s="103" t="s">
        <v>404</v>
      </c>
      <c r="D2738" t="s">
        <v>4685</v>
      </c>
      <c r="E2738" t="s">
        <v>4776</v>
      </c>
      <c r="F2738" s="94" t="s">
        <v>4819</v>
      </c>
      <c r="G2738" s="103" t="s">
        <v>406</v>
      </c>
      <c r="H2738" s="94" t="str">
        <f>IF(Proc[[#This Row],[type]]="LFF (MDG-F)",MID(Proc[[#This Row],[Obj]],13,10),"")</f>
        <v>DE20538112</v>
      </c>
      <c r="J2738" s="94" t="b">
        <f>Proc[[#This Row],[Requested]]=Proc[[#This Row],[CurrentParent]]</f>
        <v>0</v>
      </c>
      <c r="K2738" s="94" t="str">
        <f>IF(Proc[[#This Row],[Author]]="Marcela Urrego",VLOOKUP(LEFT(Proc[[#This Row],[Requested]],1),Table3[#All],2,0),VLOOKUP(Proc[[#This Row],[Author]],Table4[],2,0))</f>
        <v>MGF</v>
      </c>
      <c r="L2738" s="94"/>
      <c r="M2738" s="109">
        <v>45841.453541666669</v>
      </c>
      <c r="N2738" s="109"/>
      <c r="O2738" s="109"/>
      <c r="P2738" s="110" t="str">
        <f ca="1">IF(Proc[[#This Row],[DaysAgeing]]&gt;5,"yep","on track")</f>
        <v>on track</v>
      </c>
      <c r="Q2738" s="3">
        <f ca="1">IF(Proc[[#This Row],[DateClosed]]="",ABS(NETWORKDAYS(Proc[[#This Row],[DateOpened]],TODAY()))-1,ABS(NETWORKDAYS(Proc[[#This Row],[DateOpened]],Proc[[#This Row],[DateClosed]]))-1)</f>
        <v>1</v>
      </c>
      <c r="R2738" s="110" t="s">
        <v>485</v>
      </c>
      <c r="S2738" s="94"/>
    </row>
    <row r="2739" spans="1:19">
      <c r="A2739" s="103" t="s">
        <v>4448</v>
      </c>
      <c r="B2739" s="94" t="str">
        <f>IFERROR(VLOOKUP(Proc[[#This Row],[App]],Table2[],3,0),"open")</f>
        <v>open</v>
      </c>
      <c r="C2739" s="103" t="s">
        <v>404</v>
      </c>
      <c r="D2739" t="s">
        <v>4686</v>
      </c>
      <c r="E2739" t="s">
        <v>4776</v>
      </c>
      <c r="F2739" s="94" t="s">
        <v>4819</v>
      </c>
      <c r="G2739" s="103" t="s">
        <v>406</v>
      </c>
      <c r="H2739" s="94" t="str">
        <f>IF(Proc[[#This Row],[type]]="LFF (MDG-F)",MID(Proc[[#This Row],[Obj]],13,10),"")</f>
        <v>DE20538113</v>
      </c>
      <c r="J2739" s="94" t="b">
        <f>Proc[[#This Row],[Requested]]=Proc[[#This Row],[CurrentParent]]</f>
        <v>0</v>
      </c>
      <c r="K2739" s="94" t="str">
        <f>IF(Proc[[#This Row],[Author]]="Marcela Urrego",VLOOKUP(LEFT(Proc[[#This Row],[Requested]],1),Table3[#All],2,0),VLOOKUP(Proc[[#This Row],[Author]],Table4[],2,0))</f>
        <v>MGF</v>
      </c>
      <c r="L2739" s="94"/>
      <c r="M2739" s="109">
        <v>45841.453541666669</v>
      </c>
      <c r="N2739" s="109"/>
      <c r="O2739" s="109"/>
      <c r="P2739" s="110" t="str">
        <f ca="1">IF(Proc[[#This Row],[DaysAgeing]]&gt;5,"yep","on track")</f>
        <v>on track</v>
      </c>
      <c r="Q2739" s="3">
        <f ca="1">IF(Proc[[#This Row],[DateClosed]]="",ABS(NETWORKDAYS(Proc[[#This Row],[DateOpened]],TODAY()))-1,ABS(NETWORKDAYS(Proc[[#This Row],[DateOpened]],Proc[[#This Row],[DateClosed]]))-1)</f>
        <v>1</v>
      </c>
      <c r="R2739" s="110" t="s">
        <v>485</v>
      </c>
      <c r="S2739" s="94"/>
    </row>
    <row r="2740" spans="1:19">
      <c r="A2740" s="103" t="s">
        <v>4448</v>
      </c>
      <c r="B2740" s="94" t="str">
        <f>IFERROR(VLOOKUP(Proc[[#This Row],[App]],Table2[],3,0),"open")</f>
        <v>open</v>
      </c>
      <c r="C2740" s="103" t="s">
        <v>404</v>
      </c>
      <c r="D2740" t="s">
        <v>4687</v>
      </c>
      <c r="E2740" t="s">
        <v>4776</v>
      </c>
      <c r="F2740" s="94" t="s">
        <v>4820</v>
      </c>
      <c r="G2740" s="103" t="s">
        <v>406</v>
      </c>
      <c r="H2740" s="94" t="str">
        <f>IF(Proc[[#This Row],[type]]="LFF (MDG-F)",MID(Proc[[#This Row],[Obj]],13,10),"")</f>
        <v>DE20538114</v>
      </c>
      <c r="J2740" s="94" t="b">
        <f>Proc[[#This Row],[Requested]]=Proc[[#This Row],[CurrentParent]]</f>
        <v>0</v>
      </c>
      <c r="K2740" s="94" t="str">
        <f>IF(Proc[[#This Row],[Author]]="Marcela Urrego",VLOOKUP(LEFT(Proc[[#This Row],[Requested]],1),Table3[#All],2,0),VLOOKUP(Proc[[#This Row],[Author]],Table4[],2,0))</f>
        <v>MGF</v>
      </c>
      <c r="L2740" s="94"/>
      <c r="M2740" s="109">
        <v>45841.453541666669</v>
      </c>
      <c r="N2740" s="109"/>
      <c r="O2740" s="109"/>
      <c r="P2740" s="110" t="str">
        <f ca="1">IF(Proc[[#This Row],[DaysAgeing]]&gt;5,"yep","on track")</f>
        <v>on track</v>
      </c>
      <c r="Q2740" s="3">
        <f ca="1">IF(Proc[[#This Row],[DateClosed]]="",ABS(NETWORKDAYS(Proc[[#This Row],[DateOpened]],TODAY()))-1,ABS(NETWORKDAYS(Proc[[#This Row],[DateOpened]],Proc[[#This Row],[DateClosed]]))-1)</f>
        <v>1</v>
      </c>
      <c r="R2740" s="110" t="s">
        <v>485</v>
      </c>
      <c r="S2740" s="94"/>
    </row>
    <row r="2741" spans="1:19">
      <c r="A2741" s="103" t="s">
        <v>4448</v>
      </c>
      <c r="B2741" s="94" t="str">
        <f>IFERROR(VLOOKUP(Proc[[#This Row],[App]],Table2[],3,0),"open")</f>
        <v>open</v>
      </c>
      <c r="C2741" s="103" t="s">
        <v>404</v>
      </c>
      <c r="D2741" t="s">
        <v>4688</v>
      </c>
      <c r="E2741" t="s">
        <v>4778</v>
      </c>
      <c r="F2741" s="94" t="s">
        <v>4821</v>
      </c>
      <c r="G2741" s="103" t="s">
        <v>406</v>
      </c>
      <c r="H2741" s="94" t="str">
        <f>IF(Proc[[#This Row],[type]]="LFF (MDG-F)",MID(Proc[[#This Row],[Obj]],13,10),"")</f>
        <v>DE20538115</v>
      </c>
      <c r="J2741" s="94" t="b">
        <f>Proc[[#This Row],[Requested]]=Proc[[#This Row],[CurrentParent]]</f>
        <v>0</v>
      </c>
      <c r="K2741" s="94" t="str">
        <f>IF(Proc[[#This Row],[Author]]="Marcela Urrego",VLOOKUP(LEFT(Proc[[#This Row],[Requested]],1),Table3[#All],2,0),VLOOKUP(Proc[[#This Row],[Author]],Table4[],2,0))</f>
        <v>MGF</v>
      </c>
      <c r="L2741" s="94"/>
      <c r="M2741" s="109">
        <v>45841.453541666669</v>
      </c>
      <c r="N2741" s="109"/>
      <c r="O2741" s="109"/>
      <c r="P2741" s="110" t="str">
        <f ca="1">IF(Proc[[#This Row],[DaysAgeing]]&gt;5,"yep","on track")</f>
        <v>on track</v>
      </c>
      <c r="Q2741" s="3">
        <f ca="1">IF(Proc[[#This Row],[DateClosed]]="",ABS(NETWORKDAYS(Proc[[#This Row],[DateOpened]],TODAY()))-1,ABS(NETWORKDAYS(Proc[[#This Row],[DateOpened]],Proc[[#This Row],[DateClosed]]))-1)</f>
        <v>1</v>
      </c>
      <c r="R2741" s="110" t="s">
        <v>485</v>
      </c>
      <c r="S2741" s="94"/>
    </row>
    <row r="2742" spans="1:19">
      <c r="A2742" s="103" t="s">
        <v>4448</v>
      </c>
      <c r="B2742" s="94" t="str">
        <f>IFERROR(VLOOKUP(Proc[[#This Row],[App]],Table2[],3,0),"open")</f>
        <v>open</v>
      </c>
      <c r="C2742" s="103" t="s">
        <v>404</v>
      </c>
      <c r="D2742" t="s">
        <v>4689</v>
      </c>
      <c r="E2742" t="s">
        <v>4777</v>
      </c>
      <c r="F2742" s="94" t="s">
        <v>4821</v>
      </c>
      <c r="G2742" s="103" t="s">
        <v>406</v>
      </c>
      <c r="H2742" s="94" t="str">
        <f>IF(Proc[[#This Row],[type]]="LFF (MDG-F)",MID(Proc[[#This Row],[Obj]],13,10),"")</f>
        <v>DE20538117</v>
      </c>
      <c r="J2742" s="94" t="b">
        <f>Proc[[#This Row],[Requested]]=Proc[[#This Row],[CurrentParent]]</f>
        <v>0</v>
      </c>
      <c r="K2742" s="94" t="str">
        <f>IF(Proc[[#This Row],[Author]]="Marcela Urrego",VLOOKUP(LEFT(Proc[[#This Row],[Requested]],1),Table3[#All],2,0),VLOOKUP(Proc[[#This Row],[Author]],Table4[],2,0))</f>
        <v>MGF</v>
      </c>
      <c r="L2742" s="94"/>
      <c r="M2742" s="109">
        <v>45841.453541666669</v>
      </c>
      <c r="N2742" s="109"/>
      <c r="O2742" s="109"/>
      <c r="P2742" s="110" t="str">
        <f ca="1">IF(Proc[[#This Row],[DaysAgeing]]&gt;5,"yep","on track")</f>
        <v>on track</v>
      </c>
      <c r="Q2742" s="3">
        <f ca="1">IF(Proc[[#This Row],[DateClosed]]="",ABS(NETWORKDAYS(Proc[[#This Row],[DateOpened]],TODAY()))-1,ABS(NETWORKDAYS(Proc[[#This Row],[DateOpened]],Proc[[#This Row],[DateClosed]]))-1)</f>
        <v>1</v>
      </c>
      <c r="R2742" s="110" t="s">
        <v>485</v>
      </c>
      <c r="S2742" s="94"/>
    </row>
    <row r="2743" spans="1:19">
      <c r="A2743" s="103" t="s">
        <v>4448</v>
      </c>
      <c r="B2743" s="94" t="str">
        <f>IFERROR(VLOOKUP(Proc[[#This Row],[App]],Table2[],3,0),"open")</f>
        <v>open</v>
      </c>
      <c r="C2743" s="103" t="s">
        <v>404</v>
      </c>
      <c r="D2743" t="s">
        <v>4690</v>
      </c>
      <c r="E2743" t="s">
        <v>4776</v>
      </c>
      <c r="F2743" s="94" t="s">
        <v>4819</v>
      </c>
      <c r="G2743" s="103" t="s">
        <v>406</v>
      </c>
      <c r="H2743" s="94" t="str">
        <f>IF(Proc[[#This Row],[type]]="LFF (MDG-F)",MID(Proc[[#This Row],[Obj]],13,10),"")</f>
        <v>DE20538119</v>
      </c>
      <c r="J2743" s="94" t="b">
        <f>Proc[[#This Row],[Requested]]=Proc[[#This Row],[CurrentParent]]</f>
        <v>0</v>
      </c>
      <c r="K2743" s="94" t="str">
        <f>IF(Proc[[#This Row],[Author]]="Marcela Urrego",VLOOKUP(LEFT(Proc[[#This Row],[Requested]],1),Table3[#All],2,0),VLOOKUP(Proc[[#This Row],[Author]],Table4[],2,0))</f>
        <v>MGF</v>
      </c>
      <c r="L2743" s="94"/>
      <c r="M2743" s="109">
        <v>45841.453541666669</v>
      </c>
      <c r="N2743" s="109"/>
      <c r="O2743" s="109"/>
      <c r="P2743" s="110" t="str">
        <f ca="1">IF(Proc[[#This Row],[DaysAgeing]]&gt;5,"yep","on track")</f>
        <v>on track</v>
      </c>
      <c r="Q2743" s="3">
        <f ca="1">IF(Proc[[#This Row],[DateClosed]]="",ABS(NETWORKDAYS(Proc[[#This Row],[DateOpened]],TODAY()))-1,ABS(NETWORKDAYS(Proc[[#This Row],[DateOpened]],Proc[[#This Row],[DateClosed]]))-1)</f>
        <v>1</v>
      </c>
      <c r="R2743" s="110" t="s">
        <v>485</v>
      </c>
      <c r="S2743" s="94"/>
    </row>
    <row r="2744" spans="1:19">
      <c r="A2744" s="103" t="s">
        <v>4448</v>
      </c>
      <c r="B2744" s="94" t="str">
        <f>IFERROR(VLOOKUP(Proc[[#This Row],[App]],Table2[],3,0),"open")</f>
        <v>open</v>
      </c>
      <c r="C2744" s="103" t="s">
        <v>404</v>
      </c>
      <c r="D2744" t="s">
        <v>4691</v>
      </c>
      <c r="E2744" t="s">
        <v>4776</v>
      </c>
      <c r="F2744" s="94" t="s">
        <v>4819</v>
      </c>
      <c r="G2744" s="103" t="s">
        <v>406</v>
      </c>
      <c r="H2744" s="94" t="str">
        <f>IF(Proc[[#This Row],[type]]="LFF (MDG-F)",MID(Proc[[#This Row],[Obj]],13,10),"")</f>
        <v>DE20538120</v>
      </c>
      <c r="J2744" s="94" t="b">
        <f>Proc[[#This Row],[Requested]]=Proc[[#This Row],[CurrentParent]]</f>
        <v>0</v>
      </c>
      <c r="K2744" s="94" t="str">
        <f>IF(Proc[[#This Row],[Author]]="Marcela Urrego",VLOOKUP(LEFT(Proc[[#This Row],[Requested]],1),Table3[#All],2,0),VLOOKUP(Proc[[#This Row],[Author]],Table4[],2,0))</f>
        <v>MGF</v>
      </c>
      <c r="L2744" s="94"/>
      <c r="M2744" s="109">
        <v>45841.453541666669</v>
      </c>
      <c r="N2744" s="109"/>
      <c r="O2744" s="109"/>
      <c r="P2744" s="110" t="str">
        <f ca="1">IF(Proc[[#This Row],[DaysAgeing]]&gt;5,"yep","on track")</f>
        <v>on track</v>
      </c>
      <c r="Q2744" s="3">
        <f ca="1">IF(Proc[[#This Row],[DateClosed]]="",ABS(NETWORKDAYS(Proc[[#This Row],[DateOpened]],TODAY()))-1,ABS(NETWORKDAYS(Proc[[#This Row],[DateOpened]],Proc[[#This Row],[DateClosed]]))-1)</f>
        <v>1</v>
      </c>
      <c r="R2744" s="110" t="s">
        <v>485</v>
      </c>
      <c r="S2744" s="94"/>
    </row>
    <row r="2745" spans="1:19">
      <c r="A2745" s="103" t="s">
        <v>4448</v>
      </c>
      <c r="B2745" s="94" t="str">
        <f>IFERROR(VLOOKUP(Proc[[#This Row],[App]],Table2[],3,0),"open")</f>
        <v>open</v>
      </c>
      <c r="C2745" s="103" t="s">
        <v>404</v>
      </c>
      <c r="D2745" t="s">
        <v>4692</v>
      </c>
      <c r="E2745" t="s">
        <v>4776</v>
      </c>
      <c r="F2745" s="94" t="s">
        <v>4818</v>
      </c>
      <c r="G2745" s="103" t="s">
        <v>406</v>
      </c>
      <c r="H2745" s="94" t="str">
        <f>IF(Proc[[#This Row],[type]]="LFF (MDG-F)",MID(Proc[[#This Row],[Obj]],13,10),"")</f>
        <v>DE20538121</v>
      </c>
      <c r="J2745" s="94" t="b">
        <f>Proc[[#This Row],[Requested]]=Proc[[#This Row],[CurrentParent]]</f>
        <v>0</v>
      </c>
      <c r="K2745" s="94" t="str">
        <f>IF(Proc[[#This Row],[Author]]="Marcela Urrego",VLOOKUP(LEFT(Proc[[#This Row],[Requested]],1),Table3[#All],2,0),VLOOKUP(Proc[[#This Row],[Author]],Table4[],2,0))</f>
        <v>MGF</v>
      </c>
      <c r="L2745" s="94"/>
      <c r="M2745" s="109">
        <v>45841.453541666669</v>
      </c>
      <c r="N2745" s="109"/>
      <c r="O2745" s="109"/>
      <c r="P2745" s="110" t="str">
        <f ca="1">IF(Proc[[#This Row],[DaysAgeing]]&gt;5,"yep","on track")</f>
        <v>on track</v>
      </c>
      <c r="Q2745" s="3">
        <f ca="1">IF(Proc[[#This Row],[DateClosed]]="",ABS(NETWORKDAYS(Proc[[#This Row],[DateOpened]],TODAY()))-1,ABS(NETWORKDAYS(Proc[[#This Row],[DateOpened]],Proc[[#This Row],[DateClosed]]))-1)</f>
        <v>1</v>
      </c>
      <c r="R2745" s="110" t="s">
        <v>485</v>
      </c>
      <c r="S2745" s="94"/>
    </row>
    <row r="2746" spans="1:19">
      <c r="A2746" s="103" t="s">
        <v>4448</v>
      </c>
      <c r="B2746" s="94" t="str">
        <f>IFERROR(VLOOKUP(Proc[[#This Row],[App]],Table2[],3,0),"open")</f>
        <v>open</v>
      </c>
      <c r="C2746" s="103" t="s">
        <v>404</v>
      </c>
      <c r="D2746" t="s">
        <v>4693</v>
      </c>
      <c r="E2746" t="s">
        <v>4776</v>
      </c>
      <c r="F2746" s="94" t="s">
        <v>4819</v>
      </c>
      <c r="G2746" s="103" t="s">
        <v>406</v>
      </c>
      <c r="H2746" s="94" t="str">
        <f>IF(Proc[[#This Row],[type]]="LFF (MDG-F)",MID(Proc[[#This Row],[Obj]],13,10),"")</f>
        <v>DE20538122</v>
      </c>
      <c r="J2746" s="94" t="b">
        <f>Proc[[#This Row],[Requested]]=Proc[[#This Row],[CurrentParent]]</f>
        <v>0</v>
      </c>
      <c r="K2746" s="94" t="str">
        <f>IF(Proc[[#This Row],[Author]]="Marcela Urrego",VLOOKUP(LEFT(Proc[[#This Row],[Requested]],1),Table3[#All],2,0),VLOOKUP(Proc[[#This Row],[Author]],Table4[],2,0))</f>
        <v>MGF</v>
      </c>
      <c r="L2746" s="94"/>
      <c r="M2746" s="109">
        <v>45841.453541666669</v>
      </c>
      <c r="N2746" s="109"/>
      <c r="O2746" s="109"/>
      <c r="P2746" s="110" t="str">
        <f ca="1">IF(Proc[[#This Row],[DaysAgeing]]&gt;5,"yep","on track")</f>
        <v>on track</v>
      </c>
      <c r="Q2746" s="3">
        <f ca="1">IF(Proc[[#This Row],[DateClosed]]="",ABS(NETWORKDAYS(Proc[[#This Row],[DateOpened]],TODAY()))-1,ABS(NETWORKDAYS(Proc[[#This Row],[DateOpened]],Proc[[#This Row],[DateClosed]]))-1)</f>
        <v>1</v>
      </c>
      <c r="R2746" s="110" t="s">
        <v>485</v>
      </c>
      <c r="S2746" s="94"/>
    </row>
    <row r="2747" spans="1:19">
      <c r="A2747" s="103" t="s">
        <v>4448</v>
      </c>
      <c r="B2747" s="94" t="str">
        <f>IFERROR(VLOOKUP(Proc[[#This Row],[App]],Table2[],3,0),"open")</f>
        <v>open</v>
      </c>
      <c r="C2747" s="103" t="s">
        <v>404</v>
      </c>
      <c r="D2747" t="s">
        <v>4694</v>
      </c>
      <c r="E2747" t="s">
        <v>4776</v>
      </c>
      <c r="F2747" s="94" t="s">
        <v>4822</v>
      </c>
      <c r="G2747" s="103" t="s">
        <v>406</v>
      </c>
      <c r="H2747" s="94" t="str">
        <f>IF(Proc[[#This Row],[type]]="LFF (MDG-F)",MID(Proc[[#This Row],[Obj]],13,10),"")</f>
        <v>DE20538124</v>
      </c>
      <c r="J2747" s="94" t="b">
        <f>Proc[[#This Row],[Requested]]=Proc[[#This Row],[CurrentParent]]</f>
        <v>0</v>
      </c>
      <c r="K2747" s="94" t="str">
        <f>IF(Proc[[#This Row],[Author]]="Marcela Urrego",VLOOKUP(LEFT(Proc[[#This Row],[Requested]],1),Table3[#All],2,0),VLOOKUP(Proc[[#This Row],[Author]],Table4[],2,0))</f>
        <v>MGF</v>
      </c>
      <c r="L2747" s="94"/>
      <c r="M2747" s="109">
        <v>45841.453541666669</v>
      </c>
      <c r="N2747" s="109"/>
      <c r="O2747" s="109"/>
      <c r="P2747" s="110" t="str">
        <f ca="1">IF(Proc[[#This Row],[DaysAgeing]]&gt;5,"yep","on track")</f>
        <v>on track</v>
      </c>
      <c r="Q2747" s="3">
        <f ca="1">IF(Proc[[#This Row],[DateClosed]]="",ABS(NETWORKDAYS(Proc[[#This Row],[DateOpened]],TODAY()))-1,ABS(NETWORKDAYS(Proc[[#This Row],[DateOpened]],Proc[[#This Row],[DateClosed]]))-1)</f>
        <v>1</v>
      </c>
      <c r="R2747" s="110" t="s">
        <v>485</v>
      </c>
      <c r="S2747" s="94"/>
    </row>
    <row r="2748" spans="1:19">
      <c r="A2748" s="103" t="s">
        <v>4448</v>
      </c>
      <c r="B2748" s="94" t="str">
        <f>IFERROR(VLOOKUP(Proc[[#This Row],[App]],Table2[],3,0),"open")</f>
        <v>open</v>
      </c>
      <c r="C2748" s="103" t="s">
        <v>404</v>
      </c>
      <c r="D2748" t="s">
        <v>4695</v>
      </c>
      <c r="E2748" t="s">
        <v>4776</v>
      </c>
      <c r="F2748" s="94" t="s">
        <v>4818</v>
      </c>
      <c r="G2748" s="103" t="s">
        <v>406</v>
      </c>
      <c r="H2748" s="94" t="str">
        <f>IF(Proc[[#This Row],[type]]="LFF (MDG-F)",MID(Proc[[#This Row],[Obj]],13,10),"")</f>
        <v>DE20538129</v>
      </c>
      <c r="J2748" s="94" t="b">
        <f>Proc[[#This Row],[Requested]]=Proc[[#This Row],[CurrentParent]]</f>
        <v>0</v>
      </c>
      <c r="K2748" s="94" t="str">
        <f>IF(Proc[[#This Row],[Author]]="Marcela Urrego",VLOOKUP(LEFT(Proc[[#This Row],[Requested]],1),Table3[#All],2,0),VLOOKUP(Proc[[#This Row],[Author]],Table4[],2,0))</f>
        <v>MGF</v>
      </c>
      <c r="L2748" s="94"/>
      <c r="M2748" s="109">
        <v>45841.453541666669</v>
      </c>
      <c r="N2748" s="109"/>
      <c r="O2748" s="109"/>
      <c r="P2748" s="110" t="str">
        <f ca="1">IF(Proc[[#This Row],[DaysAgeing]]&gt;5,"yep","on track")</f>
        <v>on track</v>
      </c>
      <c r="Q2748" s="3">
        <f ca="1">IF(Proc[[#This Row],[DateClosed]]="",ABS(NETWORKDAYS(Proc[[#This Row],[DateOpened]],TODAY()))-1,ABS(NETWORKDAYS(Proc[[#This Row],[DateOpened]],Proc[[#This Row],[DateClosed]]))-1)</f>
        <v>1</v>
      </c>
      <c r="R2748" s="110" t="s">
        <v>485</v>
      </c>
      <c r="S2748" s="94"/>
    </row>
    <row r="2749" spans="1:19">
      <c r="A2749" s="103" t="s">
        <v>4448</v>
      </c>
      <c r="B2749" s="94" t="str">
        <f>IFERROR(VLOOKUP(Proc[[#This Row],[App]],Table2[],3,0),"open")</f>
        <v>open</v>
      </c>
      <c r="C2749" s="103" t="s">
        <v>404</v>
      </c>
      <c r="D2749" t="s">
        <v>4696</v>
      </c>
      <c r="E2749" t="s">
        <v>4776</v>
      </c>
      <c r="F2749" s="94" t="s">
        <v>4823</v>
      </c>
      <c r="G2749" s="103" t="s">
        <v>406</v>
      </c>
      <c r="H2749" s="94" t="str">
        <f>IF(Proc[[#This Row],[type]]="LFF (MDG-F)",MID(Proc[[#This Row],[Obj]],13,10),"")</f>
        <v>DE20538130</v>
      </c>
      <c r="J2749" s="94" t="b">
        <f>Proc[[#This Row],[Requested]]=Proc[[#This Row],[CurrentParent]]</f>
        <v>0</v>
      </c>
      <c r="K2749" s="94" t="str">
        <f>IF(Proc[[#This Row],[Author]]="Marcela Urrego",VLOOKUP(LEFT(Proc[[#This Row],[Requested]],1),Table3[#All],2,0),VLOOKUP(Proc[[#This Row],[Author]],Table4[],2,0))</f>
        <v>MGF</v>
      </c>
      <c r="L2749" s="94"/>
      <c r="M2749" s="109">
        <v>45841.453541666669</v>
      </c>
      <c r="N2749" s="109"/>
      <c r="O2749" s="109"/>
      <c r="P2749" s="110" t="str">
        <f ca="1">IF(Proc[[#This Row],[DaysAgeing]]&gt;5,"yep","on track")</f>
        <v>on track</v>
      </c>
      <c r="Q2749" s="3">
        <f ca="1">IF(Proc[[#This Row],[DateClosed]]="",ABS(NETWORKDAYS(Proc[[#This Row],[DateOpened]],TODAY()))-1,ABS(NETWORKDAYS(Proc[[#This Row],[DateOpened]],Proc[[#This Row],[DateClosed]]))-1)</f>
        <v>1</v>
      </c>
      <c r="R2749" s="110" t="s">
        <v>485</v>
      </c>
      <c r="S2749" s="94"/>
    </row>
    <row r="2750" spans="1:19">
      <c r="A2750" s="103" t="s">
        <v>4448</v>
      </c>
      <c r="B2750" s="94" t="str">
        <f>IFERROR(VLOOKUP(Proc[[#This Row],[App]],Table2[],3,0),"open")</f>
        <v>open</v>
      </c>
      <c r="C2750" s="103" t="s">
        <v>404</v>
      </c>
      <c r="D2750" t="s">
        <v>4697</v>
      </c>
      <c r="E2750" t="s">
        <v>4776</v>
      </c>
      <c r="F2750" s="94" t="s">
        <v>4823</v>
      </c>
      <c r="G2750" s="103" t="s">
        <v>406</v>
      </c>
      <c r="H2750" s="94" t="str">
        <f>IF(Proc[[#This Row],[type]]="LFF (MDG-F)",MID(Proc[[#This Row],[Obj]],13,10),"")</f>
        <v>DE20538131</v>
      </c>
      <c r="J2750" s="94" t="b">
        <f>Proc[[#This Row],[Requested]]=Proc[[#This Row],[CurrentParent]]</f>
        <v>0</v>
      </c>
      <c r="K2750" s="94" t="str">
        <f>IF(Proc[[#This Row],[Author]]="Marcela Urrego",VLOOKUP(LEFT(Proc[[#This Row],[Requested]],1),Table3[#All],2,0),VLOOKUP(Proc[[#This Row],[Author]],Table4[],2,0))</f>
        <v>MGF</v>
      </c>
      <c r="L2750" s="94"/>
      <c r="M2750" s="109">
        <v>45841.453541666669</v>
      </c>
      <c r="N2750" s="109"/>
      <c r="O2750" s="109"/>
      <c r="P2750" s="110" t="str">
        <f ca="1">IF(Proc[[#This Row],[DaysAgeing]]&gt;5,"yep","on track")</f>
        <v>on track</v>
      </c>
      <c r="Q2750" s="3">
        <f ca="1">IF(Proc[[#This Row],[DateClosed]]="",ABS(NETWORKDAYS(Proc[[#This Row],[DateOpened]],TODAY()))-1,ABS(NETWORKDAYS(Proc[[#This Row],[DateOpened]],Proc[[#This Row],[DateClosed]]))-1)</f>
        <v>1</v>
      </c>
      <c r="R2750" s="110" t="s">
        <v>485</v>
      </c>
      <c r="S2750" s="94"/>
    </row>
    <row r="2751" spans="1:19">
      <c r="A2751" s="103" t="s">
        <v>4448</v>
      </c>
      <c r="B2751" s="94" t="str">
        <f>IFERROR(VLOOKUP(Proc[[#This Row],[App]],Table2[],3,0),"open")</f>
        <v>open</v>
      </c>
      <c r="C2751" s="103" t="s">
        <v>404</v>
      </c>
      <c r="D2751" t="s">
        <v>4698</v>
      </c>
      <c r="E2751" t="s">
        <v>4776</v>
      </c>
      <c r="F2751" s="94" t="s">
        <v>4824</v>
      </c>
      <c r="G2751" s="103" t="s">
        <v>406</v>
      </c>
      <c r="H2751" s="94" t="str">
        <f>IF(Proc[[#This Row],[type]]="LFF (MDG-F)",MID(Proc[[#This Row],[Obj]],13,10),"")</f>
        <v>DE20538133</v>
      </c>
      <c r="J2751" s="94" t="b">
        <f>Proc[[#This Row],[Requested]]=Proc[[#This Row],[CurrentParent]]</f>
        <v>0</v>
      </c>
      <c r="K2751" s="94" t="str">
        <f>IF(Proc[[#This Row],[Author]]="Marcela Urrego",VLOOKUP(LEFT(Proc[[#This Row],[Requested]],1),Table3[#All],2,0),VLOOKUP(Proc[[#This Row],[Author]],Table4[],2,0))</f>
        <v>MGF</v>
      </c>
      <c r="L2751" s="94"/>
      <c r="M2751" s="109">
        <v>45841.453541666669</v>
      </c>
      <c r="N2751" s="109"/>
      <c r="O2751" s="109"/>
      <c r="P2751" s="110" t="str">
        <f ca="1">IF(Proc[[#This Row],[DaysAgeing]]&gt;5,"yep","on track")</f>
        <v>on track</v>
      </c>
      <c r="Q2751" s="3">
        <f ca="1">IF(Proc[[#This Row],[DateClosed]]="",ABS(NETWORKDAYS(Proc[[#This Row],[DateOpened]],TODAY()))-1,ABS(NETWORKDAYS(Proc[[#This Row],[DateOpened]],Proc[[#This Row],[DateClosed]]))-1)</f>
        <v>1</v>
      </c>
      <c r="R2751" s="110" t="s">
        <v>485</v>
      </c>
      <c r="S2751" s="94"/>
    </row>
    <row r="2752" spans="1:19">
      <c r="A2752" s="103" t="s">
        <v>4448</v>
      </c>
      <c r="B2752" s="94" t="str">
        <f>IFERROR(VLOOKUP(Proc[[#This Row],[App]],Table2[],3,0),"open")</f>
        <v>open</v>
      </c>
      <c r="C2752" s="103" t="s">
        <v>404</v>
      </c>
      <c r="D2752" t="s">
        <v>4699</v>
      </c>
      <c r="E2752" t="s">
        <v>4776</v>
      </c>
      <c r="F2752" s="94" t="s">
        <v>4824</v>
      </c>
      <c r="G2752" s="103" t="s">
        <v>406</v>
      </c>
      <c r="H2752" s="94" t="str">
        <f>IF(Proc[[#This Row],[type]]="LFF (MDG-F)",MID(Proc[[#This Row],[Obj]],13,10),"")</f>
        <v>DE20538134</v>
      </c>
      <c r="J2752" s="94" t="b">
        <f>Proc[[#This Row],[Requested]]=Proc[[#This Row],[CurrentParent]]</f>
        <v>0</v>
      </c>
      <c r="K2752" s="94" t="str">
        <f>IF(Proc[[#This Row],[Author]]="Marcela Urrego",VLOOKUP(LEFT(Proc[[#This Row],[Requested]],1),Table3[#All],2,0),VLOOKUP(Proc[[#This Row],[Author]],Table4[],2,0))</f>
        <v>MGF</v>
      </c>
      <c r="L2752" s="94"/>
      <c r="M2752" s="109">
        <v>45841.453541666669</v>
      </c>
      <c r="N2752" s="109"/>
      <c r="O2752" s="109"/>
      <c r="P2752" s="110" t="str">
        <f ca="1">IF(Proc[[#This Row],[DaysAgeing]]&gt;5,"yep","on track")</f>
        <v>on track</v>
      </c>
      <c r="Q2752" s="3">
        <f ca="1">IF(Proc[[#This Row],[DateClosed]]="",ABS(NETWORKDAYS(Proc[[#This Row],[DateOpened]],TODAY()))-1,ABS(NETWORKDAYS(Proc[[#This Row],[DateOpened]],Proc[[#This Row],[DateClosed]]))-1)</f>
        <v>1</v>
      </c>
      <c r="R2752" s="110" t="s">
        <v>485</v>
      </c>
      <c r="S2752" s="94"/>
    </row>
    <row r="2753" spans="1:19">
      <c r="A2753" s="103" t="s">
        <v>4448</v>
      </c>
      <c r="B2753" s="94" t="str">
        <f>IFERROR(VLOOKUP(Proc[[#This Row],[App]],Table2[],3,0),"open")</f>
        <v>open</v>
      </c>
      <c r="C2753" s="103" t="s">
        <v>404</v>
      </c>
      <c r="D2753" t="s">
        <v>4700</v>
      </c>
      <c r="E2753" t="s">
        <v>4776</v>
      </c>
      <c r="F2753" s="94" t="s">
        <v>4823</v>
      </c>
      <c r="G2753" s="103" t="s">
        <v>406</v>
      </c>
      <c r="H2753" s="94" t="str">
        <f>IF(Proc[[#This Row],[type]]="LFF (MDG-F)",MID(Proc[[#This Row],[Obj]],13,10),"")</f>
        <v>DE20538135</v>
      </c>
      <c r="J2753" s="94" t="b">
        <f>Proc[[#This Row],[Requested]]=Proc[[#This Row],[CurrentParent]]</f>
        <v>0</v>
      </c>
      <c r="K2753" s="94" t="str">
        <f>IF(Proc[[#This Row],[Author]]="Marcela Urrego",VLOOKUP(LEFT(Proc[[#This Row],[Requested]],1),Table3[#All],2,0),VLOOKUP(Proc[[#This Row],[Author]],Table4[],2,0))</f>
        <v>MGF</v>
      </c>
      <c r="L2753" s="94"/>
      <c r="M2753" s="109">
        <v>45841.453541666669</v>
      </c>
      <c r="N2753" s="109"/>
      <c r="O2753" s="109"/>
      <c r="P2753" s="110" t="str">
        <f ca="1">IF(Proc[[#This Row],[DaysAgeing]]&gt;5,"yep","on track")</f>
        <v>on track</v>
      </c>
      <c r="Q2753" s="3">
        <f ca="1">IF(Proc[[#This Row],[DateClosed]]="",ABS(NETWORKDAYS(Proc[[#This Row],[DateOpened]],TODAY()))-1,ABS(NETWORKDAYS(Proc[[#This Row],[DateOpened]],Proc[[#This Row],[DateClosed]]))-1)</f>
        <v>1</v>
      </c>
      <c r="R2753" s="110" t="s">
        <v>485</v>
      </c>
      <c r="S2753" s="94"/>
    </row>
    <row r="2754" spans="1:19">
      <c r="A2754" s="103" t="s">
        <v>4448</v>
      </c>
      <c r="B2754" s="94" t="str">
        <f>IFERROR(VLOOKUP(Proc[[#This Row],[App]],Table2[],3,0),"open")</f>
        <v>open</v>
      </c>
      <c r="C2754" s="103" t="s">
        <v>404</v>
      </c>
      <c r="D2754" t="s">
        <v>4701</v>
      </c>
      <c r="E2754" t="s">
        <v>4776</v>
      </c>
      <c r="F2754" s="94" t="s">
        <v>4823</v>
      </c>
      <c r="G2754" s="103" t="s">
        <v>406</v>
      </c>
      <c r="H2754" s="94" t="str">
        <f>IF(Proc[[#This Row],[type]]="LFF (MDG-F)",MID(Proc[[#This Row],[Obj]],13,10),"")</f>
        <v>DE20538138</v>
      </c>
      <c r="J2754" s="94" t="b">
        <f>Proc[[#This Row],[Requested]]=Proc[[#This Row],[CurrentParent]]</f>
        <v>0</v>
      </c>
      <c r="K2754" s="94" t="str">
        <f>IF(Proc[[#This Row],[Author]]="Marcela Urrego",VLOOKUP(LEFT(Proc[[#This Row],[Requested]],1),Table3[#All],2,0),VLOOKUP(Proc[[#This Row],[Author]],Table4[],2,0))</f>
        <v>MGF</v>
      </c>
      <c r="L2754" s="94"/>
      <c r="M2754" s="109">
        <v>45841.453541666669</v>
      </c>
      <c r="N2754" s="109"/>
      <c r="O2754" s="109"/>
      <c r="P2754" s="110" t="str">
        <f ca="1">IF(Proc[[#This Row],[DaysAgeing]]&gt;5,"yep","on track")</f>
        <v>on track</v>
      </c>
      <c r="Q2754" s="3">
        <f ca="1">IF(Proc[[#This Row],[DateClosed]]="",ABS(NETWORKDAYS(Proc[[#This Row],[DateOpened]],TODAY()))-1,ABS(NETWORKDAYS(Proc[[#This Row],[DateOpened]],Proc[[#This Row],[DateClosed]]))-1)</f>
        <v>1</v>
      </c>
      <c r="R2754" s="110" t="s">
        <v>485</v>
      </c>
      <c r="S2754" s="94"/>
    </row>
    <row r="2755" spans="1:19">
      <c r="A2755" s="103" t="s">
        <v>4448</v>
      </c>
      <c r="B2755" s="94" t="str">
        <f>IFERROR(VLOOKUP(Proc[[#This Row],[App]],Table2[],3,0),"open")</f>
        <v>open</v>
      </c>
      <c r="C2755" s="103" t="s">
        <v>404</v>
      </c>
      <c r="D2755" t="s">
        <v>4702</v>
      </c>
      <c r="E2755" t="s">
        <v>4776</v>
      </c>
      <c r="F2755" s="94" t="s">
        <v>4822</v>
      </c>
      <c r="G2755" s="103" t="s">
        <v>406</v>
      </c>
      <c r="H2755" s="94" t="str">
        <f>IF(Proc[[#This Row],[type]]="LFF (MDG-F)",MID(Proc[[#This Row],[Obj]],13,10),"")</f>
        <v>DE20538139</v>
      </c>
      <c r="J2755" s="94" t="b">
        <f>Proc[[#This Row],[Requested]]=Proc[[#This Row],[CurrentParent]]</f>
        <v>0</v>
      </c>
      <c r="K2755" s="94" t="str">
        <f>IF(Proc[[#This Row],[Author]]="Marcela Urrego",VLOOKUP(LEFT(Proc[[#This Row],[Requested]],1),Table3[#All],2,0),VLOOKUP(Proc[[#This Row],[Author]],Table4[],2,0))</f>
        <v>MGF</v>
      </c>
      <c r="L2755" s="94"/>
      <c r="M2755" s="109">
        <v>45841.453541666669</v>
      </c>
      <c r="N2755" s="109"/>
      <c r="O2755" s="109"/>
      <c r="P2755" s="110" t="str">
        <f ca="1">IF(Proc[[#This Row],[DaysAgeing]]&gt;5,"yep","on track")</f>
        <v>on track</v>
      </c>
      <c r="Q2755" s="3">
        <f ca="1">IF(Proc[[#This Row],[DateClosed]]="",ABS(NETWORKDAYS(Proc[[#This Row],[DateOpened]],TODAY()))-1,ABS(NETWORKDAYS(Proc[[#This Row],[DateOpened]],Proc[[#This Row],[DateClosed]]))-1)</f>
        <v>1</v>
      </c>
      <c r="R2755" s="110" t="s">
        <v>485</v>
      </c>
      <c r="S2755" s="94"/>
    </row>
    <row r="2756" spans="1:19">
      <c r="A2756" s="103" t="s">
        <v>4448</v>
      </c>
      <c r="B2756" s="94" t="str">
        <f>IFERROR(VLOOKUP(Proc[[#This Row],[App]],Table2[],3,0),"open")</f>
        <v>open</v>
      </c>
      <c r="C2756" s="103" t="s">
        <v>404</v>
      </c>
      <c r="D2756" t="s">
        <v>4703</v>
      </c>
      <c r="E2756" t="s">
        <v>4776</v>
      </c>
      <c r="F2756" s="94" t="s">
        <v>4818</v>
      </c>
      <c r="G2756" s="103" t="s">
        <v>406</v>
      </c>
      <c r="H2756" s="94" t="str">
        <f>IF(Proc[[#This Row],[type]]="LFF (MDG-F)",MID(Proc[[#This Row],[Obj]],13,10),"")</f>
        <v>DE20538142</v>
      </c>
      <c r="J2756" s="94" t="b">
        <f>Proc[[#This Row],[Requested]]=Proc[[#This Row],[CurrentParent]]</f>
        <v>0</v>
      </c>
      <c r="K2756" s="94" t="str">
        <f>IF(Proc[[#This Row],[Author]]="Marcela Urrego",VLOOKUP(LEFT(Proc[[#This Row],[Requested]],1),Table3[#All],2,0),VLOOKUP(Proc[[#This Row],[Author]],Table4[],2,0))</f>
        <v>MGF</v>
      </c>
      <c r="L2756" s="94"/>
      <c r="M2756" s="109">
        <v>45841.453541666669</v>
      </c>
      <c r="N2756" s="109"/>
      <c r="O2756" s="109"/>
      <c r="P2756" s="110" t="str">
        <f ca="1">IF(Proc[[#This Row],[DaysAgeing]]&gt;5,"yep","on track")</f>
        <v>on track</v>
      </c>
      <c r="Q2756" s="3">
        <f ca="1">IF(Proc[[#This Row],[DateClosed]]="",ABS(NETWORKDAYS(Proc[[#This Row],[DateOpened]],TODAY()))-1,ABS(NETWORKDAYS(Proc[[#This Row],[DateOpened]],Proc[[#This Row],[DateClosed]]))-1)</f>
        <v>1</v>
      </c>
      <c r="R2756" s="110" t="s">
        <v>485</v>
      </c>
      <c r="S2756" s="94"/>
    </row>
    <row r="2757" spans="1:19">
      <c r="A2757" s="103" t="s">
        <v>4448</v>
      </c>
      <c r="B2757" s="94" t="str">
        <f>IFERROR(VLOOKUP(Proc[[#This Row],[App]],Table2[],3,0),"open")</f>
        <v>open</v>
      </c>
      <c r="C2757" s="103" t="s">
        <v>404</v>
      </c>
      <c r="D2757" t="s">
        <v>4704</v>
      </c>
      <c r="E2757" t="s">
        <v>4776</v>
      </c>
      <c r="F2757" s="94" t="s">
        <v>4818</v>
      </c>
      <c r="G2757" s="103" t="s">
        <v>406</v>
      </c>
      <c r="H2757" s="94" t="str">
        <f>IF(Proc[[#This Row],[type]]="LFF (MDG-F)",MID(Proc[[#This Row],[Obj]],13,10),"")</f>
        <v>DE20538144</v>
      </c>
      <c r="J2757" s="94" t="b">
        <f>Proc[[#This Row],[Requested]]=Proc[[#This Row],[CurrentParent]]</f>
        <v>0</v>
      </c>
      <c r="K2757" s="94" t="str">
        <f>IF(Proc[[#This Row],[Author]]="Marcela Urrego",VLOOKUP(LEFT(Proc[[#This Row],[Requested]],1),Table3[#All],2,0),VLOOKUP(Proc[[#This Row],[Author]],Table4[],2,0))</f>
        <v>MGF</v>
      </c>
      <c r="L2757" s="94"/>
      <c r="M2757" s="109">
        <v>45841.453541666669</v>
      </c>
      <c r="N2757" s="109"/>
      <c r="O2757" s="109"/>
      <c r="P2757" s="110" t="str">
        <f ca="1">IF(Proc[[#This Row],[DaysAgeing]]&gt;5,"yep","on track")</f>
        <v>on track</v>
      </c>
      <c r="Q2757" s="3">
        <f ca="1">IF(Proc[[#This Row],[DateClosed]]="",ABS(NETWORKDAYS(Proc[[#This Row],[DateOpened]],TODAY()))-1,ABS(NETWORKDAYS(Proc[[#This Row],[DateOpened]],Proc[[#This Row],[DateClosed]]))-1)</f>
        <v>1</v>
      </c>
      <c r="R2757" s="110" t="s">
        <v>485</v>
      </c>
      <c r="S2757" s="94"/>
    </row>
    <row r="2758" spans="1:19">
      <c r="A2758" s="103" t="s">
        <v>4448</v>
      </c>
      <c r="B2758" s="94" t="str">
        <f>IFERROR(VLOOKUP(Proc[[#This Row],[App]],Table2[],3,0),"open")</f>
        <v>open</v>
      </c>
      <c r="C2758" s="103" t="s">
        <v>404</v>
      </c>
      <c r="D2758" t="s">
        <v>4705</v>
      </c>
      <c r="E2758" t="s">
        <v>4776</v>
      </c>
      <c r="F2758" s="94" t="s">
        <v>4818</v>
      </c>
      <c r="G2758" s="103" t="s">
        <v>406</v>
      </c>
      <c r="H2758" s="94" t="str">
        <f>IF(Proc[[#This Row],[type]]="LFF (MDG-F)",MID(Proc[[#This Row],[Obj]],13,10),"")</f>
        <v>DE20538161</v>
      </c>
      <c r="J2758" s="94" t="b">
        <f>Proc[[#This Row],[Requested]]=Proc[[#This Row],[CurrentParent]]</f>
        <v>0</v>
      </c>
      <c r="K2758" s="94" t="str">
        <f>IF(Proc[[#This Row],[Author]]="Marcela Urrego",VLOOKUP(LEFT(Proc[[#This Row],[Requested]],1),Table3[#All],2,0),VLOOKUP(Proc[[#This Row],[Author]],Table4[],2,0))</f>
        <v>MGF</v>
      </c>
      <c r="L2758" s="94"/>
      <c r="M2758" s="109">
        <v>45841.453541666669</v>
      </c>
      <c r="N2758" s="109"/>
      <c r="O2758" s="109"/>
      <c r="P2758" s="110" t="str">
        <f ca="1">IF(Proc[[#This Row],[DaysAgeing]]&gt;5,"yep","on track")</f>
        <v>on track</v>
      </c>
      <c r="Q2758" s="3">
        <f ca="1">IF(Proc[[#This Row],[DateClosed]]="",ABS(NETWORKDAYS(Proc[[#This Row],[DateOpened]],TODAY()))-1,ABS(NETWORKDAYS(Proc[[#This Row],[DateOpened]],Proc[[#This Row],[DateClosed]]))-1)</f>
        <v>1</v>
      </c>
      <c r="R2758" s="110" t="s">
        <v>485</v>
      </c>
      <c r="S2758" s="94"/>
    </row>
    <row r="2759" spans="1:19">
      <c r="A2759" s="103" t="s">
        <v>4448</v>
      </c>
      <c r="B2759" s="94" t="str">
        <f>IFERROR(VLOOKUP(Proc[[#This Row],[App]],Table2[],3,0),"open")</f>
        <v>open</v>
      </c>
      <c r="C2759" s="103" t="s">
        <v>404</v>
      </c>
      <c r="D2759" t="s">
        <v>4706</v>
      </c>
      <c r="E2759" t="s">
        <v>4777</v>
      </c>
      <c r="F2759" s="94" t="s">
        <v>4818</v>
      </c>
      <c r="G2759" s="103" t="s">
        <v>406</v>
      </c>
      <c r="H2759" s="94" t="str">
        <f>IF(Proc[[#This Row],[type]]="LFF (MDG-F)",MID(Proc[[#This Row],[Obj]],13,10),"")</f>
        <v>DE20538174</v>
      </c>
      <c r="J2759" s="94" t="b">
        <f>Proc[[#This Row],[Requested]]=Proc[[#This Row],[CurrentParent]]</f>
        <v>0</v>
      </c>
      <c r="K2759" s="94" t="str">
        <f>IF(Proc[[#This Row],[Author]]="Marcela Urrego",VLOOKUP(LEFT(Proc[[#This Row],[Requested]],1),Table3[#All],2,0),VLOOKUP(Proc[[#This Row],[Author]],Table4[],2,0))</f>
        <v>MGF</v>
      </c>
      <c r="L2759" s="94"/>
      <c r="M2759" s="109">
        <v>45841.453541666669</v>
      </c>
      <c r="N2759" s="109"/>
      <c r="O2759" s="109"/>
      <c r="P2759" s="110" t="str">
        <f ca="1">IF(Proc[[#This Row],[DaysAgeing]]&gt;5,"yep","on track")</f>
        <v>on track</v>
      </c>
      <c r="Q2759" s="3">
        <f ca="1">IF(Proc[[#This Row],[DateClosed]]="",ABS(NETWORKDAYS(Proc[[#This Row],[DateOpened]],TODAY()))-1,ABS(NETWORKDAYS(Proc[[#This Row],[DateOpened]],Proc[[#This Row],[DateClosed]]))-1)</f>
        <v>1</v>
      </c>
      <c r="R2759" s="110" t="s">
        <v>485</v>
      </c>
      <c r="S2759" s="94"/>
    </row>
    <row r="2760" spans="1:19">
      <c r="A2760" s="103" t="s">
        <v>4448</v>
      </c>
      <c r="B2760" s="94" t="str">
        <f>IFERROR(VLOOKUP(Proc[[#This Row],[App]],Table2[],3,0),"open")</f>
        <v>open</v>
      </c>
      <c r="C2760" s="103" t="s">
        <v>404</v>
      </c>
      <c r="D2760" t="s">
        <v>4707</v>
      </c>
      <c r="E2760" t="s">
        <v>4777</v>
      </c>
      <c r="F2760" s="94" t="s">
        <v>4817</v>
      </c>
      <c r="G2760" s="103" t="s">
        <v>406</v>
      </c>
      <c r="H2760" s="94" t="str">
        <f>IF(Proc[[#This Row],[type]]="LFF (MDG-F)",MID(Proc[[#This Row],[Obj]],13,10),"")</f>
        <v>DE20538178</v>
      </c>
      <c r="J2760" s="94" t="b">
        <f>Proc[[#This Row],[Requested]]=Proc[[#This Row],[CurrentParent]]</f>
        <v>0</v>
      </c>
      <c r="K2760" s="94" t="str">
        <f>IF(Proc[[#This Row],[Author]]="Marcela Urrego",VLOOKUP(LEFT(Proc[[#This Row],[Requested]],1),Table3[#All],2,0),VLOOKUP(Proc[[#This Row],[Author]],Table4[],2,0))</f>
        <v>MGF</v>
      </c>
      <c r="L2760" s="94"/>
      <c r="M2760" s="109">
        <v>45841.453541666669</v>
      </c>
      <c r="N2760" s="109"/>
      <c r="O2760" s="109"/>
      <c r="P2760" s="110" t="str">
        <f ca="1">IF(Proc[[#This Row],[DaysAgeing]]&gt;5,"yep","on track")</f>
        <v>on track</v>
      </c>
      <c r="Q2760" s="3">
        <f ca="1">IF(Proc[[#This Row],[DateClosed]]="",ABS(NETWORKDAYS(Proc[[#This Row],[DateOpened]],TODAY()))-1,ABS(NETWORKDAYS(Proc[[#This Row],[DateOpened]],Proc[[#This Row],[DateClosed]]))-1)</f>
        <v>1</v>
      </c>
      <c r="R2760" s="110" t="s">
        <v>485</v>
      </c>
      <c r="S2760" s="94"/>
    </row>
    <row r="2761" spans="1:19">
      <c r="A2761" s="103" t="s">
        <v>4448</v>
      </c>
      <c r="B2761" s="94" t="str">
        <f>IFERROR(VLOOKUP(Proc[[#This Row],[App]],Table2[],3,0),"open")</f>
        <v>open</v>
      </c>
      <c r="C2761" s="103" t="s">
        <v>404</v>
      </c>
      <c r="D2761" t="s">
        <v>4708</v>
      </c>
      <c r="E2761" t="s">
        <v>4776</v>
      </c>
      <c r="F2761" s="94" t="s">
        <v>4817</v>
      </c>
      <c r="G2761" s="103" t="s">
        <v>406</v>
      </c>
      <c r="H2761" s="94" t="str">
        <f>IF(Proc[[#This Row],[type]]="LFF (MDG-F)",MID(Proc[[#This Row],[Obj]],13,10),"")</f>
        <v>DE20538192</v>
      </c>
      <c r="J2761" s="94" t="b">
        <f>Proc[[#This Row],[Requested]]=Proc[[#This Row],[CurrentParent]]</f>
        <v>0</v>
      </c>
      <c r="K2761" s="94" t="str">
        <f>IF(Proc[[#This Row],[Author]]="Marcela Urrego",VLOOKUP(LEFT(Proc[[#This Row],[Requested]],1),Table3[#All],2,0),VLOOKUP(Proc[[#This Row],[Author]],Table4[],2,0))</f>
        <v>MGF</v>
      </c>
      <c r="L2761" s="94"/>
      <c r="M2761" s="109">
        <v>45841.453541666669</v>
      </c>
      <c r="N2761" s="109"/>
      <c r="O2761" s="109"/>
      <c r="P2761" s="110" t="str">
        <f ca="1">IF(Proc[[#This Row],[DaysAgeing]]&gt;5,"yep","on track")</f>
        <v>on track</v>
      </c>
      <c r="Q2761" s="3">
        <f ca="1">IF(Proc[[#This Row],[DateClosed]]="",ABS(NETWORKDAYS(Proc[[#This Row],[DateOpened]],TODAY()))-1,ABS(NETWORKDAYS(Proc[[#This Row],[DateOpened]],Proc[[#This Row],[DateClosed]]))-1)</f>
        <v>1</v>
      </c>
      <c r="R2761" s="110" t="s">
        <v>485</v>
      </c>
      <c r="S2761" s="94"/>
    </row>
    <row r="2762" spans="1:19">
      <c r="A2762" s="103" t="s">
        <v>4448</v>
      </c>
      <c r="B2762" s="94" t="str">
        <f>IFERROR(VLOOKUP(Proc[[#This Row],[App]],Table2[],3,0),"open")</f>
        <v>open</v>
      </c>
      <c r="C2762" s="103" t="s">
        <v>404</v>
      </c>
      <c r="D2762" t="s">
        <v>4709</v>
      </c>
      <c r="E2762" t="s">
        <v>4777</v>
      </c>
      <c r="F2762" s="94" t="s">
        <v>4818</v>
      </c>
      <c r="G2762" s="103" t="s">
        <v>406</v>
      </c>
      <c r="H2762" s="94" t="str">
        <f>IF(Proc[[#This Row],[type]]="LFF (MDG-F)",MID(Proc[[#This Row],[Obj]],13,10),"")</f>
        <v>DE20538397</v>
      </c>
      <c r="J2762" s="94" t="b">
        <f>Proc[[#This Row],[Requested]]=Proc[[#This Row],[CurrentParent]]</f>
        <v>0</v>
      </c>
      <c r="K2762" s="94" t="str">
        <f>IF(Proc[[#This Row],[Author]]="Marcela Urrego",VLOOKUP(LEFT(Proc[[#This Row],[Requested]],1),Table3[#All],2,0),VLOOKUP(Proc[[#This Row],[Author]],Table4[],2,0))</f>
        <v>MGF</v>
      </c>
      <c r="L2762" s="94"/>
      <c r="M2762" s="109">
        <v>45841.453541666669</v>
      </c>
      <c r="N2762" s="109"/>
      <c r="O2762" s="109"/>
      <c r="P2762" s="110" t="str">
        <f ca="1">IF(Proc[[#This Row],[DaysAgeing]]&gt;5,"yep","on track")</f>
        <v>on track</v>
      </c>
      <c r="Q2762" s="3">
        <f ca="1">IF(Proc[[#This Row],[DateClosed]]="",ABS(NETWORKDAYS(Proc[[#This Row],[DateOpened]],TODAY()))-1,ABS(NETWORKDAYS(Proc[[#This Row],[DateOpened]],Proc[[#This Row],[DateClosed]]))-1)</f>
        <v>1</v>
      </c>
      <c r="R2762" s="110" t="s">
        <v>485</v>
      </c>
      <c r="S2762" s="94"/>
    </row>
    <row r="2763" spans="1:19">
      <c r="A2763" s="103" t="s">
        <v>4448</v>
      </c>
      <c r="B2763" s="94" t="str">
        <f>IFERROR(VLOOKUP(Proc[[#This Row],[App]],Table2[],3,0),"open")</f>
        <v>open</v>
      </c>
      <c r="C2763" s="103" t="s">
        <v>404</v>
      </c>
      <c r="D2763" t="s">
        <v>4710</v>
      </c>
      <c r="E2763" t="s">
        <v>4776</v>
      </c>
      <c r="F2763" s="94" t="s">
        <v>4824</v>
      </c>
      <c r="G2763" s="103" t="s">
        <v>406</v>
      </c>
      <c r="H2763" s="94" t="str">
        <f>IF(Proc[[#This Row],[type]]="LFF (MDG-F)",MID(Proc[[#This Row],[Obj]],13,10),"")</f>
        <v>DE20538556</v>
      </c>
      <c r="J2763" s="94" t="b">
        <f>Proc[[#This Row],[Requested]]=Proc[[#This Row],[CurrentParent]]</f>
        <v>0</v>
      </c>
      <c r="K2763" s="94" t="str">
        <f>IF(Proc[[#This Row],[Author]]="Marcela Urrego",VLOOKUP(LEFT(Proc[[#This Row],[Requested]],1),Table3[#All],2,0),VLOOKUP(Proc[[#This Row],[Author]],Table4[],2,0))</f>
        <v>MGF</v>
      </c>
      <c r="L2763" s="94"/>
      <c r="M2763" s="109">
        <v>45841.453541666669</v>
      </c>
      <c r="N2763" s="109"/>
      <c r="O2763" s="109"/>
      <c r="P2763" s="110" t="str">
        <f ca="1">IF(Proc[[#This Row],[DaysAgeing]]&gt;5,"yep","on track")</f>
        <v>on track</v>
      </c>
      <c r="Q2763" s="3">
        <f ca="1">IF(Proc[[#This Row],[DateClosed]]="",ABS(NETWORKDAYS(Proc[[#This Row],[DateOpened]],TODAY()))-1,ABS(NETWORKDAYS(Proc[[#This Row],[DateOpened]],Proc[[#This Row],[DateClosed]]))-1)</f>
        <v>1</v>
      </c>
      <c r="R2763" s="110" t="s">
        <v>485</v>
      </c>
      <c r="S2763" s="94"/>
    </row>
    <row r="2764" spans="1:19">
      <c r="A2764" s="103" t="s">
        <v>4448</v>
      </c>
      <c r="B2764" s="94" t="str">
        <f>IFERROR(VLOOKUP(Proc[[#This Row],[App]],Table2[],3,0),"open")</f>
        <v>open</v>
      </c>
      <c r="C2764" s="103" t="s">
        <v>404</v>
      </c>
      <c r="D2764" t="s">
        <v>4711</v>
      </c>
      <c r="E2764" t="s">
        <v>4777</v>
      </c>
      <c r="F2764" s="94" t="s">
        <v>4821</v>
      </c>
      <c r="G2764" s="103" t="s">
        <v>406</v>
      </c>
      <c r="H2764" s="94" t="str">
        <f>IF(Proc[[#This Row],[type]]="LFF (MDG-F)",MID(Proc[[#This Row],[Obj]],13,10),"")</f>
        <v>DE20538654</v>
      </c>
      <c r="J2764" s="94" t="b">
        <f>Proc[[#This Row],[Requested]]=Proc[[#This Row],[CurrentParent]]</f>
        <v>0</v>
      </c>
      <c r="K2764" s="94" t="str">
        <f>IF(Proc[[#This Row],[Author]]="Marcela Urrego",VLOOKUP(LEFT(Proc[[#This Row],[Requested]],1),Table3[#All],2,0),VLOOKUP(Proc[[#This Row],[Author]],Table4[],2,0))</f>
        <v>MGF</v>
      </c>
      <c r="L2764" s="94"/>
      <c r="M2764" s="109">
        <v>45841.453541666669</v>
      </c>
      <c r="N2764" s="109"/>
      <c r="O2764" s="109"/>
      <c r="P2764" s="110" t="str">
        <f ca="1">IF(Proc[[#This Row],[DaysAgeing]]&gt;5,"yep","on track")</f>
        <v>on track</v>
      </c>
      <c r="Q2764" s="3">
        <f ca="1">IF(Proc[[#This Row],[DateClosed]]="",ABS(NETWORKDAYS(Proc[[#This Row],[DateOpened]],TODAY()))-1,ABS(NETWORKDAYS(Proc[[#This Row],[DateOpened]],Proc[[#This Row],[DateClosed]]))-1)</f>
        <v>1</v>
      </c>
      <c r="R2764" s="110" t="s">
        <v>485</v>
      </c>
      <c r="S2764" s="94"/>
    </row>
    <row r="2765" spans="1:19">
      <c r="A2765" s="103" t="s">
        <v>4448</v>
      </c>
      <c r="B2765" s="94" t="str">
        <f>IFERROR(VLOOKUP(Proc[[#This Row],[App]],Table2[],3,0),"open")</f>
        <v>open</v>
      </c>
      <c r="C2765" s="103" t="s">
        <v>404</v>
      </c>
      <c r="D2765" t="s">
        <v>4712</v>
      </c>
      <c r="E2765" t="s">
        <v>4776</v>
      </c>
      <c r="F2765" s="94" t="s">
        <v>4825</v>
      </c>
      <c r="G2765" s="103" t="s">
        <v>406</v>
      </c>
      <c r="H2765" s="94" t="str">
        <f>IF(Proc[[#This Row],[type]]="LFF (MDG-F)",MID(Proc[[#This Row],[Obj]],13,10),"")</f>
        <v>DE20579990</v>
      </c>
      <c r="J2765" s="94" t="b">
        <f>Proc[[#This Row],[Requested]]=Proc[[#This Row],[CurrentParent]]</f>
        <v>0</v>
      </c>
      <c r="K2765" s="94" t="str">
        <f>IF(Proc[[#This Row],[Author]]="Marcela Urrego",VLOOKUP(LEFT(Proc[[#This Row],[Requested]],1),Table3[#All],2,0),VLOOKUP(Proc[[#This Row],[Author]],Table4[],2,0))</f>
        <v>MGF</v>
      </c>
      <c r="L2765" s="94"/>
      <c r="M2765" s="109">
        <v>45841.453541666669</v>
      </c>
      <c r="N2765" s="109"/>
      <c r="O2765" s="109"/>
      <c r="P2765" s="110" t="str">
        <f ca="1">IF(Proc[[#This Row],[DaysAgeing]]&gt;5,"yep","on track")</f>
        <v>on track</v>
      </c>
      <c r="Q2765" s="3">
        <f ca="1">IF(Proc[[#This Row],[DateClosed]]="",ABS(NETWORKDAYS(Proc[[#This Row],[DateOpened]],TODAY()))-1,ABS(NETWORKDAYS(Proc[[#This Row],[DateOpened]],Proc[[#This Row],[DateClosed]]))-1)</f>
        <v>1</v>
      </c>
      <c r="R2765" s="110" t="s">
        <v>485</v>
      </c>
      <c r="S2765" s="94"/>
    </row>
    <row r="2766" spans="1:19">
      <c r="A2766" s="103" t="s">
        <v>4448</v>
      </c>
      <c r="B2766" s="94" t="str">
        <f>IFERROR(VLOOKUP(Proc[[#This Row],[App]],Table2[],3,0),"open")</f>
        <v>open</v>
      </c>
      <c r="C2766" s="103" t="s">
        <v>404</v>
      </c>
      <c r="D2766" t="s">
        <v>4713</v>
      </c>
      <c r="E2766" t="s">
        <v>4777</v>
      </c>
      <c r="F2766" s="94" t="s">
        <v>4826</v>
      </c>
      <c r="G2766" s="103" t="s">
        <v>406</v>
      </c>
      <c r="H2766" s="94" t="str">
        <f>IF(Proc[[#This Row],[type]]="LFF (MDG-F)",MID(Proc[[#This Row],[Obj]],13,10),"")</f>
        <v>DE20538107</v>
      </c>
      <c r="J2766" s="94" t="b">
        <f>Proc[[#This Row],[Requested]]=Proc[[#This Row],[CurrentParent]]</f>
        <v>0</v>
      </c>
      <c r="K2766" s="94" t="str">
        <f>IF(Proc[[#This Row],[Author]]="Marcela Urrego",VLOOKUP(LEFT(Proc[[#This Row],[Requested]],1),Table3[#All],2,0),VLOOKUP(Proc[[#This Row],[Author]],Table4[],2,0))</f>
        <v>MGF</v>
      </c>
      <c r="L2766" s="94"/>
      <c r="M2766" s="109">
        <v>45841.453541666669</v>
      </c>
      <c r="N2766" s="109"/>
      <c r="O2766" s="109"/>
      <c r="P2766" s="110" t="str">
        <f ca="1">IF(Proc[[#This Row],[DaysAgeing]]&gt;5,"yep","on track")</f>
        <v>on track</v>
      </c>
      <c r="Q2766" s="3">
        <f ca="1">IF(Proc[[#This Row],[DateClosed]]="",ABS(NETWORKDAYS(Proc[[#This Row],[DateOpened]],TODAY()))-1,ABS(NETWORKDAYS(Proc[[#This Row],[DateOpened]],Proc[[#This Row],[DateClosed]]))-1)</f>
        <v>1</v>
      </c>
      <c r="R2766" s="110" t="s">
        <v>485</v>
      </c>
      <c r="S2766" s="94"/>
    </row>
    <row r="2767" spans="1:19">
      <c r="A2767" s="103" t="s">
        <v>4448</v>
      </c>
      <c r="B2767" s="94" t="str">
        <f>IFERROR(VLOOKUP(Proc[[#This Row],[App]],Table2[],3,0),"open")</f>
        <v>open</v>
      </c>
      <c r="C2767" s="103" t="s">
        <v>404</v>
      </c>
      <c r="D2767" t="s">
        <v>4714</v>
      </c>
      <c r="E2767" t="s">
        <v>4779</v>
      </c>
      <c r="F2767" s="94" t="s">
        <v>4827</v>
      </c>
      <c r="G2767" s="103" t="s">
        <v>406</v>
      </c>
      <c r="H2767" s="94" t="str">
        <f>IF(Proc[[#This Row],[type]]="LFF (MDG-F)",MID(Proc[[#This Row],[Obj]],13,10),"")</f>
        <v>DE20538118</v>
      </c>
      <c r="J2767" s="94" t="b">
        <f>Proc[[#This Row],[Requested]]=Proc[[#This Row],[CurrentParent]]</f>
        <v>0</v>
      </c>
      <c r="K2767" s="94" t="str">
        <f>IF(Proc[[#This Row],[Author]]="Marcela Urrego",VLOOKUP(LEFT(Proc[[#This Row],[Requested]],1),Table3[#All],2,0),VLOOKUP(Proc[[#This Row],[Author]],Table4[],2,0))</f>
        <v>MGF</v>
      </c>
      <c r="L2767" s="94"/>
      <c r="M2767" s="109">
        <v>45841.453541666669</v>
      </c>
      <c r="N2767" s="109"/>
      <c r="O2767" s="109"/>
      <c r="P2767" s="110" t="str">
        <f ca="1">IF(Proc[[#This Row],[DaysAgeing]]&gt;5,"yep","on track")</f>
        <v>on track</v>
      </c>
      <c r="Q2767" s="3">
        <f ca="1">IF(Proc[[#This Row],[DateClosed]]="",ABS(NETWORKDAYS(Proc[[#This Row],[DateOpened]],TODAY()))-1,ABS(NETWORKDAYS(Proc[[#This Row],[DateOpened]],Proc[[#This Row],[DateClosed]]))-1)</f>
        <v>1</v>
      </c>
      <c r="R2767" s="110" t="s">
        <v>485</v>
      </c>
      <c r="S2767" s="94"/>
    </row>
    <row r="2768" spans="1:19">
      <c r="A2768" s="103" t="s">
        <v>4448</v>
      </c>
      <c r="B2768" s="94" t="str">
        <f>IFERROR(VLOOKUP(Proc[[#This Row],[App]],Table2[],3,0),"open")</f>
        <v>open</v>
      </c>
      <c r="C2768" s="103" t="s">
        <v>404</v>
      </c>
      <c r="D2768" t="s">
        <v>4715</v>
      </c>
      <c r="E2768" t="s">
        <v>4777</v>
      </c>
      <c r="F2768" s="94" t="s">
        <v>4827</v>
      </c>
      <c r="G2768" s="103" t="s">
        <v>406</v>
      </c>
      <c r="H2768" s="94" t="str">
        <f>IF(Proc[[#This Row],[type]]="LFF (MDG-F)",MID(Proc[[#This Row],[Obj]],13,10),"")</f>
        <v>DE20538136</v>
      </c>
      <c r="J2768" s="94" t="b">
        <f>Proc[[#This Row],[Requested]]=Proc[[#This Row],[CurrentParent]]</f>
        <v>0</v>
      </c>
      <c r="K2768" s="94" t="str">
        <f>IF(Proc[[#This Row],[Author]]="Marcela Urrego",VLOOKUP(LEFT(Proc[[#This Row],[Requested]],1),Table3[#All],2,0),VLOOKUP(Proc[[#This Row],[Author]],Table4[],2,0))</f>
        <v>MGF</v>
      </c>
      <c r="L2768" s="94"/>
      <c r="M2768" s="109">
        <v>45841.453541666669</v>
      </c>
      <c r="N2768" s="109"/>
      <c r="O2768" s="109"/>
      <c r="P2768" s="110" t="str">
        <f ca="1">IF(Proc[[#This Row],[DaysAgeing]]&gt;5,"yep","on track")</f>
        <v>on track</v>
      </c>
      <c r="Q2768" s="3">
        <f ca="1">IF(Proc[[#This Row],[DateClosed]]="",ABS(NETWORKDAYS(Proc[[#This Row],[DateOpened]],TODAY()))-1,ABS(NETWORKDAYS(Proc[[#This Row],[DateOpened]],Proc[[#This Row],[DateClosed]]))-1)</f>
        <v>1</v>
      </c>
      <c r="R2768" s="110" t="s">
        <v>485</v>
      </c>
      <c r="S2768" s="94"/>
    </row>
    <row r="2769" spans="1:19">
      <c r="A2769" s="103" t="s">
        <v>4448</v>
      </c>
      <c r="B2769" s="94" t="str">
        <f>IFERROR(VLOOKUP(Proc[[#This Row],[App]],Table2[],3,0),"open")</f>
        <v>open</v>
      </c>
      <c r="C2769" s="103" t="s">
        <v>404</v>
      </c>
      <c r="D2769" t="s">
        <v>4716</v>
      </c>
      <c r="E2769" t="s">
        <v>4777</v>
      </c>
      <c r="F2769" s="94" t="s">
        <v>4828</v>
      </c>
      <c r="G2769" s="103" t="s">
        <v>406</v>
      </c>
      <c r="H2769" s="94" t="str">
        <f>IF(Proc[[#This Row],[type]]="LFF (MDG-F)",MID(Proc[[#This Row],[Obj]],13,10),"")</f>
        <v>DE20538137</v>
      </c>
      <c r="J2769" s="94" t="b">
        <f>Proc[[#This Row],[Requested]]=Proc[[#This Row],[CurrentParent]]</f>
        <v>0</v>
      </c>
      <c r="K2769" s="94" t="str">
        <f>IF(Proc[[#This Row],[Author]]="Marcela Urrego",VLOOKUP(LEFT(Proc[[#This Row],[Requested]],1),Table3[#All],2,0),VLOOKUP(Proc[[#This Row],[Author]],Table4[],2,0))</f>
        <v>MGF</v>
      </c>
      <c r="L2769" s="94"/>
      <c r="M2769" s="109">
        <v>45841.453541666669</v>
      </c>
      <c r="N2769" s="109"/>
      <c r="O2769" s="109"/>
      <c r="P2769" s="110" t="str">
        <f ca="1">IF(Proc[[#This Row],[DaysAgeing]]&gt;5,"yep","on track")</f>
        <v>on track</v>
      </c>
      <c r="Q2769" s="3">
        <f ca="1">IF(Proc[[#This Row],[DateClosed]]="",ABS(NETWORKDAYS(Proc[[#This Row],[DateOpened]],TODAY()))-1,ABS(NETWORKDAYS(Proc[[#This Row],[DateOpened]],Proc[[#This Row],[DateClosed]]))-1)</f>
        <v>1</v>
      </c>
      <c r="R2769" s="110" t="s">
        <v>485</v>
      </c>
      <c r="S2769" s="94"/>
    </row>
    <row r="2770" spans="1:19">
      <c r="A2770" s="103" t="s">
        <v>4448</v>
      </c>
      <c r="B2770" s="94" t="str">
        <f>IFERROR(VLOOKUP(Proc[[#This Row],[App]],Table2[],3,0),"open")</f>
        <v>open</v>
      </c>
      <c r="C2770" s="103" t="s">
        <v>404</v>
      </c>
      <c r="D2770" t="s">
        <v>4717</v>
      </c>
      <c r="E2770" t="s">
        <v>4777</v>
      </c>
      <c r="F2770" s="94" t="s">
        <v>4827</v>
      </c>
      <c r="G2770" s="103" t="s">
        <v>406</v>
      </c>
      <c r="H2770" s="94" t="str">
        <f>IF(Proc[[#This Row],[type]]="LFF (MDG-F)",MID(Proc[[#This Row],[Obj]],13,10),"")</f>
        <v>DE20538141</v>
      </c>
      <c r="J2770" s="94" t="b">
        <f>Proc[[#This Row],[Requested]]=Proc[[#This Row],[CurrentParent]]</f>
        <v>0</v>
      </c>
      <c r="K2770" s="94" t="str">
        <f>IF(Proc[[#This Row],[Author]]="Marcela Urrego",VLOOKUP(LEFT(Proc[[#This Row],[Requested]],1),Table3[#All],2,0),VLOOKUP(Proc[[#This Row],[Author]],Table4[],2,0))</f>
        <v>MGF</v>
      </c>
      <c r="L2770" s="94"/>
      <c r="M2770" s="109">
        <v>45841.453541666669</v>
      </c>
      <c r="N2770" s="109"/>
      <c r="O2770" s="109"/>
      <c r="P2770" s="110" t="str">
        <f ca="1">IF(Proc[[#This Row],[DaysAgeing]]&gt;5,"yep","on track")</f>
        <v>on track</v>
      </c>
      <c r="Q2770" s="3">
        <f ca="1">IF(Proc[[#This Row],[DateClosed]]="",ABS(NETWORKDAYS(Proc[[#This Row],[DateOpened]],TODAY()))-1,ABS(NETWORKDAYS(Proc[[#This Row],[DateOpened]],Proc[[#This Row],[DateClosed]]))-1)</f>
        <v>1</v>
      </c>
      <c r="R2770" s="110" t="s">
        <v>485</v>
      </c>
      <c r="S2770" s="94"/>
    </row>
    <row r="2771" spans="1:19">
      <c r="A2771" s="103" t="s">
        <v>4448</v>
      </c>
      <c r="B2771" s="94" t="str">
        <f>IFERROR(VLOOKUP(Proc[[#This Row],[App]],Table2[],3,0),"open")</f>
        <v>open</v>
      </c>
      <c r="C2771" s="103" t="s">
        <v>404</v>
      </c>
      <c r="D2771" t="s">
        <v>4718</v>
      </c>
      <c r="E2771" t="s">
        <v>4777</v>
      </c>
      <c r="F2771" s="94" t="s">
        <v>4829</v>
      </c>
      <c r="G2771" s="103" t="s">
        <v>406</v>
      </c>
      <c r="H2771" s="94" t="str">
        <f>IF(Proc[[#This Row],[type]]="LFF (MDG-F)",MID(Proc[[#This Row],[Obj]],13,10),"")</f>
        <v>DE20538143</v>
      </c>
      <c r="J2771" s="94" t="b">
        <f>Proc[[#This Row],[Requested]]=Proc[[#This Row],[CurrentParent]]</f>
        <v>0</v>
      </c>
      <c r="K2771" s="94" t="str">
        <f>IF(Proc[[#This Row],[Author]]="Marcela Urrego",VLOOKUP(LEFT(Proc[[#This Row],[Requested]],1),Table3[#All],2,0),VLOOKUP(Proc[[#This Row],[Author]],Table4[],2,0))</f>
        <v>MGF</v>
      </c>
      <c r="L2771" s="94"/>
      <c r="M2771" s="109">
        <v>45841.453541666669</v>
      </c>
      <c r="N2771" s="109"/>
      <c r="O2771" s="109"/>
      <c r="P2771" s="110" t="str">
        <f ca="1">IF(Proc[[#This Row],[DaysAgeing]]&gt;5,"yep","on track")</f>
        <v>on track</v>
      </c>
      <c r="Q2771" s="3">
        <f ca="1">IF(Proc[[#This Row],[DateClosed]]="",ABS(NETWORKDAYS(Proc[[#This Row],[DateOpened]],TODAY()))-1,ABS(NETWORKDAYS(Proc[[#This Row],[DateOpened]],Proc[[#This Row],[DateClosed]]))-1)</f>
        <v>1</v>
      </c>
      <c r="R2771" s="110" t="s">
        <v>485</v>
      </c>
      <c r="S2771" s="94"/>
    </row>
    <row r="2772" spans="1:19">
      <c r="A2772" s="103" t="s">
        <v>4448</v>
      </c>
      <c r="B2772" s="94" t="str">
        <f>IFERROR(VLOOKUP(Proc[[#This Row],[App]],Table2[],3,0),"open")</f>
        <v>open</v>
      </c>
      <c r="C2772" s="103" t="s">
        <v>404</v>
      </c>
      <c r="D2772" t="s">
        <v>4719</v>
      </c>
      <c r="E2772" t="s">
        <v>4777</v>
      </c>
      <c r="F2772" s="94" t="s">
        <v>4830</v>
      </c>
      <c r="G2772" s="103" t="s">
        <v>406</v>
      </c>
      <c r="H2772" s="94" t="str">
        <f>IF(Proc[[#This Row],[type]]="LFF (MDG-F)",MID(Proc[[#This Row],[Obj]],13,10),"")</f>
        <v>DE20538147</v>
      </c>
      <c r="J2772" s="94" t="b">
        <f>Proc[[#This Row],[Requested]]=Proc[[#This Row],[CurrentParent]]</f>
        <v>0</v>
      </c>
      <c r="K2772" s="94" t="str">
        <f>IF(Proc[[#This Row],[Author]]="Marcela Urrego",VLOOKUP(LEFT(Proc[[#This Row],[Requested]],1),Table3[#All],2,0),VLOOKUP(Proc[[#This Row],[Author]],Table4[],2,0))</f>
        <v>MGF</v>
      </c>
      <c r="L2772" s="94"/>
      <c r="M2772" s="109">
        <v>45841.453541666669</v>
      </c>
      <c r="N2772" s="109"/>
      <c r="O2772" s="109"/>
      <c r="P2772" s="110" t="str">
        <f ca="1">IF(Proc[[#This Row],[DaysAgeing]]&gt;5,"yep","on track")</f>
        <v>on track</v>
      </c>
      <c r="Q2772" s="3">
        <f ca="1">IF(Proc[[#This Row],[DateClosed]]="",ABS(NETWORKDAYS(Proc[[#This Row],[DateOpened]],TODAY()))-1,ABS(NETWORKDAYS(Proc[[#This Row],[DateOpened]],Proc[[#This Row],[DateClosed]]))-1)</f>
        <v>1</v>
      </c>
      <c r="R2772" s="110" t="s">
        <v>485</v>
      </c>
      <c r="S2772" s="94"/>
    </row>
    <row r="2773" spans="1:19">
      <c r="A2773" s="103" t="s">
        <v>4448</v>
      </c>
      <c r="B2773" s="94" t="str">
        <f>IFERROR(VLOOKUP(Proc[[#This Row],[App]],Table2[],3,0),"open")</f>
        <v>open</v>
      </c>
      <c r="C2773" s="103" t="s">
        <v>404</v>
      </c>
      <c r="D2773" t="s">
        <v>4720</v>
      </c>
      <c r="E2773" t="s">
        <v>4780</v>
      </c>
      <c r="F2773" s="94" t="s">
        <v>4831</v>
      </c>
      <c r="G2773" s="103" t="s">
        <v>406</v>
      </c>
      <c r="H2773" s="94" t="str">
        <f>IF(Proc[[#This Row],[type]]="LFF (MDG-F)",MID(Proc[[#This Row],[Obj]],13,10),"")</f>
        <v>DE20538148</v>
      </c>
      <c r="J2773" s="94" t="b">
        <f>Proc[[#This Row],[Requested]]=Proc[[#This Row],[CurrentParent]]</f>
        <v>0</v>
      </c>
      <c r="K2773" s="94" t="str">
        <f>IF(Proc[[#This Row],[Author]]="Marcela Urrego",VLOOKUP(LEFT(Proc[[#This Row],[Requested]],1),Table3[#All],2,0),VLOOKUP(Proc[[#This Row],[Author]],Table4[],2,0))</f>
        <v>MGF</v>
      </c>
      <c r="L2773" s="94"/>
      <c r="M2773" s="109">
        <v>45841.453541666669</v>
      </c>
      <c r="N2773" s="109"/>
      <c r="O2773" s="109"/>
      <c r="P2773" s="110" t="str">
        <f ca="1">IF(Proc[[#This Row],[DaysAgeing]]&gt;5,"yep","on track")</f>
        <v>on track</v>
      </c>
      <c r="Q2773" s="3">
        <f ca="1">IF(Proc[[#This Row],[DateClosed]]="",ABS(NETWORKDAYS(Proc[[#This Row],[DateOpened]],TODAY()))-1,ABS(NETWORKDAYS(Proc[[#This Row],[DateOpened]],Proc[[#This Row],[DateClosed]]))-1)</f>
        <v>1</v>
      </c>
      <c r="R2773" s="110" t="s">
        <v>485</v>
      </c>
      <c r="S2773" s="94"/>
    </row>
    <row r="2774" spans="1:19">
      <c r="A2774" s="103" t="s">
        <v>4448</v>
      </c>
      <c r="B2774" s="94" t="str">
        <f>IFERROR(VLOOKUP(Proc[[#This Row],[App]],Table2[],3,0),"open")</f>
        <v>open</v>
      </c>
      <c r="C2774" s="103" t="s">
        <v>404</v>
      </c>
      <c r="D2774" t="s">
        <v>4721</v>
      </c>
      <c r="E2774" t="s">
        <v>4777</v>
      </c>
      <c r="F2774" s="94" t="s">
        <v>4829</v>
      </c>
      <c r="G2774" s="103" t="s">
        <v>406</v>
      </c>
      <c r="H2774" s="94" t="str">
        <f>IF(Proc[[#This Row],[type]]="LFF (MDG-F)",MID(Proc[[#This Row],[Obj]],13,10),"")</f>
        <v>DE20538151</v>
      </c>
      <c r="J2774" s="94" t="b">
        <f>Proc[[#This Row],[Requested]]=Proc[[#This Row],[CurrentParent]]</f>
        <v>0</v>
      </c>
      <c r="K2774" s="94" t="str">
        <f>IF(Proc[[#This Row],[Author]]="Marcela Urrego",VLOOKUP(LEFT(Proc[[#This Row],[Requested]],1),Table3[#All],2,0),VLOOKUP(Proc[[#This Row],[Author]],Table4[],2,0))</f>
        <v>MGF</v>
      </c>
      <c r="L2774" s="94"/>
      <c r="M2774" s="109">
        <v>45841.453541666669</v>
      </c>
      <c r="N2774" s="109"/>
      <c r="O2774" s="109"/>
      <c r="P2774" s="110" t="str">
        <f ca="1">IF(Proc[[#This Row],[DaysAgeing]]&gt;5,"yep","on track")</f>
        <v>on track</v>
      </c>
      <c r="Q2774" s="3">
        <f ca="1">IF(Proc[[#This Row],[DateClosed]]="",ABS(NETWORKDAYS(Proc[[#This Row],[DateOpened]],TODAY()))-1,ABS(NETWORKDAYS(Proc[[#This Row],[DateOpened]],Proc[[#This Row],[DateClosed]]))-1)</f>
        <v>1</v>
      </c>
      <c r="R2774" s="110" t="s">
        <v>485</v>
      </c>
      <c r="S2774" s="94"/>
    </row>
    <row r="2775" spans="1:19">
      <c r="A2775" s="103" t="s">
        <v>4448</v>
      </c>
      <c r="B2775" s="94" t="str">
        <f>IFERROR(VLOOKUP(Proc[[#This Row],[App]],Table2[],3,0),"open")</f>
        <v>open</v>
      </c>
      <c r="C2775" s="103" t="s">
        <v>404</v>
      </c>
      <c r="D2775" t="s">
        <v>4722</v>
      </c>
      <c r="E2775" t="s">
        <v>4777</v>
      </c>
      <c r="F2775" s="94" t="s">
        <v>4829</v>
      </c>
      <c r="G2775" s="103" t="s">
        <v>406</v>
      </c>
      <c r="H2775" s="94" t="str">
        <f>IF(Proc[[#This Row],[type]]="LFF (MDG-F)",MID(Proc[[#This Row],[Obj]],13,10),"")</f>
        <v>DE20538153</v>
      </c>
      <c r="J2775" s="94" t="b">
        <f>Proc[[#This Row],[Requested]]=Proc[[#This Row],[CurrentParent]]</f>
        <v>0</v>
      </c>
      <c r="K2775" s="94" t="str">
        <f>IF(Proc[[#This Row],[Author]]="Marcela Urrego",VLOOKUP(LEFT(Proc[[#This Row],[Requested]],1),Table3[#All],2,0),VLOOKUP(Proc[[#This Row],[Author]],Table4[],2,0))</f>
        <v>MGF</v>
      </c>
      <c r="L2775" s="94"/>
      <c r="M2775" s="109">
        <v>45841.453541666669</v>
      </c>
      <c r="N2775" s="109"/>
      <c r="O2775" s="109"/>
      <c r="P2775" s="110" t="str">
        <f ca="1">IF(Proc[[#This Row],[DaysAgeing]]&gt;5,"yep","on track")</f>
        <v>on track</v>
      </c>
      <c r="Q2775" s="3">
        <f ca="1">IF(Proc[[#This Row],[DateClosed]]="",ABS(NETWORKDAYS(Proc[[#This Row],[DateOpened]],TODAY()))-1,ABS(NETWORKDAYS(Proc[[#This Row],[DateOpened]],Proc[[#This Row],[DateClosed]]))-1)</f>
        <v>1</v>
      </c>
      <c r="R2775" s="110" t="s">
        <v>485</v>
      </c>
      <c r="S2775" s="94"/>
    </row>
    <row r="2776" spans="1:19">
      <c r="A2776" s="103" t="s">
        <v>4448</v>
      </c>
      <c r="B2776" s="94" t="str">
        <f>IFERROR(VLOOKUP(Proc[[#This Row],[App]],Table2[],3,0),"open")</f>
        <v>open</v>
      </c>
      <c r="C2776" s="103" t="s">
        <v>404</v>
      </c>
      <c r="D2776" t="s">
        <v>4723</v>
      </c>
      <c r="E2776" t="s">
        <v>4777</v>
      </c>
      <c r="F2776" s="94" t="s">
        <v>4829</v>
      </c>
      <c r="G2776" s="103" t="s">
        <v>406</v>
      </c>
      <c r="H2776" s="94" t="str">
        <f>IF(Proc[[#This Row],[type]]="LFF (MDG-F)",MID(Proc[[#This Row],[Obj]],13,10),"")</f>
        <v>DE20538160</v>
      </c>
      <c r="J2776" s="94" t="b">
        <f>Proc[[#This Row],[Requested]]=Proc[[#This Row],[CurrentParent]]</f>
        <v>0</v>
      </c>
      <c r="K2776" s="94" t="str">
        <f>IF(Proc[[#This Row],[Author]]="Marcela Urrego",VLOOKUP(LEFT(Proc[[#This Row],[Requested]],1),Table3[#All],2,0),VLOOKUP(Proc[[#This Row],[Author]],Table4[],2,0))</f>
        <v>MGF</v>
      </c>
      <c r="L2776" s="94"/>
      <c r="M2776" s="109">
        <v>45841.453541666669</v>
      </c>
      <c r="N2776" s="109"/>
      <c r="O2776" s="109"/>
      <c r="P2776" s="110" t="str">
        <f ca="1">IF(Proc[[#This Row],[DaysAgeing]]&gt;5,"yep","on track")</f>
        <v>on track</v>
      </c>
      <c r="Q2776" s="3">
        <f ca="1">IF(Proc[[#This Row],[DateClosed]]="",ABS(NETWORKDAYS(Proc[[#This Row],[DateOpened]],TODAY()))-1,ABS(NETWORKDAYS(Proc[[#This Row],[DateOpened]],Proc[[#This Row],[DateClosed]]))-1)</f>
        <v>1</v>
      </c>
      <c r="R2776" s="110" t="s">
        <v>485</v>
      </c>
      <c r="S2776" s="94"/>
    </row>
    <row r="2777" spans="1:19">
      <c r="A2777" s="103" t="s">
        <v>4448</v>
      </c>
      <c r="B2777" s="94" t="str">
        <f>IFERROR(VLOOKUP(Proc[[#This Row],[App]],Table2[],3,0),"open")</f>
        <v>open</v>
      </c>
      <c r="C2777" s="103" t="s">
        <v>404</v>
      </c>
      <c r="D2777" t="s">
        <v>4724</v>
      </c>
      <c r="E2777" t="s">
        <v>4777</v>
      </c>
      <c r="F2777" s="94" t="s">
        <v>4829</v>
      </c>
      <c r="G2777" s="103" t="s">
        <v>406</v>
      </c>
      <c r="H2777" s="94" t="str">
        <f>IF(Proc[[#This Row],[type]]="LFF (MDG-F)",MID(Proc[[#This Row],[Obj]],13,10),"")</f>
        <v>DE20538162</v>
      </c>
      <c r="J2777" s="94" t="b">
        <f>Proc[[#This Row],[Requested]]=Proc[[#This Row],[CurrentParent]]</f>
        <v>0</v>
      </c>
      <c r="K2777" s="94" t="str">
        <f>IF(Proc[[#This Row],[Author]]="Marcela Urrego",VLOOKUP(LEFT(Proc[[#This Row],[Requested]],1),Table3[#All],2,0),VLOOKUP(Proc[[#This Row],[Author]],Table4[],2,0))</f>
        <v>MGF</v>
      </c>
      <c r="L2777" s="94"/>
      <c r="M2777" s="109">
        <v>45841.453541666669</v>
      </c>
      <c r="N2777" s="109"/>
      <c r="O2777" s="109"/>
      <c r="P2777" s="110" t="str">
        <f ca="1">IF(Proc[[#This Row],[DaysAgeing]]&gt;5,"yep","on track")</f>
        <v>on track</v>
      </c>
      <c r="Q2777" s="3">
        <f ca="1">IF(Proc[[#This Row],[DateClosed]]="",ABS(NETWORKDAYS(Proc[[#This Row],[DateOpened]],TODAY()))-1,ABS(NETWORKDAYS(Proc[[#This Row],[DateOpened]],Proc[[#This Row],[DateClosed]]))-1)</f>
        <v>1</v>
      </c>
      <c r="R2777" s="110" t="s">
        <v>485</v>
      </c>
      <c r="S2777" s="94"/>
    </row>
    <row r="2778" spans="1:19">
      <c r="A2778" s="103" t="s">
        <v>4448</v>
      </c>
      <c r="B2778" s="94" t="str">
        <f>IFERROR(VLOOKUP(Proc[[#This Row],[App]],Table2[],3,0),"open")</f>
        <v>open</v>
      </c>
      <c r="C2778" s="103" t="s">
        <v>404</v>
      </c>
      <c r="D2778" t="s">
        <v>4725</v>
      </c>
      <c r="E2778" t="s">
        <v>4780</v>
      </c>
      <c r="F2778" s="94" t="s">
        <v>4832</v>
      </c>
      <c r="G2778" s="103" t="s">
        <v>406</v>
      </c>
      <c r="H2778" s="94" t="str">
        <f>IF(Proc[[#This Row],[type]]="LFF (MDG-F)",MID(Proc[[#This Row],[Obj]],13,10),"")</f>
        <v>DE20538163</v>
      </c>
      <c r="J2778" s="94" t="b">
        <f>Proc[[#This Row],[Requested]]=Proc[[#This Row],[CurrentParent]]</f>
        <v>0</v>
      </c>
      <c r="K2778" s="94" t="str">
        <f>IF(Proc[[#This Row],[Author]]="Marcela Urrego",VLOOKUP(LEFT(Proc[[#This Row],[Requested]],1),Table3[#All],2,0),VLOOKUP(Proc[[#This Row],[Author]],Table4[],2,0))</f>
        <v>MGF</v>
      </c>
      <c r="L2778" s="94"/>
      <c r="M2778" s="109">
        <v>45841.453541666669</v>
      </c>
      <c r="N2778" s="109"/>
      <c r="O2778" s="109"/>
      <c r="P2778" s="110" t="str">
        <f ca="1">IF(Proc[[#This Row],[DaysAgeing]]&gt;5,"yep","on track")</f>
        <v>on track</v>
      </c>
      <c r="Q2778" s="3">
        <f ca="1">IF(Proc[[#This Row],[DateClosed]]="",ABS(NETWORKDAYS(Proc[[#This Row],[DateOpened]],TODAY()))-1,ABS(NETWORKDAYS(Proc[[#This Row],[DateOpened]],Proc[[#This Row],[DateClosed]]))-1)</f>
        <v>1</v>
      </c>
      <c r="R2778" s="110" t="s">
        <v>485</v>
      </c>
      <c r="S2778" s="94"/>
    </row>
    <row r="2779" spans="1:19">
      <c r="A2779" s="103" t="s">
        <v>4448</v>
      </c>
      <c r="B2779" s="94" t="str">
        <f>IFERROR(VLOOKUP(Proc[[#This Row],[App]],Table2[],3,0),"open")</f>
        <v>open</v>
      </c>
      <c r="C2779" s="103" t="s">
        <v>404</v>
      </c>
      <c r="D2779" t="s">
        <v>4726</v>
      </c>
      <c r="E2779" t="s">
        <v>4777</v>
      </c>
      <c r="F2779" s="94" t="s">
        <v>4829</v>
      </c>
      <c r="G2779" s="103" t="s">
        <v>406</v>
      </c>
      <c r="H2779" s="94" t="str">
        <f>IF(Proc[[#This Row],[type]]="LFF (MDG-F)",MID(Proc[[#This Row],[Obj]],13,10),"")</f>
        <v>DE20538164</v>
      </c>
      <c r="J2779" s="94" t="b">
        <f>Proc[[#This Row],[Requested]]=Proc[[#This Row],[CurrentParent]]</f>
        <v>0</v>
      </c>
      <c r="K2779" s="94" t="str">
        <f>IF(Proc[[#This Row],[Author]]="Marcela Urrego",VLOOKUP(LEFT(Proc[[#This Row],[Requested]],1),Table3[#All],2,0),VLOOKUP(Proc[[#This Row],[Author]],Table4[],2,0))</f>
        <v>MGF</v>
      </c>
      <c r="L2779" s="94"/>
      <c r="M2779" s="109">
        <v>45841.453541666669</v>
      </c>
      <c r="N2779" s="109"/>
      <c r="O2779" s="109"/>
      <c r="P2779" s="110" t="str">
        <f ca="1">IF(Proc[[#This Row],[DaysAgeing]]&gt;5,"yep","on track")</f>
        <v>on track</v>
      </c>
      <c r="Q2779" s="3">
        <f ca="1">IF(Proc[[#This Row],[DateClosed]]="",ABS(NETWORKDAYS(Proc[[#This Row],[DateOpened]],TODAY()))-1,ABS(NETWORKDAYS(Proc[[#This Row],[DateOpened]],Proc[[#This Row],[DateClosed]]))-1)</f>
        <v>1</v>
      </c>
      <c r="R2779" s="110" t="s">
        <v>485</v>
      </c>
      <c r="S2779" s="94"/>
    </row>
    <row r="2780" spans="1:19">
      <c r="A2780" s="103" t="s">
        <v>4448</v>
      </c>
      <c r="B2780" s="94" t="str">
        <f>IFERROR(VLOOKUP(Proc[[#This Row],[App]],Table2[],3,0),"open")</f>
        <v>open</v>
      </c>
      <c r="C2780" s="103" t="s">
        <v>404</v>
      </c>
      <c r="D2780" t="s">
        <v>4727</v>
      </c>
      <c r="E2780" t="s">
        <v>4777</v>
      </c>
      <c r="F2780" s="94" t="s">
        <v>4829</v>
      </c>
      <c r="G2780" s="103" t="s">
        <v>406</v>
      </c>
      <c r="H2780" s="94" t="str">
        <f>IF(Proc[[#This Row],[type]]="LFF (MDG-F)",MID(Proc[[#This Row],[Obj]],13,10),"")</f>
        <v>DE20538166</v>
      </c>
      <c r="J2780" s="94" t="b">
        <f>Proc[[#This Row],[Requested]]=Proc[[#This Row],[CurrentParent]]</f>
        <v>0</v>
      </c>
      <c r="K2780" s="94" t="str">
        <f>IF(Proc[[#This Row],[Author]]="Marcela Urrego",VLOOKUP(LEFT(Proc[[#This Row],[Requested]],1),Table3[#All],2,0),VLOOKUP(Proc[[#This Row],[Author]],Table4[],2,0))</f>
        <v>MGF</v>
      </c>
      <c r="L2780" s="94"/>
      <c r="M2780" s="109">
        <v>45841.453541666669</v>
      </c>
      <c r="N2780" s="109"/>
      <c r="O2780" s="109"/>
      <c r="P2780" s="110" t="str">
        <f ca="1">IF(Proc[[#This Row],[DaysAgeing]]&gt;5,"yep","on track")</f>
        <v>on track</v>
      </c>
      <c r="Q2780" s="3">
        <f ca="1">IF(Proc[[#This Row],[DateClosed]]="",ABS(NETWORKDAYS(Proc[[#This Row],[DateOpened]],TODAY()))-1,ABS(NETWORKDAYS(Proc[[#This Row],[DateOpened]],Proc[[#This Row],[DateClosed]]))-1)</f>
        <v>1</v>
      </c>
      <c r="R2780" s="110" t="s">
        <v>485</v>
      </c>
      <c r="S2780" s="94"/>
    </row>
    <row r="2781" spans="1:19">
      <c r="A2781" s="103" t="s">
        <v>4448</v>
      </c>
      <c r="B2781" s="94" t="str">
        <f>IFERROR(VLOOKUP(Proc[[#This Row],[App]],Table2[],3,0),"open")</f>
        <v>open</v>
      </c>
      <c r="C2781" s="103" t="s">
        <v>404</v>
      </c>
      <c r="D2781" t="s">
        <v>4728</v>
      </c>
      <c r="E2781" t="s">
        <v>4776</v>
      </c>
      <c r="F2781" s="94" t="s">
        <v>4826</v>
      </c>
      <c r="G2781" s="103" t="s">
        <v>406</v>
      </c>
      <c r="H2781" s="94" t="str">
        <f>IF(Proc[[#This Row],[type]]="LFF (MDG-F)",MID(Proc[[#This Row],[Obj]],13,10),"")</f>
        <v>DE20538167</v>
      </c>
      <c r="J2781" s="94" t="b">
        <f>Proc[[#This Row],[Requested]]=Proc[[#This Row],[CurrentParent]]</f>
        <v>0</v>
      </c>
      <c r="K2781" s="94" t="str">
        <f>IF(Proc[[#This Row],[Author]]="Marcela Urrego",VLOOKUP(LEFT(Proc[[#This Row],[Requested]],1),Table3[#All],2,0),VLOOKUP(Proc[[#This Row],[Author]],Table4[],2,0))</f>
        <v>MGF</v>
      </c>
      <c r="L2781" s="94"/>
      <c r="M2781" s="109">
        <v>45841.453541666669</v>
      </c>
      <c r="N2781" s="109"/>
      <c r="O2781" s="109"/>
      <c r="P2781" s="110" t="str">
        <f ca="1">IF(Proc[[#This Row],[DaysAgeing]]&gt;5,"yep","on track")</f>
        <v>on track</v>
      </c>
      <c r="Q2781" s="3">
        <f ca="1">IF(Proc[[#This Row],[DateClosed]]="",ABS(NETWORKDAYS(Proc[[#This Row],[DateOpened]],TODAY()))-1,ABS(NETWORKDAYS(Proc[[#This Row],[DateOpened]],Proc[[#This Row],[DateClosed]]))-1)</f>
        <v>1</v>
      </c>
      <c r="R2781" s="110" t="s">
        <v>485</v>
      </c>
      <c r="S2781" s="94"/>
    </row>
    <row r="2782" spans="1:19">
      <c r="A2782" s="103" t="s">
        <v>4448</v>
      </c>
      <c r="B2782" s="94" t="str">
        <f>IFERROR(VLOOKUP(Proc[[#This Row],[App]],Table2[],3,0),"open")</f>
        <v>open</v>
      </c>
      <c r="C2782" s="103" t="s">
        <v>404</v>
      </c>
      <c r="D2782" t="s">
        <v>4729</v>
      </c>
      <c r="E2782" t="s">
        <v>4777</v>
      </c>
      <c r="F2782" s="94" t="s">
        <v>4829</v>
      </c>
      <c r="G2782" s="103" t="s">
        <v>406</v>
      </c>
      <c r="H2782" s="94" t="str">
        <f>IF(Proc[[#This Row],[type]]="LFF (MDG-F)",MID(Proc[[#This Row],[Obj]],13,10),"")</f>
        <v>DE20538168</v>
      </c>
      <c r="J2782" s="94" t="b">
        <f>Proc[[#This Row],[Requested]]=Proc[[#This Row],[CurrentParent]]</f>
        <v>0</v>
      </c>
      <c r="K2782" s="94" t="str">
        <f>IF(Proc[[#This Row],[Author]]="Marcela Urrego",VLOOKUP(LEFT(Proc[[#This Row],[Requested]],1),Table3[#All],2,0),VLOOKUP(Proc[[#This Row],[Author]],Table4[],2,0))</f>
        <v>MGF</v>
      </c>
      <c r="L2782" s="94"/>
      <c r="M2782" s="109">
        <v>45841.453541666669</v>
      </c>
      <c r="N2782" s="109"/>
      <c r="O2782" s="109"/>
      <c r="P2782" s="110" t="str">
        <f ca="1">IF(Proc[[#This Row],[DaysAgeing]]&gt;5,"yep","on track")</f>
        <v>on track</v>
      </c>
      <c r="Q2782" s="3">
        <f ca="1">IF(Proc[[#This Row],[DateClosed]]="",ABS(NETWORKDAYS(Proc[[#This Row],[DateOpened]],TODAY()))-1,ABS(NETWORKDAYS(Proc[[#This Row],[DateOpened]],Proc[[#This Row],[DateClosed]]))-1)</f>
        <v>1</v>
      </c>
      <c r="R2782" s="110" t="s">
        <v>485</v>
      </c>
      <c r="S2782" s="94"/>
    </row>
    <row r="2783" spans="1:19">
      <c r="A2783" s="103" t="s">
        <v>4448</v>
      </c>
      <c r="B2783" s="94" t="str">
        <f>IFERROR(VLOOKUP(Proc[[#This Row],[App]],Table2[],3,0),"open")</f>
        <v>open</v>
      </c>
      <c r="C2783" s="103" t="s">
        <v>404</v>
      </c>
      <c r="D2783" t="s">
        <v>4730</v>
      </c>
      <c r="E2783" t="s">
        <v>4777</v>
      </c>
      <c r="F2783" s="94" t="s">
        <v>4830</v>
      </c>
      <c r="G2783" s="103" t="s">
        <v>406</v>
      </c>
      <c r="H2783" s="94" t="str">
        <f>IF(Proc[[#This Row],[type]]="LFF (MDG-F)",MID(Proc[[#This Row],[Obj]],13,10),"")</f>
        <v>DE20538171</v>
      </c>
      <c r="J2783" s="94" t="b">
        <f>Proc[[#This Row],[Requested]]=Proc[[#This Row],[CurrentParent]]</f>
        <v>0</v>
      </c>
      <c r="K2783" s="94" t="str">
        <f>IF(Proc[[#This Row],[Author]]="Marcela Urrego",VLOOKUP(LEFT(Proc[[#This Row],[Requested]],1),Table3[#All],2,0),VLOOKUP(Proc[[#This Row],[Author]],Table4[],2,0))</f>
        <v>MGF</v>
      </c>
      <c r="L2783" s="94"/>
      <c r="M2783" s="109">
        <v>45841.453541666669</v>
      </c>
      <c r="N2783" s="109"/>
      <c r="O2783" s="109"/>
      <c r="P2783" s="110" t="str">
        <f ca="1">IF(Proc[[#This Row],[DaysAgeing]]&gt;5,"yep","on track")</f>
        <v>on track</v>
      </c>
      <c r="Q2783" s="3">
        <f ca="1">IF(Proc[[#This Row],[DateClosed]]="",ABS(NETWORKDAYS(Proc[[#This Row],[DateOpened]],TODAY()))-1,ABS(NETWORKDAYS(Proc[[#This Row],[DateOpened]],Proc[[#This Row],[DateClosed]]))-1)</f>
        <v>1</v>
      </c>
      <c r="R2783" s="110" t="s">
        <v>485</v>
      </c>
      <c r="S2783" s="94"/>
    </row>
    <row r="2784" spans="1:19">
      <c r="A2784" s="103" t="s">
        <v>4448</v>
      </c>
      <c r="B2784" s="94" t="str">
        <f>IFERROR(VLOOKUP(Proc[[#This Row],[App]],Table2[],3,0),"open")</f>
        <v>open</v>
      </c>
      <c r="C2784" s="103" t="s">
        <v>404</v>
      </c>
      <c r="D2784" t="s">
        <v>4731</v>
      </c>
      <c r="E2784" t="s">
        <v>4775</v>
      </c>
      <c r="F2784" s="94" t="s">
        <v>4829</v>
      </c>
      <c r="G2784" s="103" t="s">
        <v>406</v>
      </c>
      <c r="H2784" s="94" t="str">
        <f>IF(Proc[[#This Row],[type]]="LFF (MDG-F)",MID(Proc[[#This Row],[Obj]],13,10),"")</f>
        <v>DE20538175</v>
      </c>
      <c r="J2784" s="94" t="b">
        <f>Proc[[#This Row],[Requested]]=Proc[[#This Row],[CurrentParent]]</f>
        <v>0</v>
      </c>
      <c r="K2784" s="94" t="str">
        <f>IF(Proc[[#This Row],[Author]]="Marcela Urrego",VLOOKUP(LEFT(Proc[[#This Row],[Requested]],1),Table3[#All],2,0),VLOOKUP(Proc[[#This Row],[Author]],Table4[],2,0))</f>
        <v>MGF</v>
      </c>
      <c r="L2784" s="94"/>
      <c r="M2784" s="109">
        <v>45841.453541666669</v>
      </c>
      <c r="N2784" s="109"/>
      <c r="O2784" s="109"/>
      <c r="P2784" s="110" t="str">
        <f ca="1">IF(Proc[[#This Row],[DaysAgeing]]&gt;5,"yep","on track")</f>
        <v>on track</v>
      </c>
      <c r="Q2784" s="3">
        <f ca="1">IF(Proc[[#This Row],[DateClosed]]="",ABS(NETWORKDAYS(Proc[[#This Row],[DateOpened]],TODAY()))-1,ABS(NETWORKDAYS(Proc[[#This Row],[DateOpened]],Proc[[#This Row],[DateClosed]]))-1)</f>
        <v>1</v>
      </c>
      <c r="R2784" s="110" t="s">
        <v>485</v>
      </c>
      <c r="S2784" s="94"/>
    </row>
    <row r="2785" spans="1:19">
      <c r="A2785" s="103" t="s">
        <v>4448</v>
      </c>
      <c r="B2785" s="94" t="str">
        <f>IFERROR(VLOOKUP(Proc[[#This Row],[App]],Table2[],3,0),"open")</f>
        <v>open</v>
      </c>
      <c r="C2785" s="103" t="s">
        <v>404</v>
      </c>
      <c r="D2785" t="s">
        <v>4732</v>
      </c>
      <c r="E2785" t="s">
        <v>4777</v>
      </c>
      <c r="F2785" s="94" t="s">
        <v>4829</v>
      </c>
      <c r="G2785" s="103" t="s">
        <v>406</v>
      </c>
      <c r="H2785" s="94" t="str">
        <f>IF(Proc[[#This Row],[type]]="LFF (MDG-F)",MID(Proc[[#This Row],[Obj]],13,10),"")</f>
        <v>DE20538176</v>
      </c>
      <c r="J2785" s="94" t="b">
        <f>Proc[[#This Row],[Requested]]=Proc[[#This Row],[CurrentParent]]</f>
        <v>0</v>
      </c>
      <c r="K2785" s="94" t="str">
        <f>IF(Proc[[#This Row],[Author]]="Marcela Urrego",VLOOKUP(LEFT(Proc[[#This Row],[Requested]],1),Table3[#All],2,0),VLOOKUP(Proc[[#This Row],[Author]],Table4[],2,0))</f>
        <v>MGF</v>
      </c>
      <c r="L2785" s="94"/>
      <c r="M2785" s="109">
        <v>45841.453541666669</v>
      </c>
      <c r="N2785" s="109"/>
      <c r="O2785" s="109"/>
      <c r="P2785" s="110" t="str">
        <f ca="1">IF(Proc[[#This Row],[DaysAgeing]]&gt;5,"yep","on track")</f>
        <v>on track</v>
      </c>
      <c r="Q2785" s="3">
        <f ca="1">IF(Proc[[#This Row],[DateClosed]]="",ABS(NETWORKDAYS(Proc[[#This Row],[DateOpened]],TODAY()))-1,ABS(NETWORKDAYS(Proc[[#This Row],[DateOpened]],Proc[[#This Row],[DateClosed]]))-1)</f>
        <v>1</v>
      </c>
      <c r="R2785" s="110" t="s">
        <v>485</v>
      </c>
      <c r="S2785" s="94"/>
    </row>
    <row r="2786" spans="1:19">
      <c r="A2786" s="103" t="s">
        <v>4448</v>
      </c>
      <c r="B2786" s="94" t="str">
        <f>IFERROR(VLOOKUP(Proc[[#This Row],[App]],Table2[],3,0),"open")</f>
        <v>open</v>
      </c>
      <c r="C2786" s="103" t="s">
        <v>404</v>
      </c>
      <c r="D2786" t="s">
        <v>4733</v>
      </c>
      <c r="E2786" t="s">
        <v>4777</v>
      </c>
      <c r="F2786" s="94" t="s">
        <v>4829</v>
      </c>
      <c r="G2786" s="103" t="s">
        <v>406</v>
      </c>
      <c r="H2786" s="94" t="str">
        <f>IF(Proc[[#This Row],[type]]="LFF (MDG-F)",MID(Proc[[#This Row],[Obj]],13,10),"")</f>
        <v>DE20538177</v>
      </c>
      <c r="J2786" s="94" t="b">
        <f>Proc[[#This Row],[Requested]]=Proc[[#This Row],[CurrentParent]]</f>
        <v>0</v>
      </c>
      <c r="K2786" s="94" t="str">
        <f>IF(Proc[[#This Row],[Author]]="Marcela Urrego",VLOOKUP(LEFT(Proc[[#This Row],[Requested]],1),Table3[#All],2,0),VLOOKUP(Proc[[#This Row],[Author]],Table4[],2,0))</f>
        <v>MGF</v>
      </c>
      <c r="L2786" s="94"/>
      <c r="M2786" s="109">
        <v>45841.453541666669</v>
      </c>
      <c r="N2786" s="109"/>
      <c r="O2786" s="109"/>
      <c r="P2786" s="110" t="str">
        <f ca="1">IF(Proc[[#This Row],[DaysAgeing]]&gt;5,"yep","on track")</f>
        <v>on track</v>
      </c>
      <c r="Q2786" s="3">
        <f ca="1">IF(Proc[[#This Row],[DateClosed]]="",ABS(NETWORKDAYS(Proc[[#This Row],[DateOpened]],TODAY()))-1,ABS(NETWORKDAYS(Proc[[#This Row],[DateOpened]],Proc[[#This Row],[DateClosed]]))-1)</f>
        <v>1</v>
      </c>
      <c r="R2786" s="110" t="s">
        <v>485</v>
      </c>
      <c r="S2786" s="94"/>
    </row>
    <row r="2787" spans="1:19">
      <c r="A2787" s="103" t="s">
        <v>4448</v>
      </c>
      <c r="B2787" s="94" t="str">
        <f>IFERROR(VLOOKUP(Proc[[#This Row],[App]],Table2[],3,0),"open")</f>
        <v>open</v>
      </c>
      <c r="C2787" s="103" t="s">
        <v>404</v>
      </c>
      <c r="D2787" t="s">
        <v>4734</v>
      </c>
      <c r="E2787" t="s">
        <v>4777</v>
      </c>
      <c r="F2787" s="94" t="s">
        <v>4828</v>
      </c>
      <c r="G2787" s="103" t="s">
        <v>406</v>
      </c>
      <c r="H2787" s="94" t="str">
        <f>IF(Proc[[#This Row],[type]]="LFF (MDG-F)",MID(Proc[[#This Row],[Obj]],13,10),"")</f>
        <v>DE20538184</v>
      </c>
      <c r="J2787" s="94" t="b">
        <f>Proc[[#This Row],[Requested]]=Proc[[#This Row],[CurrentParent]]</f>
        <v>0</v>
      </c>
      <c r="K2787" s="94" t="str">
        <f>IF(Proc[[#This Row],[Author]]="Marcela Urrego",VLOOKUP(LEFT(Proc[[#This Row],[Requested]],1),Table3[#All],2,0),VLOOKUP(Proc[[#This Row],[Author]],Table4[],2,0))</f>
        <v>MGF</v>
      </c>
      <c r="L2787" s="94"/>
      <c r="M2787" s="109">
        <v>45841.453541666669</v>
      </c>
      <c r="N2787" s="109"/>
      <c r="O2787" s="109"/>
      <c r="P2787" s="110" t="str">
        <f ca="1">IF(Proc[[#This Row],[DaysAgeing]]&gt;5,"yep","on track")</f>
        <v>on track</v>
      </c>
      <c r="Q2787" s="3">
        <f ca="1">IF(Proc[[#This Row],[DateClosed]]="",ABS(NETWORKDAYS(Proc[[#This Row],[DateOpened]],TODAY()))-1,ABS(NETWORKDAYS(Proc[[#This Row],[DateOpened]],Proc[[#This Row],[DateClosed]]))-1)</f>
        <v>1</v>
      </c>
      <c r="R2787" s="110" t="s">
        <v>485</v>
      </c>
      <c r="S2787" s="94"/>
    </row>
    <row r="2788" spans="1:19">
      <c r="A2788" s="103" t="s">
        <v>4448</v>
      </c>
      <c r="B2788" s="94" t="str">
        <f>IFERROR(VLOOKUP(Proc[[#This Row],[App]],Table2[],3,0),"open")</f>
        <v>open</v>
      </c>
      <c r="C2788" s="103" t="s">
        <v>404</v>
      </c>
      <c r="D2788" t="s">
        <v>4735</v>
      </c>
      <c r="E2788" t="s">
        <v>4779</v>
      </c>
      <c r="F2788" s="94" t="s">
        <v>4828</v>
      </c>
      <c r="G2788" s="103" t="s">
        <v>406</v>
      </c>
      <c r="H2788" s="94" t="str">
        <f>IF(Proc[[#This Row],[type]]="LFF (MDG-F)",MID(Proc[[#This Row],[Obj]],13,10),"")</f>
        <v>DE20538185</v>
      </c>
      <c r="J2788" s="94" t="b">
        <f>Proc[[#This Row],[Requested]]=Proc[[#This Row],[CurrentParent]]</f>
        <v>0</v>
      </c>
      <c r="K2788" s="94" t="str">
        <f>IF(Proc[[#This Row],[Author]]="Marcela Urrego",VLOOKUP(LEFT(Proc[[#This Row],[Requested]],1),Table3[#All],2,0),VLOOKUP(Proc[[#This Row],[Author]],Table4[],2,0))</f>
        <v>MGF</v>
      </c>
      <c r="L2788" s="94"/>
      <c r="M2788" s="109">
        <v>45841.453541666669</v>
      </c>
      <c r="N2788" s="109"/>
      <c r="O2788" s="109"/>
      <c r="P2788" s="110" t="str">
        <f ca="1">IF(Proc[[#This Row],[DaysAgeing]]&gt;5,"yep","on track")</f>
        <v>on track</v>
      </c>
      <c r="Q2788" s="3">
        <f ca="1">IF(Proc[[#This Row],[DateClosed]]="",ABS(NETWORKDAYS(Proc[[#This Row],[DateOpened]],TODAY()))-1,ABS(NETWORKDAYS(Proc[[#This Row],[DateOpened]],Proc[[#This Row],[DateClosed]]))-1)</f>
        <v>1</v>
      </c>
      <c r="R2788" s="110" t="s">
        <v>485</v>
      </c>
      <c r="S2788" s="94"/>
    </row>
    <row r="2789" spans="1:19">
      <c r="A2789" s="103" t="s">
        <v>4448</v>
      </c>
      <c r="B2789" s="94" t="str">
        <f>IFERROR(VLOOKUP(Proc[[#This Row],[App]],Table2[],3,0),"open")</f>
        <v>open</v>
      </c>
      <c r="C2789" s="103" t="s">
        <v>404</v>
      </c>
      <c r="D2789" t="s">
        <v>4736</v>
      </c>
      <c r="E2789" t="s">
        <v>4779</v>
      </c>
      <c r="F2789" s="94" t="s">
        <v>4828</v>
      </c>
      <c r="G2789" s="103" t="s">
        <v>406</v>
      </c>
      <c r="H2789" s="94" t="str">
        <f>IF(Proc[[#This Row],[type]]="LFF (MDG-F)",MID(Proc[[#This Row],[Obj]],13,10),"")</f>
        <v>DE20538186</v>
      </c>
      <c r="J2789" s="94" t="b">
        <f>Proc[[#This Row],[Requested]]=Proc[[#This Row],[CurrentParent]]</f>
        <v>0</v>
      </c>
      <c r="K2789" s="94" t="str">
        <f>IF(Proc[[#This Row],[Author]]="Marcela Urrego",VLOOKUP(LEFT(Proc[[#This Row],[Requested]],1),Table3[#All],2,0),VLOOKUP(Proc[[#This Row],[Author]],Table4[],2,0))</f>
        <v>MGF</v>
      </c>
      <c r="L2789" s="94"/>
      <c r="M2789" s="109">
        <v>45841.453541666669</v>
      </c>
      <c r="N2789" s="109"/>
      <c r="O2789" s="109"/>
      <c r="P2789" s="110" t="str">
        <f ca="1">IF(Proc[[#This Row],[DaysAgeing]]&gt;5,"yep","on track")</f>
        <v>on track</v>
      </c>
      <c r="Q2789" s="3">
        <f ca="1">IF(Proc[[#This Row],[DateClosed]]="",ABS(NETWORKDAYS(Proc[[#This Row],[DateOpened]],TODAY()))-1,ABS(NETWORKDAYS(Proc[[#This Row],[DateOpened]],Proc[[#This Row],[DateClosed]]))-1)</f>
        <v>1</v>
      </c>
      <c r="R2789" s="110" t="s">
        <v>485</v>
      </c>
      <c r="S2789" s="94"/>
    </row>
    <row r="2790" spans="1:19">
      <c r="A2790" s="103" t="s">
        <v>4448</v>
      </c>
      <c r="B2790" s="94" t="str">
        <f>IFERROR(VLOOKUP(Proc[[#This Row],[App]],Table2[],3,0),"open")</f>
        <v>open</v>
      </c>
      <c r="C2790" s="103" t="s">
        <v>404</v>
      </c>
      <c r="D2790" t="s">
        <v>4737</v>
      </c>
      <c r="E2790" t="s">
        <v>4780</v>
      </c>
      <c r="F2790" s="94" t="s">
        <v>4830</v>
      </c>
      <c r="G2790" s="103" t="s">
        <v>406</v>
      </c>
      <c r="H2790" s="94" t="str">
        <f>IF(Proc[[#This Row],[type]]="LFF (MDG-F)",MID(Proc[[#This Row],[Obj]],13,10),"")</f>
        <v>DE20538193</v>
      </c>
      <c r="J2790" s="94" t="b">
        <f>Proc[[#This Row],[Requested]]=Proc[[#This Row],[CurrentParent]]</f>
        <v>0</v>
      </c>
      <c r="K2790" s="94" t="str">
        <f>IF(Proc[[#This Row],[Author]]="Marcela Urrego",VLOOKUP(LEFT(Proc[[#This Row],[Requested]],1),Table3[#All],2,0),VLOOKUP(Proc[[#This Row],[Author]],Table4[],2,0))</f>
        <v>MGF</v>
      </c>
      <c r="L2790" s="94"/>
      <c r="M2790" s="109">
        <v>45841.453541666669</v>
      </c>
      <c r="N2790" s="109"/>
      <c r="O2790" s="109"/>
      <c r="P2790" s="110" t="str">
        <f ca="1">IF(Proc[[#This Row],[DaysAgeing]]&gt;5,"yep","on track")</f>
        <v>on track</v>
      </c>
      <c r="Q2790" s="3">
        <f ca="1">IF(Proc[[#This Row],[DateClosed]]="",ABS(NETWORKDAYS(Proc[[#This Row],[DateOpened]],TODAY()))-1,ABS(NETWORKDAYS(Proc[[#This Row],[DateOpened]],Proc[[#This Row],[DateClosed]]))-1)</f>
        <v>1</v>
      </c>
      <c r="R2790" s="110" t="s">
        <v>485</v>
      </c>
      <c r="S2790" s="94"/>
    </row>
    <row r="2791" spans="1:19">
      <c r="A2791" s="103" t="s">
        <v>4448</v>
      </c>
      <c r="B2791" s="94" t="str">
        <f>IFERROR(VLOOKUP(Proc[[#This Row],[App]],Table2[],3,0),"open")</f>
        <v>open</v>
      </c>
      <c r="C2791" s="103" t="s">
        <v>404</v>
      </c>
      <c r="D2791" t="s">
        <v>4738</v>
      </c>
      <c r="E2791" t="s">
        <v>4780</v>
      </c>
      <c r="F2791" s="94" t="s">
        <v>4832</v>
      </c>
      <c r="G2791" s="103" t="s">
        <v>406</v>
      </c>
      <c r="H2791" s="94" t="str">
        <f>IF(Proc[[#This Row],[type]]="LFF (MDG-F)",MID(Proc[[#This Row],[Obj]],13,10),"")</f>
        <v>DE20538194</v>
      </c>
      <c r="J2791" s="94" t="b">
        <f>Proc[[#This Row],[Requested]]=Proc[[#This Row],[CurrentParent]]</f>
        <v>0</v>
      </c>
      <c r="K2791" s="94" t="str">
        <f>IF(Proc[[#This Row],[Author]]="Marcela Urrego",VLOOKUP(LEFT(Proc[[#This Row],[Requested]],1),Table3[#All],2,0),VLOOKUP(Proc[[#This Row],[Author]],Table4[],2,0))</f>
        <v>MGF</v>
      </c>
      <c r="L2791" s="94"/>
      <c r="M2791" s="109">
        <v>45841.453541666669</v>
      </c>
      <c r="N2791" s="109"/>
      <c r="O2791" s="109"/>
      <c r="P2791" s="110" t="str">
        <f ca="1">IF(Proc[[#This Row],[DaysAgeing]]&gt;5,"yep","on track")</f>
        <v>on track</v>
      </c>
      <c r="Q2791" s="3">
        <f ca="1">IF(Proc[[#This Row],[DateClosed]]="",ABS(NETWORKDAYS(Proc[[#This Row],[DateOpened]],TODAY()))-1,ABS(NETWORKDAYS(Proc[[#This Row],[DateOpened]],Proc[[#This Row],[DateClosed]]))-1)</f>
        <v>1</v>
      </c>
      <c r="R2791" s="110" t="s">
        <v>485</v>
      </c>
      <c r="S2791" s="94"/>
    </row>
    <row r="2792" spans="1:19">
      <c r="A2792" s="103" t="s">
        <v>4448</v>
      </c>
      <c r="B2792" s="94" t="str">
        <f>IFERROR(VLOOKUP(Proc[[#This Row],[App]],Table2[],3,0),"open")</f>
        <v>open</v>
      </c>
      <c r="C2792" s="103" t="s">
        <v>404</v>
      </c>
      <c r="D2792" t="s">
        <v>4739</v>
      </c>
      <c r="E2792" t="s">
        <v>4770</v>
      </c>
      <c r="F2792" s="94" t="s">
        <v>4832</v>
      </c>
      <c r="G2792" s="103" t="s">
        <v>406</v>
      </c>
      <c r="H2792" s="94" t="str">
        <f>IF(Proc[[#This Row],[type]]="LFF (MDG-F)",MID(Proc[[#This Row],[Obj]],13,10),"")</f>
        <v>DE20538195</v>
      </c>
      <c r="J2792" s="94" t="b">
        <f>Proc[[#This Row],[Requested]]=Proc[[#This Row],[CurrentParent]]</f>
        <v>0</v>
      </c>
      <c r="K2792" s="94" t="str">
        <f>IF(Proc[[#This Row],[Author]]="Marcela Urrego",VLOOKUP(LEFT(Proc[[#This Row],[Requested]],1),Table3[#All],2,0),VLOOKUP(Proc[[#This Row],[Author]],Table4[],2,0))</f>
        <v>MGF</v>
      </c>
      <c r="L2792" s="94"/>
      <c r="M2792" s="109">
        <v>45841.453541666669</v>
      </c>
      <c r="N2792" s="109"/>
      <c r="O2792" s="109"/>
      <c r="P2792" s="110" t="str">
        <f ca="1">IF(Proc[[#This Row],[DaysAgeing]]&gt;5,"yep","on track")</f>
        <v>on track</v>
      </c>
      <c r="Q2792" s="3">
        <f ca="1">IF(Proc[[#This Row],[DateClosed]]="",ABS(NETWORKDAYS(Proc[[#This Row],[DateOpened]],TODAY()))-1,ABS(NETWORKDAYS(Proc[[#This Row],[DateOpened]],Proc[[#This Row],[DateClosed]]))-1)</f>
        <v>1</v>
      </c>
      <c r="R2792" s="110" t="s">
        <v>485</v>
      </c>
      <c r="S2792" s="94"/>
    </row>
    <row r="2793" spans="1:19">
      <c r="A2793" s="103" t="s">
        <v>4448</v>
      </c>
      <c r="B2793" s="94" t="str">
        <f>IFERROR(VLOOKUP(Proc[[#This Row],[App]],Table2[],3,0),"open")</f>
        <v>open</v>
      </c>
      <c r="C2793" s="103" t="s">
        <v>404</v>
      </c>
      <c r="D2793" t="s">
        <v>4740</v>
      </c>
      <c r="E2793" t="s">
        <v>4777</v>
      </c>
      <c r="F2793" s="94" t="s">
        <v>4829</v>
      </c>
      <c r="G2793" s="103" t="s">
        <v>406</v>
      </c>
      <c r="H2793" s="94" t="str">
        <f>IF(Proc[[#This Row],[type]]="LFF (MDG-F)",MID(Proc[[#This Row],[Obj]],13,10),"")</f>
        <v>DE20538197</v>
      </c>
      <c r="J2793" s="94" t="b">
        <f>Proc[[#This Row],[Requested]]=Proc[[#This Row],[CurrentParent]]</f>
        <v>0</v>
      </c>
      <c r="K2793" s="94" t="str">
        <f>IF(Proc[[#This Row],[Author]]="Marcela Urrego",VLOOKUP(LEFT(Proc[[#This Row],[Requested]],1),Table3[#All],2,0),VLOOKUP(Proc[[#This Row],[Author]],Table4[],2,0))</f>
        <v>MGF</v>
      </c>
      <c r="L2793" s="94"/>
      <c r="M2793" s="109">
        <v>45841.453541666669</v>
      </c>
      <c r="N2793" s="109"/>
      <c r="O2793" s="109"/>
      <c r="P2793" s="110" t="str">
        <f ca="1">IF(Proc[[#This Row],[DaysAgeing]]&gt;5,"yep","on track")</f>
        <v>on track</v>
      </c>
      <c r="Q2793" s="3">
        <f ca="1">IF(Proc[[#This Row],[DateClosed]]="",ABS(NETWORKDAYS(Proc[[#This Row],[DateOpened]],TODAY()))-1,ABS(NETWORKDAYS(Proc[[#This Row],[DateOpened]],Proc[[#This Row],[DateClosed]]))-1)</f>
        <v>1</v>
      </c>
      <c r="R2793" s="110" t="s">
        <v>485</v>
      </c>
      <c r="S2793" s="94"/>
    </row>
    <row r="2794" spans="1:19">
      <c r="A2794" s="103" t="s">
        <v>4448</v>
      </c>
      <c r="B2794" s="94" t="str">
        <f>IFERROR(VLOOKUP(Proc[[#This Row],[App]],Table2[],3,0),"open")</f>
        <v>open</v>
      </c>
      <c r="C2794" s="103" t="s">
        <v>404</v>
      </c>
      <c r="D2794" t="s">
        <v>4741</v>
      </c>
      <c r="E2794" t="s">
        <v>4777</v>
      </c>
      <c r="F2794" s="94" t="s">
        <v>4829</v>
      </c>
      <c r="G2794" s="103" t="s">
        <v>406</v>
      </c>
      <c r="H2794" s="94" t="str">
        <f>IF(Proc[[#This Row],[type]]="LFF (MDG-F)",MID(Proc[[#This Row],[Obj]],13,10),"")</f>
        <v>DE20538712</v>
      </c>
      <c r="J2794" s="94" t="b">
        <f>Proc[[#This Row],[Requested]]=Proc[[#This Row],[CurrentParent]]</f>
        <v>0</v>
      </c>
      <c r="K2794" s="94" t="str">
        <f>IF(Proc[[#This Row],[Author]]="Marcela Urrego",VLOOKUP(LEFT(Proc[[#This Row],[Requested]],1),Table3[#All],2,0),VLOOKUP(Proc[[#This Row],[Author]],Table4[],2,0))</f>
        <v>MGF</v>
      </c>
      <c r="L2794" s="94"/>
      <c r="M2794" s="109">
        <v>45841.453541666669</v>
      </c>
      <c r="N2794" s="109"/>
      <c r="O2794" s="109"/>
      <c r="P2794" s="110" t="str">
        <f ca="1">IF(Proc[[#This Row],[DaysAgeing]]&gt;5,"yep","on track")</f>
        <v>on track</v>
      </c>
      <c r="Q2794" s="3">
        <f ca="1">IF(Proc[[#This Row],[DateClosed]]="",ABS(NETWORKDAYS(Proc[[#This Row],[DateOpened]],TODAY()))-1,ABS(NETWORKDAYS(Proc[[#This Row],[DateOpened]],Proc[[#This Row],[DateClosed]]))-1)</f>
        <v>1</v>
      </c>
      <c r="R2794" s="110" t="s">
        <v>485</v>
      </c>
      <c r="S2794" s="94"/>
    </row>
    <row r="2795" spans="1:19">
      <c r="A2795" s="103" t="s">
        <v>4448</v>
      </c>
      <c r="B2795" s="94" t="str">
        <f>IFERROR(VLOOKUP(Proc[[#This Row],[App]],Table2[],3,0),"open")</f>
        <v>open</v>
      </c>
      <c r="C2795" s="103" t="s">
        <v>404</v>
      </c>
      <c r="D2795" t="s">
        <v>4742</v>
      </c>
      <c r="E2795" t="s">
        <v>4775</v>
      </c>
      <c r="F2795" s="94" t="s">
        <v>4829</v>
      </c>
      <c r="G2795" s="103" t="s">
        <v>406</v>
      </c>
      <c r="H2795" s="94" t="str">
        <f>IF(Proc[[#This Row],[type]]="LFF (MDG-F)",MID(Proc[[#This Row],[Obj]],13,10),"")</f>
        <v>DE20538713</v>
      </c>
      <c r="J2795" s="94" t="b">
        <f>Proc[[#This Row],[Requested]]=Proc[[#This Row],[CurrentParent]]</f>
        <v>0</v>
      </c>
      <c r="K2795" s="94" t="str">
        <f>IF(Proc[[#This Row],[Author]]="Marcela Urrego",VLOOKUP(LEFT(Proc[[#This Row],[Requested]],1),Table3[#All],2,0),VLOOKUP(Proc[[#This Row],[Author]],Table4[],2,0))</f>
        <v>MGF</v>
      </c>
      <c r="L2795" s="94"/>
      <c r="M2795" s="109">
        <v>45841.453541666669</v>
      </c>
      <c r="N2795" s="109"/>
      <c r="O2795" s="109"/>
      <c r="P2795" s="110" t="str">
        <f ca="1">IF(Proc[[#This Row],[DaysAgeing]]&gt;5,"yep","on track")</f>
        <v>on track</v>
      </c>
      <c r="Q2795" s="3">
        <f ca="1">IF(Proc[[#This Row],[DateClosed]]="",ABS(NETWORKDAYS(Proc[[#This Row],[DateOpened]],TODAY()))-1,ABS(NETWORKDAYS(Proc[[#This Row],[DateOpened]],Proc[[#This Row],[DateClosed]]))-1)</f>
        <v>1</v>
      </c>
      <c r="R2795" s="110" t="s">
        <v>485</v>
      </c>
      <c r="S2795" s="94"/>
    </row>
    <row r="2796" spans="1:19">
      <c r="A2796" s="103" t="s">
        <v>4448</v>
      </c>
      <c r="B2796" s="94" t="str">
        <f>IFERROR(VLOOKUP(Proc[[#This Row],[App]],Table2[],3,0),"open")</f>
        <v>open</v>
      </c>
      <c r="C2796" s="103" t="s">
        <v>404</v>
      </c>
      <c r="D2796" t="s">
        <v>4743</v>
      </c>
      <c r="E2796" t="s">
        <v>4775</v>
      </c>
      <c r="F2796" s="94" t="s">
        <v>4829</v>
      </c>
      <c r="G2796" s="103" t="s">
        <v>406</v>
      </c>
      <c r="H2796" s="94" t="str">
        <f>IF(Proc[[#This Row],[type]]="LFF (MDG-F)",MID(Proc[[#This Row],[Obj]],13,10),"")</f>
        <v>DE20538714</v>
      </c>
      <c r="J2796" s="94" t="b">
        <f>Proc[[#This Row],[Requested]]=Proc[[#This Row],[CurrentParent]]</f>
        <v>0</v>
      </c>
      <c r="K2796" s="94" t="str">
        <f>IF(Proc[[#This Row],[Author]]="Marcela Urrego",VLOOKUP(LEFT(Proc[[#This Row],[Requested]],1),Table3[#All],2,0),VLOOKUP(Proc[[#This Row],[Author]],Table4[],2,0))</f>
        <v>MGF</v>
      </c>
      <c r="L2796" s="94"/>
      <c r="M2796" s="109">
        <v>45841.453541666669</v>
      </c>
      <c r="N2796" s="109"/>
      <c r="O2796" s="109"/>
      <c r="P2796" s="110" t="str">
        <f ca="1">IF(Proc[[#This Row],[DaysAgeing]]&gt;5,"yep","on track")</f>
        <v>on track</v>
      </c>
      <c r="Q2796" s="3">
        <f ca="1">IF(Proc[[#This Row],[DateClosed]]="",ABS(NETWORKDAYS(Proc[[#This Row],[DateOpened]],TODAY()))-1,ABS(NETWORKDAYS(Proc[[#This Row],[DateOpened]],Proc[[#This Row],[DateClosed]]))-1)</f>
        <v>1</v>
      </c>
      <c r="R2796" s="110" t="s">
        <v>485</v>
      </c>
      <c r="S2796" s="94"/>
    </row>
    <row r="2797" spans="1:19">
      <c r="A2797" s="103" t="s">
        <v>4448</v>
      </c>
      <c r="B2797" s="94" t="str">
        <f>IFERROR(VLOOKUP(Proc[[#This Row],[App]],Table2[],3,0),"open")</f>
        <v>open</v>
      </c>
      <c r="C2797" s="103" t="s">
        <v>404</v>
      </c>
      <c r="D2797" t="s">
        <v>4744</v>
      </c>
      <c r="E2797" t="s">
        <v>4775</v>
      </c>
      <c r="F2797" s="94" t="s">
        <v>4829</v>
      </c>
      <c r="G2797" s="103" t="s">
        <v>406</v>
      </c>
      <c r="H2797" s="94" t="str">
        <f>IF(Proc[[#This Row],[type]]="LFF (MDG-F)",MID(Proc[[#This Row],[Obj]],13,10),"")</f>
        <v>DE20538715</v>
      </c>
      <c r="J2797" s="94" t="b">
        <f>Proc[[#This Row],[Requested]]=Proc[[#This Row],[CurrentParent]]</f>
        <v>0</v>
      </c>
      <c r="K2797" s="94" t="str">
        <f>IF(Proc[[#This Row],[Author]]="Marcela Urrego",VLOOKUP(LEFT(Proc[[#This Row],[Requested]],1),Table3[#All],2,0),VLOOKUP(Proc[[#This Row],[Author]],Table4[],2,0))</f>
        <v>MGF</v>
      </c>
      <c r="L2797" s="94"/>
      <c r="M2797" s="109">
        <v>45841.453541666669</v>
      </c>
      <c r="N2797" s="109"/>
      <c r="O2797" s="109"/>
      <c r="P2797" s="110" t="str">
        <f ca="1">IF(Proc[[#This Row],[DaysAgeing]]&gt;5,"yep","on track")</f>
        <v>on track</v>
      </c>
      <c r="Q2797" s="3">
        <f ca="1">IF(Proc[[#This Row],[DateClosed]]="",ABS(NETWORKDAYS(Proc[[#This Row],[DateOpened]],TODAY()))-1,ABS(NETWORKDAYS(Proc[[#This Row],[DateOpened]],Proc[[#This Row],[DateClosed]]))-1)</f>
        <v>1</v>
      </c>
      <c r="R2797" s="110" t="s">
        <v>485</v>
      </c>
      <c r="S2797" s="94"/>
    </row>
    <row r="2798" spans="1:19">
      <c r="A2798" s="103" t="s">
        <v>4448</v>
      </c>
      <c r="B2798" s="94" t="str">
        <f>IFERROR(VLOOKUP(Proc[[#This Row],[App]],Table2[],3,0),"open")</f>
        <v>open</v>
      </c>
      <c r="C2798" s="103" t="s">
        <v>404</v>
      </c>
      <c r="D2798" t="s">
        <v>4745</v>
      </c>
      <c r="E2798" t="s">
        <v>4775</v>
      </c>
      <c r="F2798" s="94" t="s">
        <v>4829</v>
      </c>
      <c r="G2798" s="103" t="s">
        <v>406</v>
      </c>
      <c r="H2798" s="94" t="str">
        <f>IF(Proc[[#This Row],[type]]="LFF (MDG-F)",MID(Proc[[#This Row],[Obj]],13,10),"")</f>
        <v>DE20538716</v>
      </c>
      <c r="J2798" s="94" t="b">
        <f>Proc[[#This Row],[Requested]]=Proc[[#This Row],[CurrentParent]]</f>
        <v>0</v>
      </c>
      <c r="K2798" s="94" t="str">
        <f>IF(Proc[[#This Row],[Author]]="Marcela Urrego",VLOOKUP(LEFT(Proc[[#This Row],[Requested]],1),Table3[#All],2,0),VLOOKUP(Proc[[#This Row],[Author]],Table4[],2,0))</f>
        <v>MGF</v>
      </c>
      <c r="L2798" s="94"/>
      <c r="M2798" s="109">
        <v>45841.453541666669</v>
      </c>
      <c r="N2798" s="109"/>
      <c r="O2798" s="109"/>
      <c r="P2798" s="110" t="str">
        <f ca="1">IF(Proc[[#This Row],[DaysAgeing]]&gt;5,"yep","on track")</f>
        <v>on track</v>
      </c>
      <c r="Q2798" s="3">
        <f ca="1">IF(Proc[[#This Row],[DateClosed]]="",ABS(NETWORKDAYS(Proc[[#This Row],[DateOpened]],TODAY()))-1,ABS(NETWORKDAYS(Proc[[#This Row],[DateOpened]],Proc[[#This Row],[DateClosed]]))-1)</f>
        <v>1</v>
      </c>
      <c r="R2798" s="110" t="s">
        <v>485</v>
      </c>
      <c r="S2798" s="94"/>
    </row>
    <row r="2799" spans="1:19">
      <c r="A2799" s="103" t="s">
        <v>4448</v>
      </c>
      <c r="B2799" s="94" t="str">
        <f>IFERROR(VLOOKUP(Proc[[#This Row],[App]],Table2[],3,0),"open")</f>
        <v>open</v>
      </c>
      <c r="C2799" s="103" t="s">
        <v>404</v>
      </c>
      <c r="D2799" t="s">
        <v>4746</v>
      </c>
      <c r="E2799" t="s">
        <v>4777</v>
      </c>
      <c r="F2799" s="94" t="s">
        <v>4829</v>
      </c>
      <c r="G2799" s="103" t="s">
        <v>406</v>
      </c>
      <c r="H2799" s="94" t="str">
        <f>IF(Proc[[#This Row],[type]]="LFF (MDG-F)",MID(Proc[[#This Row],[Obj]],13,10),"")</f>
        <v>DE20538717</v>
      </c>
      <c r="J2799" s="94" t="b">
        <f>Proc[[#This Row],[Requested]]=Proc[[#This Row],[CurrentParent]]</f>
        <v>0</v>
      </c>
      <c r="K2799" s="94" t="str">
        <f>IF(Proc[[#This Row],[Author]]="Marcela Urrego",VLOOKUP(LEFT(Proc[[#This Row],[Requested]],1),Table3[#All],2,0),VLOOKUP(Proc[[#This Row],[Author]],Table4[],2,0))</f>
        <v>MGF</v>
      </c>
      <c r="L2799" s="94"/>
      <c r="M2799" s="109">
        <v>45841.453541666669</v>
      </c>
      <c r="N2799" s="109"/>
      <c r="O2799" s="109"/>
      <c r="P2799" s="110" t="str">
        <f ca="1">IF(Proc[[#This Row],[DaysAgeing]]&gt;5,"yep","on track")</f>
        <v>on track</v>
      </c>
      <c r="Q2799" s="3">
        <f ca="1">IF(Proc[[#This Row],[DateClosed]]="",ABS(NETWORKDAYS(Proc[[#This Row],[DateOpened]],TODAY()))-1,ABS(NETWORKDAYS(Proc[[#This Row],[DateOpened]],Proc[[#This Row],[DateClosed]]))-1)</f>
        <v>1</v>
      </c>
      <c r="R2799" s="110" t="s">
        <v>485</v>
      </c>
      <c r="S2799" s="94"/>
    </row>
    <row r="2800" spans="1:19">
      <c r="A2800" s="103" t="s">
        <v>4448</v>
      </c>
      <c r="B2800" s="94" t="str">
        <f>IFERROR(VLOOKUP(Proc[[#This Row],[App]],Table2[],3,0),"open")</f>
        <v>open</v>
      </c>
      <c r="C2800" s="103" t="s">
        <v>404</v>
      </c>
      <c r="D2800" t="s">
        <v>4747</v>
      </c>
      <c r="E2800" t="s">
        <v>4777</v>
      </c>
      <c r="F2800" s="94" t="s">
        <v>4829</v>
      </c>
      <c r="G2800" s="103" t="s">
        <v>406</v>
      </c>
      <c r="H2800" s="94" t="str">
        <f>IF(Proc[[#This Row],[type]]="LFF (MDG-F)",MID(Proc[[#This Row],[Obj]],13,10),"")</f>
        <v>DE20538887</v>
      </c>
      <c r="J2800" s="94" t="b">
        <f>Proc[[#This Row],[Requested]]=Proc[[#This Row],[CurrentParent]]</f>
        <v>0</v>
      </c>
      <c r="K2800" s="94" t="str">
        <f>IF(Proc[[#This Row],[Author]]="Marcela Urrego",VLOOKUP(LEFT(Proc[[#This Row],[Requested]],1),Table3[#All],2,0),VLOOKUP(Proc[[#This Row],[Author]],Table4[],2,0))</f>
        <v>MGF</v>
      </c>
      <c r="L2800" s="94"/>
      <c r="M2800" s="109">
        <v>45841.453541666669</v>
      </c>
      <c r="N2800" s="109"/>
      <c r="O2800" s="109"/>
      <c r="P2800" s="110" t="str">
        <f ca="1">IF(Proc[[#This Row],[DaysAgeing]]&gt;5,"yep","on track")</f>
        <v>on track</v>
      </c>
      <c r="Q2800" s="3">
        <f ca="1">IF(Proc[[#This Row],[DateClosed]]="",ABS(NETWORKDAYS(Proc[[#This Row],[DateOpened]],TODAY()))-1,ABS(NETWORKDAYS(Proc[[#This Row],[DateOpened]],Proc[[#This Row],[DateClosed]]))-1)</f>
        <v>1</v>
      </c>
      <c r="R2800" s="110" t="s">
        <v>485</v>
      </c>
      <c r="S2800" s="94"/>
    </row>
    <row r="2801" spans="1:19">
      <c r="A2801" s="103" t="s">
        <v>4448</v>
      </c>
      <c r="B2801" s="94" t="str">
        <f>IFERROR(VLOOKUP(Proc[[#This Row],[App]],Table2[],3,0),"open")</f>
        <v>open</v>
      </c>
      <c r="C2801" s="103" t="s">
        <v>404</v>
      </c>
      <c r="D2801" t="s">
        <v>4748</v>
      </c>
      <c r="E2801" t="s">
        <v>4777</v>
      </c>
      <c r="F2801" s="94" t="s">
        <v>4828</v>
      </c>
      <c r="G2801" s="103" t="s">
        <v>406</v>
      </c>
      <c r="H2801" s="94" t="str">
        <f>IF(Proc[[#This Row],[type]]="LFF (MDG-F)",MID(Proc[[#This Row],[Obj]],13,10),"")</f>
        <v>DE20538920</v>
      </c>
      <c r="J2801" s="94" t="b">
        <f>Proc[[#This Row],[Requested]]=Proc[[#This Row],[CurrentParent]]</f>
        <v>0</v>
      </c>
      <c r="K2801" s="94" t="str">
        <f>IF(Proc[[#This Row],[Author]]="Marcela Urrego",VLOOKUP(LEFT(Proc[[#This Row],[Requested]],1),Table3[#All],2,0),VLOOKUP(Proc[[#This Row],[Author]],Table4[],2,0))</f>
        <v>MGF</v>
      </c>
      <c r="L2801" s="94"/>
      <c r="M2801" s="109">
        <v>45841.453541666669</v>
      </c>
      <c r="N2801" s="109"/>
      <c r="O2801" s="109"/>
      <c r="P2801" s="110" t="str">
        <f ca="1">IF(Proc[[#This Row],[DaysAgeing]]&gt;5,"yep","on track")</f>
        <v>on track</v>
      </c>
      <c r="Q2801" s="3">
        <f ca="1">IF(Proc[[#This Row],[DateClosed]]="",ABS(NETWORKDAYS(Proc[[#This Row],[DateOpened]],TODAY()))-1,ABS(NETWORKDAYS(Proc[[#This Row],[DateOpened]],Proc[[#This Row],[DateClosed]]))-1)</f>
        <v>1</v>
      </c>
      <c r="R2801" s="110" t="s">
        <v>485</v>
      </c>
      <c r="S2801" s="94"/>
    </row>
    <row r="2802" spans="1:19">
      <c r="A2802" s="103" t="s">
        <v>4448</v>
      </c>
      <c r="B2802" s="94" t="str">
        <f>IFERROR(VLOOKUP(Proc[[#This Row],[App]],Table2[],3,0),"open")</f>
        <v>open</v>
      </c>
      <c r="C2802" s="103" t="s">
        <v>404</v>
      </c>
      <c r="D2802" t="s">
        <v>4749</v>
      </c>
      <c r="E2802" t="s">
        <v>4777</v>
      </c>
      <c r="F2802" s="94" t="s">
        <v>4826</v>
      </c>
      <c r="G2802" s="103" t="s">
        <v>406</v>
      </c>
      <c r="H2802" s="94" t="str">
        <f>IF(Proc[[#This Row],[type]]="LFF (MDG-F)",MID(Proc[[#This Row],[Obj]],13,10),"")</f>
        <v>DE20538921</v>
      </c>
      <c r="J2802" s="94" t="b">
        <f>Proc[[#This Row],[Requested]]=Proc[[#This Row],[CurrentParent]]</f>
        <v>0</v>
      </c>
      <c r="K2802" s="94" t="str">
        <f>IF(Proc[[#This Row],[Author]]="Marcela Urrego",VLOOKUP(LEFT(Proc[[#This Row],[Requested]],1),Table3[#All],2,0),VLOOKUP(Proc[[#This Row],[Author]],Table4[],2,0))</f>
        <v>MGF</v>
      </c>
      <c r="L2802" s="94"/>
      <c r="M2802" s="109">
        <v>45841.453541666669</v>
      </c>
      <c r="N2802" s="109"/>
      <c r="O2802" s="109"/>
      <c r="P2802" s="110" t="str">
        <f ca="1">IF(Proc[[#This Row],[DaysAgeing]]&gt;5,"yep","on track")</f>
        <v>on track</v>
      </c>
      <c r="Q2802" s="3">
        <f ca="1">IF(Proc[[#This Row],[DateClosed]]="",ABS(NETWORKDAYS(Proc[[#This Row],[DateOpened]],TODAY()))-1,ABS(NETWORKDAYS(Proc[[#This Row],[DateOpened]],Proc[[#This Row],[DateClosed]]))-1)</f>
        <v>1</v>
      </c>
      <c r="R2802" s="110" t="s">
        <v>485</v>
      </c>
      <c r="S2802" s="94"/>
    </row>
    <row r="2803" spans="1:19">
      <c r="A2803" s="103" t="s">
        <v>4448</v>
      </c>
      <c r="B2803" s="94" t="str">
        <f>IFERROR(VLOOKUP(Proc[[#This Row],[App]],Table2[],3,0),"open")</f>
        <v>open</v>
      </c>
      <c r="C2803" s="103" t="s">
        <v>404</v>
      </c>
      <c r="D2803" t="s">
        <v>4750</v>
      </c>
      <c r="E2803" t="s">
        <v>4779</v>
      </c>
      <c r="F2803" s="94" t="s">
        <v>4829</v>
      </c>
      <c r="G2803" s="103" t="s">
        <v>406</v>
      </c>
      <c r="H2803" s="94" t="str">
        <f>IF(Proc[[#This Row],[type]]="LFF (MDG-F)",MID(Proc[[#This Row],[Obj]],13,10),"")</f>
        <v>DE20538978</v>
      </c>
      <c r="I2803" t="s">
        <v>4871</v>
      </c>
      <c r="J2803" s="94" t="b">
        <f>Proc[[#This Row],[Requested]]=Proc[[#This Row],[CurrentParent]]</f>
        <v>0</v>
      </c>
      <c r="K2803" s="94" t="str">
        <f>IF(Proc[[#This Row],[Author]]="Marcela Urrego",VLOOKUP(LEFT(Proc[[#This Row],[Requested]],1),Table3[#All],2,0),VLOOKUP(Proc[[#This Row],[Author]],Table4[],2,0))</f>
        <v>MGF</v>
      </c>
      <c r="L2803" s="94"/>
      <c r="M2803" s="109">
        <v>45841.453541666669</v>
      </c>
      <c r="N2803" s="109"/>
      <c r="O2803" s="109"/>
      <c r="P2803" s="110" t="str">
        <f ca="1">IF(Proc[[#This Row],[DaysAgeing]]&gt;5,"yep","on track")</f>
        <v>on track</v>
      </c>
      <c r="Q2803" s="3">
        <f ca="1">IF(Proc[[#This Row],[DateClosed]]="",ABS(NETWORKDAYS(Proc[[#This Row],[DateOpened]],TODAY()))-1,ABS(NETWORKDAYS(Proc[[#This Row],[DateOpened]],Proc[[#This Row],[DateClosed]]))-1)</f>
        <v>1</v>
      </c>
      <c r="R2803" s="110" t="s">
        <v>485</v>
      </c>
      <c r="S2803" s="94"/>
    </row>
    <row r="2804" spans="1:19">
      <c r="A2804" s="103" t="s">
        <v>4448</v>
      </c>
      <c r="B2804" s="94" t="str">
        <f>IFERROR(VLOOKUP(Proc[[#This Row],[App]],Table2[],3,0),"open")</f>
        <v>open</v>
      </c>
      <c r="C2804" s="103" t="s">
        <v>404</v>
      </c>
      <c r="D2804" t="s">
        <v>4751</v>
      </c>
      <c r="E2804" t="s">
        <v>4780</v>
      </c>
      <c r="F2804" s="94" t="s">
        <v>4832</v>
      </c>
      <c r="G2804" s="103" t="s">
        <v>406</v>
      </c>
      <c r="H2804" s="94" t="str">
        <f>IF(Proc[[#This Row],[type]]="LFF (MDG-F)",MID(Proc[[#This Row],[Obj]],13,10),"")</f>
        <v>DE20539001</v>
      </c>
      <c r="J2804" s="94" t="b">
        <f>Proc[[#This Row],[Requested]]=Proc[[#This Row],[CurrentParent]]</f>
        <v>0</v>
      </c>
      <c r="K2804" s="94" t="str">
        <f>IF(Proc[[#This Row],[Author]]="Marcela Urrego",VLOOKUP(LEFT(Proc[[#This Row],[Requested]],1),Table3[#All],2,0),VLOOKUP(Proc[[#This Row],[Author]],Table4[],2,0))</f>
        <v>MGF</v>
      </c>
      <c r="L2804" s="94"/>
      <c r="M2804" s="109">
        <v>45841.453541666669</v>
      </c>
      <c r="N2804" s="109"/>
      <c r="O2804" s="109"/>
      <c r="P2804" s="110" t="str">
        <f ca="1">IF(Proc[[#This Row],[DaysAgeing]]&gt;5,"yep","on track")</f>
        <v>on track</v>
      </c>
      <c r="Q2804" s="3">
        <f ca="1">IF(Proc[[#This Row],[DateClosed]]="",ABS(NETWORKDAYS(Proc[[#This Row],[DateOpened]],TODAY()))-1,ABS(NETWORKDAYS(Proc[[#This Row],[DateOpened]],Proc[[#This Row],[DateClosed]]))-1)</f>
        <v>1</v>
      </c>
      <c r="R2804" s="110" t="s">
        <v>485</v>
      </c>
      <c r="S2804" s="94"/>
    </row>
    <row r="2805" spans="1:19">
      <c r="A2805" s="103" t="s">
        <v>4448</v>
      </c>
      <c r="B2805" s="94" t="str">
        <f>IFERROR(VLOOKUP(Proc[[#This Row],[App]],Table2[],3,0),"open")</f>
        <v>open</v>
      </c>
      <c r="C2805" s="103" t="s">
        <v>404</v>
      </c>
      <c r="D2805" t="s">
        <v>4752</v>
      </c>
      <c r="E2805" t="s">
        <v>4780</v>
      </c>
      <c r="F2805" s="94" t="s">
        <v>4832</v>
      </c>
      <c r="G2805" s="103" t="s">
        <v>406</v>
      </c>
      <c r="H2805" s="94" t="str">
        <f>IF(Proc[[#This Row],[type]]="LFF (MDG-F)",MID(Proc[[#This Row],[Obj]],13,10),"")</f>
        <v>DE20539002</v>
      </c>
      <c r="J2805" s="94" t="b">
        <f>Proc[[#This Row],[Requested]]=Proc[[#This Row],[CurrentParent]]</f>
        <v>0</v>
      </c>
      <c r="K2805" s="94" t="str">
        <f>IF(Proc[[#This Row],[Author]]="Marcela Urrego",VLOOKUP(LEFT(Proc[[#This Row],[Requested]],1),Table3[#All],2,0),VLOOKUP(Proc[[#This Row],[Author]],Table4[],2,0))</f>
        <v>MGF</v>
      </c>
      <c r="L2805" s="94"/>
      <c r="M2805" s="109">
        <v>45841.453541666669</v>
      </c>
      <c r="N2805" s="109"/>
      <c r="O2805" s="109"/>
      <c r="P2805" s="110" t="str">
        <f ca="1">IF(Proc[[#This Row],[DaysAgeing]]&gt;5,"yep","on track")</f>
        <v>on track</v>
      </c>
      <c r="Q2805" s="3">
        <f ca="1">IF(Proc[[#This Row],[DateClosed]]="",ABS(NETWORKDAYS(Proc[[#This Row],[DateOpened]],TODAY()))-1,ABS(NETWORKDAYS(Proc[[#This Row],[DateOpened]],Proc[[#This Row],[DateClosed]]))-1)</f>
        <v>1</v>
      </c>
      <c r="R2805" s="110" t="s">
        <v>485</v>
      </c>
      <c r="S2805" s="94"/>
    </row>
    <row r="2806" spans="1:19">
      <c r="A2806" s="103" t="s">
        <v>4448</v>
      </c>
      <c r="B2806" s="94" t="str">
        <f>IFERROR(VLOOKUP(Proc[[#This Row],[App]],Table2[],3,0),"open")</f>
        <v>open</v>
      </c>
      <c r="C2806" s="103" t="s">
        <v>404</v>
      </c>
      <c r="D2806" t="s">
        <v>4753</v>
      </c>
      <c r="E2806" t="s">
        <v>4780</v>
      </c>
      <c r="F2806" s="94" t="s">
        <v>4832</v>
      </c>
      <c r="G2806" s="103" t="s">
        <v>406</v>
      </c>
      <c r="H2806" s="94" t="str">
        <f>IF(Proc[[#This Row],[type]]="LFF (MDG-F)",MID(Proc[[#This Row],[Obj]],13,10),"")</f>
        <v>DE20539004</v>
      </c>
      <c r="J2806" s="94" t="b">
        <f>Proc[[#This Row],[Requested]]=Proc[[#This Row],[CurrentParent]]</f>
        <v>0</v>
      </c>
      <c r="K2806" s="94" t="str">
        <f>IF(Proc[[#This Row],[Author]]="Marcela Urrego",VLOOKUP(LEFT(Proc[[#This Row],[Requested]],1),Table3[#All],2,0),VLOOKUP(Proc[[#This Row],[Author]],Table4[],2,0))</f>
        <v>MGF</v>
      </c>
      <c r="L2806" s="94"/>
      <c r="M2806" s="109">
        <v>45841.453541666669</v>
      </c>
      <c r="N2806" s="109"/>
      <c r="O2806" s="109"/>
      <c r="P2806" s="110" t="str">
        <f ca="1">IF(Proc[[#This Row],[DaysAgeing]]&gt;5,"yep","on track")</f>
        <v>on track</v>
      </c>
      <c r="Q2806" s="3">
        <f ca="1">IF(Proc[[#This Row],[DateClosed]]="",ABS(NETWORKDAYS(Proc[[#This Row],[DateOpened]],TODAY()))-1,ABS(NETWORKDAYS(Proc[[#This Row],[DateOpened]],Proc[[#This Row],[DateClosed]]))-1)</f>
        <v>1</v>
      </c>
      <c r="R2806" s="110" t="s">
        <v>485</v>
      </c>
      <c r="S2806" s="94"/>
    </row>
    <row r="2807" spans="1:19">
      <c r="A2807" s="103" t="s">
        <v>4448</v>
      </c>
      <c r="B2807" s="94" t="str">
        <f>IFERROR(VLOOKUP(Proc[[#This Row],[App]],Table2[],3,0),"open")</f>
        <v>open</v>
      </c>
      <c r="C2807" s="103" t="s">
        <v>404</v>
      </c>
      <c r="D2807" t="s">
        <v>4754</v>
      </c>
      <c r="E2807" t="s">
        <v>4780</v>
      </c>
      <c r="F2807" s="94" t="s">
        <v>4833</v>
      </c>
      <c r="G2807" s="103" t="s">
        <v>406</v>
      </c>
      <c r="H2807" s="94" t="str">
        <f>IF(Proc[[#This Row],[type]]="LFF (MDG-F)",MID(Proc[[#This Row],[Obj]],13,10),"")</f>
        <v>DE20567500</v>
      </c>
      <c r="J2807" s="94" t="b">
        <f>Proc[[#This Row],[Requested]]=Proc[[#This Row],[CurrentParent]]</f>
        <v>0</v>
      </c>
      <c r="K2807" s="94" t="str">
        <f>IF(Proc[[#This Row],[Author]]="Marcela Urrego",VLOOKUP(LEFT(Proc[[#This Row],[Requested]],1),Table3[#All],2,0),VLOOKUP(Proc[[#This Row],[Author]],Table4[],2,0))</f>
        <v>MGF</v>
      </c>
      <c r="L2807" s="94"/>
      <c r="M2807" s="109">
        <v>45841.453541666669</v>
      </c>
      <c r="N2807" s="109"/>
      <c r="O2807" s="109"/>
      <c r="P2807" s="110" t="str">
        <f ca="1">IF(Proc[[#This Row],[DaysAgeing]]&gt;5,"yep","on track")</f>
        <v>on track</v>
      </c>
      <c r="Q2807" s="3">
        <f ca="1">IF(Proc[[#This Row],[DateClosed]]="",ABS(NETWORKDAYS(Proc[[#This Row],[DateOpened]],TODAY()))-1,ABS(NETWORKDAYS(Proc[[#This Row],[DateOpened]],Proc[[#This Row],[DateClosed]]))-1)</f>
        <v>1</v>
      </c>
      <c r="R2807" s="110" t="s">
        <v>485</v>
      </c>
      <c r="S2807" s="94"/>
    </row>
    <row r="2808" spans="1:19">
      <c r="A2808" s="103" t="s">
        <v>4448</v>
      </c>
      <c r="B2808" s="94" t="str">
        <f>IFERROR(VLOOKUP(Proc[[#This Row],[App]],Table2[],3,0),"open")</f>
        <v>open</v>
      </c>
      <c r="C2808" s="103" t="s">
        <v>404</v>
      </c>
      <c r="D2808" t="s">
        <v>4755</v>
      </c>
      <c r="E2808" t="s">
        <v>4777</v>
      </c>
      <c r="F2808" s="94" t="s">
        <v>4829</v>
      </c>
      <c r="G2808" s="103" t="s">
        <v>406</v>
      </c>
      <c r="H2808" s="94" t="str">
        <f>IF(Proc[[#This Row],[type]]="LFF (MDG-F)",MID(Proc[[#This Row],[Obj]],13,10),"")</f>
        <v>DE20569401</v>
      </c>
      <c r="J2808" s="94" t="b">
        <f>Proc[[#This Row],[Requested]]=Proc[[#This Row],[CurrentParent]]</f>
        <v>0</v>
      </c>
      <c r="K2808" s="94" t="str">
        <f>IF(Proc[[#This Row],[Author]]="Marcela Urrego",VLOOKUP(LEFT(Proc[[#This Row],[Requested]],1),Table3[#All],2,0),VLOOKUP(Proc[[#This Row],[Author]],Table4[],2,0))</f>
        <v>MGF</v>
      </c>
      <c r="L2808" s="94"/>
      <c r="M2808" s="109">
        <v>45841.453541666669</v>
      </c>
      <c r="N2808" s="109"/>
      <c r="O2808" s="109"/>
      <c r="P2808" s="110" t="str">
        <f ca="1">IF(Proc[[#This Row],[DaysAgeing]]&gt;5,"yep","on track")</f>
        <v>on track</v>
      </c>
      <c r="Q2808" s="3">
        <f ca="1">IF(Proc[[#This Row],[DateClosed]]="",ABS(NETWORKDAYS(Proc[[#This Row],[DateOpened]],TODAY()))-1,ABS(NETWORKDAYS(Proc[[#This Row],[DateOpened]],Proc[[#This Row],[DateClosed]]))-1)</f>
        <v>1</v>
      </c>
      <c r="R2808" s="110" t="s">
        <v>485</v>
      </c>
      <c r="S2808" s="94"/>
    </row>
    <row r="2809" spans="1:19">
      <c r="A2809" s="103" t="s">
        <v>4448</v>
      </c>
      <c r="B2809" s="94" t="str">
        <f>IFERROR(VLOOKUP(Proc[[#This Row],[App]],Table2[],3,0),"open")</f>
        <v>open</v>
      </c>
      <c r="C2809" s="103" t="s">
        <v>404</v>
      </c>
      <c r="D2809" t="s">
        <v>4756</v>
      </c>
      <c r="E2809" t="s">
        <v>4776</v>
      </c>
      <c r="F2809" s="94" t="s">
        <v>4832</v>
      </c>
      <c r="G2809" s="103" t="s">
        <v>406</v>
      </c>
      <c r="H2809" s="94" t="str">
        <f>IF(Proc[[#This Row],[type]]="LFF (MDG-F)",MID(Proc[[#This Row],[Obj]],13,10),"")</f>
        <v>DE20538145</v>
      </c>
      <c r="J2809" s="94" t="b">
        <f>Proc[[#This Row],[Requested]]=Proc[[#This Row],[CurrentParent]]</f>
        <v>0</v>
      </c>
      <c r="K2809" s="94" t="str">
        <f>IF(Proc[[#This Row],[Author]]="Marcela Urrego",VLOOKUP(LEFT(Proc[[#This Row],[Requested]],1),Table3[#All],2,0),VLOOKUP(Proc[[#This Row],[Author]],Table4[],2,0))</f>
        <v>MGF</v>
      </c>
      <c r="L2809" s="94"/>
      <c r="M2809" s="109">
        <v>45841.453541666669</v>
      </c>
      <c r="N2809" s="109"/>
      <c r="O2809" s="109"/>
      <c r="P2809" s="110" t="str">
        <f ca="1">IF(Proc[[#This Row],[DaysAgeing]]&gt;5,"yep","on track")</f>
        <v>on track</v>
      </c>
      <c r="Q2809" s="3">
        <f ca="1">IF(Proc[[#This Row],[DateClosed]]="",ABS(NETWORKDAYS(Proc[[#This Row],[DateOpened]],TODAY()))-1,ABS(NETWORKDAYS(Proc[[#This Row],[DateOpened]],Proc[[#This Row],[DateClosed]]))-1)</f>
        <v>1</v>
      </c>
      <c r="R2809" s="110" t="s">
        <v>485</v>
      </c>
      <c r="S2809" s="94"/>
    </row>
    <row r="2810" spans="1:19">
      <c r="A2810" s="103" t="s">
        <v>4448</v>
      </c>
      <c r="B2810" s="94" t="str">
        <f>IFERROR(VLOOKUP(Proc[[#This Row],[App]],Table2[],3,0),"open")</f>
        <v>open</v>
      </c>
      <c r="C2810" s="103" t="s">
        <v>404</v>
      </c>
      <c r="D2810" t="s">
        <v>4757</v>
      </c>
      <c r="E2810" t="s">
        <v>4776</v>
      </c>
      <c r="F2810" s="94" t="s">
        <v>4818</v>
      </c>
      <c r="G2810" s="103" t="s">
        <v>406</v>
      </c>
      <c r="H2810" s="94" t="str">
        <f>IF(Proc[[#This Row],[type]]="LFF (MDG-F)",MID(Proc[[#This Row],[Obj]],13,10),"")</f>
        <v>DE20538190</v>
      </c>
      <c r="J2810" s="94" t="b">
        <f>Proc[[#This Row],[Requested]]=Proc[[#This Row],[CurrentParent]]</f>
        <v>0</v>
      </c>
      <c r="K2810" s="94" t="str">
        <f>IF(Proc[[#This Row],[Author]]="Marcela Urrego",VLOOKUP(LEFT(Proc[[#This Row],[Requested]],1),Table3[#All],2,0),VLOOKUP(Proc[[#This Row],[Author]],Table4[],2,0))</f>
        <v>MGF</v>
      </c>
      <c r="L2810" s="94"/>
      <c r="M2810" s="109">
        <v>45841.453541666669</v>
      </c>
      <c r="N2810" s="109"/>
      <c r="O2810" s="109"/>
      <c r="P2810" s="110" t="str">
        <f ca="1">IF(Proc[[#This Row],[DaysAgeing]]&gt;5,"yep","on track")</f>
        <v>on track</v>
      </c>
      <c r="Q2810" s="3">
        <f ca="1">IF(Proc[[#This Row],[DateClosed]]="",ABS(NETWORKDAYS(Proc[[#This Row],[DateOpened]],TODAY()))-1,ABS(NETWORKDAYS(Proc[[#This Row],[DateOpened]],Proc[[#This Row],[DateClosed]]))-1)</f>
        <v>1</v>
      </c>
      <c r="R2810" s="110" t="s">
        <v>485</v>
      </c>
      <c r="S2810" s="94"/>
    </row>
    <row r="2811" spans="1:19">
      <c r="A2811" s="103" t="s">
        <v>4448</v>
      </c>
      <c r="B2811" s="94" t="str">
        <f>IFERROR(VLOOKUP(Proc[[#This Row],[App]],Table2[],3,0),"open")</f>
        <v>open</v>
      </c>
      <c r="C2811" s="103" t="s">
        <v>404</v>
      </c>
      <c r="D2811" t="s">
        <v>4758</v>
      </c>
      <c r="E2811" t="s">
        <v>4780</v>
      </c>
      <c r="F2811" s="94" t="s">
        <v>4832</v>
      </c>
      <c r="G2811" s="103" t="s">
        <v>406</v>
      </c>
      <c r="H2811" s="94" t="str">
        <f>IF(Proc[[#This Row],[type]]="LFF (MDG-F)",MID(Proc[[#This Row],[Obj]],13,10),"")</f>
        <v>DE20539003</v>
      </c>
      <c r="J2811" s="94" t="b">
        <f>Proc[[#This Row],[Requested]]=Proc[[#This Row],[CurrentParent]]</f>
        <v>0</v>
      </c>
      <c r="K2811" s="94" t="str">
        <f>IF(Proc[[#This Row],[Author]]="Marcela Urrego",VLOOKUP(LEFT(Proc[[#This Row],[Requested]],1),Table3[#All],2,0),VLOOKUP(Proc[[#This Row],[Author]],Table4[],2,0))</f>
        <v>MGF</v>
      </c>
      <c r="L2811" s="94"/>
      <c r="M2811" s="109">
        <v>45841.453541666669</v>
      </c>
      <c r="N2811" s="109"/>
      <c r="O2811" s="109"/>
      <c r="P2811" s="110" t="str">
        <f ca="1">IF(Proc[[#This Row],[DaysAgeing]]&gt;5,"yep","on track")</f>
        <v>on track</v>
      </c>
      <c r="Q2811" s="3">
        <f ca="1">IF(Proc[[#This Row],[DateClosed]]="",ABS(NETWORKDAYS(Proc[[#This Row],[DateOpened]],TODAY()))-1,ABS(NETWORKDAYS(Proc[[#This Row],[DateOpened]],Proc[[#This Row],[DateClosed]]))-1)</f>
        <v>1</v>
      </c>
      <c r="R2811" s="110" t="s">
        <v>485</v>
      </c>
      <c r="S2811" s="94"/>
    </row>
    <row r="2812" spans="1:19">
      <c r="A2812" s="103" t="s">
        <v>4448</v>
      </c>
      <c r="B2812" s="94" t="str">
        <f>IFERROR(VLOOKUP(Proc[[#This Row],[App]],Table2[],3,0),"open")</f>
        <v>open</v>
      </c>
      <c r="C2812" s="103" t="s">
        <v>404</v>
      </c>
      <c r="D2812" t="s">
        <v>4759</v>
      </c>
      <c r="E2812" t="s">
        <v>4766</v>
      </c>
      <c r="F2812" s="94" t="s">
        <v>4834</v>
      </c>
      <c r="G2812" s="103" t="s">
        <v>406</v>
      </c>
      <c r="H2812" s="94" t="str">
        <f>IF(Proc[[#This Row],[type]]="LFF (MDG-F)",MID(Proc[[#This Row],[Obj]],13,10),"")</f>
        <v>DE20567400</v>
      </c>
      <c r="J2812" s="94" t="b">
        <f>Proc[[#This Row],[Requested]]=Proc[[#This Row],[CurrentParent]]</f>
        <v>0</v>
      </c>
      <c r="K2812" s="94" t="str">
        <f>IF(Proc[[#This Row],[Author]]="Marcela Urrego",VLOOKUP(LEFT(Proc[[#This Row],[Requested]],1),Table3[#All],2,0),VLOOKUP(Proc[[#This Row],[Author]],Table4[],2,0))</f>
        <v>MGF</v>
      </c>
      <c r="L2812" s="94"/>
      <c r="M2812" s="109">
        <v>45841.453541666669</v>
      </c>
      <c r="N2812" s="109"/>
      <c r="O2812" s="109"/>
      <c r="P2812" s="110" t="str">
        <f ca="1">IF(Proc[[#This Row],[DaysAgeing]]&gt;5,"yep","on track")</f>
        <v>on track</v>
      </c>
      <c r="Q2812" s="3">
        <f ca="1">IF(Proc[[#This Row],[DateClosed]]="",ABS(NETWORKDAYS(Proc[[#This Row],[DateOpened]],TODAY()))-1,ABS(NETWORKDAYS(Proc[[#This Row],[DateOpened]],Proc[[#This Row],[DateClosed]]))-1)</f>
        <v>1</v>
      </c>
      <c r="R2812" s="110" t="s">
        <v>485</v>
      </c>
      <c r="S2812" s="94"/>
    </row>
    <row r="2813" spans="1:19">
      <c r="A2813" t="s">
        <v>4835</v>
      </c>
      <c r="B2813" s="94" t="str">
        <f>IFERROR(VLOOKUP(Proc[[#This Row],[App]],Table2[],3,0),"open")</f>
        <v>open</v>
      </c>
      <c r="C2813" s="103" t="s">
        <v>404</v>
      </c>
      <c r="D2813" t="s">
        <v>4836</v>
      </c>
      <c r="E2813" t="s">
        <v>4844</v>
      </c>
      <c r="F2813" s="94" t="s">
        <v>4845</v>
      </c>
      <c r="G2813" s="103" t="s">
        <v>406</v>
      </c>
      <c r="H2813" s="94" t="str">
        <f>IF(Proc[[#This Row],[type]]="LFF (MDG-F)",MID(Proc[[#This Row],[Obj]],13,10),"")</f>
        <v>DE50OF0154</v>
      </c>
      <c r="J2813" s="94" t="b">
        <f>Proc[[#This Row],[Requested]]=Proc[[#This Row],[CurrentParent]]</f>
        <v>0</v>
      </c>
      <c r="K2813" s="94" t="str">
        <f>IF(Proc[[#This Row],[Author]]="Marcela Urrego",VLOOKUP(LEFT(Proc[[#This Row],[Requested]],1),Table3[#All],2,0),VLOOKUP(Proc[[#This Row],[Author]],Table4[],2,0))</f>
        <v>HC</v>
      </c>
      <c r="L2813" s="94"/>
      <c r="M2813" s="109">
        <v>45841.580648148149</v>
      </c>
      <c r="N2813" s="109"/>
      <c r="O2813" s="109"/>
      <c r="P2813" s="110" t="str">
        <f ca="1">IF(Proc[[#This Row],[DaysAgeing]]&gt;5,"yep","on track")</f>
        <v>on track</v>
      </c>
      <c r="Q2813" s="3">
        <f ca="1">IF(Proc[[#This Row],[DateClosed]]="",ABS(NETWORKDAYS(Proc[[#This Row],[DateOpened]],TODAY()))-1,ABS(NETWORKDAYS(Proc[[#This Row],[DateOpened]],Proc[[#This Row],[DateClosed]]))-1)</f>
        <v>1</v>
      </c>
      <c r="R2813" s="110" t="s">
        <v>410</v>
      </c>
      <c r="S2813" s="94"/>
    </row>
    <row r="2814" spans="1:19">
      <c r="A2814" s="103" t="s">
        <v>4835</v>
      </c>
      <c r="B2814" s="94" t="str">
        <f>IFERROR(VLOOKUP(Proc[[#This Row],[App]],Table2[],3,0),"open")</f>
        <v>open</v>
      </c>
      <c r="C2814" s="103" t="s">
        <v>404</v>
      </c>
      <c r="D2814" t="s">
        <v>4837</v>
      </c>
      <c r="E2814" t="s">
        <v>4844</v>
      </c>
      <c r="F2814" s="94" t="s">
        <v>4845</v>
      </c>
      <c r="G2814" s="103" t="s">
        <v>406</v>
      </c>
      <c r="H2814" s="94" t="str">
        <f>IF(Proc[[#This Row],[type]]="LFF (MDG-F)",MID(Proc[[#This Row],[Obj]],13,10),"")</f>
        <v>DE10624416</v>
      </c>
      <c r="J2814" s="94" t="b">
        <f>Proc[[#This Row],[Requested]]=Proc[[#This Row],[CurrentParent]]</f>
        <v>0</v>
      </c>
      <c r="K2814" s="94" t="str">
        <f>IF(Proc[[#This Row],[Author]]="Marcela Urrego",VLOOKUP(LEFT(Proc[[#This Row],[Requested]],1),Table3[#All],2,0),VLOOKUP(Proc[[#This Row],[Author]],Table4[],2,0))</f>
        <v>HC</v>
      </c>
      <c r="L2814" s="94"/>
      <c r="M2814" s="109">
        <v>45841.580648148149</v>
      </c>
      <c r="N2814" s="109"/>
      <c r="O2814" s="109"/>
      <c r="P2814" s="110" t="str">
        <f ca="1">IF(Proc[[#This Row],[DaysAgeing]]&gt;5,"yep","on track")</f>
        <v>on track</v>
      </c>
      <c r="Q2814" s="3">
        <f ca="1">IF(Proc[[#This Row],[DateClosed]]="",ABS(NETWORKDAYS(Proc[[#This Row],[DateOpened]],TODAY()))-1,ABS(NETWORKDAYS(Proc[[#This Row],[DateOpened]],Proc[[#This Row],[DateClosed]]))-1)</f>
        <v>1</v>
      </c>
      <c r="R2814" s="110" t="s">
        <v>410</v>
      </c>
      <c r="S2814" s="94"/>
    </row>
    <row r="2815" spans="1:19">
      <c r="A2815" s="103" t="s">
        <v>4835</v>
      </c>
      <c r="B2815" s="94" t="str">
        <f>IFERROR(VLOOKUP(Proc[[#This Row],[App]],Table2[],3,0),"open")</f>
        <v>open</v>
      </c>
      <c r="C2815" s="103" t="s">
        <v>404</v>
      </c>
      <c r="D2815" t="s">
        <v>4838</v>
      </c>
      <c r="E2815" t="s">
        <v>4844</v>
      </c>
      <c r="F2815" s="94" t="s">
        <v>4845</v>
      </c>
      <c r="G2815" s="103" t="s">
        <v>406</v>
      </c>
      <c r="H2815" s="94" t="str">
        <f>IF(Proc[[#This Row],[type]]="LFF (MDG-F)",MID(Proc[[#This Row],[Obj]],13,10),"")</f>
        <v>CH65GCA008</v>
      </c>
      <c r="J2815" s="94" t="b">
        <f>Proc[[#This Row],[Requested]]=Proc[[#This Row],[CurrentParent]]</f>
        <v>0</v>
      </c>
      <c r="K2815" s="94" t="str">
        <f>IF(Proc[[#This Row],[Author]]="Marcela Urrego",VLOOKUP(LEFT(Proc[[#This Row],[Requested]],1),Table3[#All],2,0),VLOOKUP(Proc[[#This Row],[Author]],Table4[],2,0))</f>
        <v>HC</v>
      </c>
      <c r="L2815" s="94"/>
      <c r="M2815" s="109">
        <v>45841.580648148149</v>
      </c>
      <c r="N2815" s="109"/>
      <c r="O2815" s="109"/>
      <c r="P2815" s="110" t="str">
        <f ca="1">IF(Proc[[#This Row],[DaysAgeing]]&gt;5,"yep","on track")</f>
        <v>on track</v>
      </c>
      <c r="Q2815" s="3">
        <f ca="1">IF(Proc[[#This Row],[DateClosed]]="",ABS(NETWORKDAYS(Proc[[#This Row],[DateOpened]],TODAY()))-1,ABS(NETWORKDAYS(Proc[[#This Row],[DateOpened]],Proc[[#This Row],[DateClosed]]))-1)</f>
        <v>1</v>
      </c>
      <c r="R2815" s="110" t="s">
        <v>410</v>
      </c>
      <c r="S2815" s="94"/>
    </row>
    <row r="2816" spans="1:19">
      <c r="A2816" s="103" t="s">
        <v>4835</v>
      </c>
      <c r="B2816" s="94" t="str">
        <f>IFERROR(VLOOKUP(Proc[[#This Row],[App]],Table2[],3,0),"open")</f>
        <v>open</v>
      </c>
      <c r="C2816" s="103" t="s">
        <v>404</v>
      </c>
      <c r="D2816" t="s">
        <v>4839</v>
      </c>
      <c r="E2816" t="s">
        <v>4844</v>
      </c>
      <c r="F2816" s="94" t="s">
        <v>4845</v>
      </c>
      <c r="G2816" s="103" t="s">
        <v>406</v>
      </c>
      <c r="H2816" s="94" t="str">
        <f>IF(Proc[[#This Row],[type]]="LFF (MDG-F)",MID(Proc[[#This Row],[Obj]],13,10),"")</f>
        <v>CH65GCA010</v>
      </c>
      <c r="J2816" s="94" t="b">
        <f>Proc[[#This Row],[Requested]]=Proc[[#This Row],[CurrentParent]]</f>
        <v>0</v>
      </c>
      <c r="K2816" s="94" t="str">
        <f>IF(Proc[[#This Row],[Author]]="Marcela Urrego",VLOOKUP(LEFT(Proc[[#This Row],[Requested]],1),Table3[#All],2,0),VLOOKUP(Proc[[#This Row],[Author]],Table4[],2,0))</f>
        <v>HC</v>
      </c>
      <c r="L2816" s="94"/>
      <c r="M2816" s="109">
        <v>45841.580648148149</v>
      </c>
      <c r="N2816" s="109"/>
      <c r="O2816" s="109"/>
      <c r="P2816" s="110" t="str">
        <f ca="1">IF(Proc[[#This Row],[DaysAgeing]]&gt;5,"yep","on track")</f>
        <v>on track</v>
      </c>
      <c r="Q2816" s="3">
        <f ca="1">IF(Proc[[#This Row],[DateClosed]]="",ABS(NETWORKDAYS(Proc[[#This Row],[DateOpened]],TODAY()))-1,ABS(NETWORKDAYS(Proc[[#This Row],[DateOpened]],Proc[[#This Row],[DateClosed]]))-1)</f>
        <v>1</v>
      </c>
      <c r="R2816" s="110" t="s">
        <v>410</v>
      </c>
      <c r="S2816" s="94"/>
    </row>
    <row r="2817" spans="1:19">
      <c r="A2817" s="103" t="s">
        <v>4835</v>
      </c>
      <c r="B2817" s="94" t="str">
        <f>IFERROR(VLOOKUP(Proc[[#This Row],[App]],Table2[],3,0),"open")</f>
        <v>open</v>
      </c>
      <c r="C2817" s="103" t="s">
        <v>404</v>
      </c>
      <c r="D2817" t="s">
        <v>4840</v>
      </c>
      <c r="E2817" t="s">
        <v>4844</v>
      </c>
      <c r="F2817" s="94" t="s">
        <v>4846</v>
      </c>
      <c r="G2817" s="103" t="s">
        <v>406</v>
      </c>
      <c r="H2817" s="94" t="str">
        <f>IF(Proc[[#This Row],[type]]="LFF (MDG-F)",MID(Proc[[#This Row],[Obj]],13,10),"")</f>
        <v>CH65GCA001</v>
      </c>
      <c r="J2817" s="94" t="b">
        <f>Proc[[#This Row],[Requested]]=Proc[[#This Row],[CurrentParent]]</f>
        <v>0</v>
      </c>
      <c r="K2817" s="94" t="str">
        <f>IF(Proc[[#This Row],[Author]]="Marcela Urrego",VLOOKUP(LEFT(Proc[[#This Row],[Requested]],1),Table3[#All],2,0),VLOOKUP(Proc[[#This Row],[Author]],Table4[],2,0))</f>
        <v>HC</v>
      </c>
      <c r="L2817" s="94"/>
      <c r="M2817" s="109">
        <v>45841.580648148149</v>
      </c>
      <c r="N2817" s="109"/>
      <c r="O2817" s="109"/>
      <c r="P2817" s="110" t="str">
        <f ca="1">IF(Proc[[#This Row],[DaysAgeing]]&gt;5,"yep","on track")</f>
        <v>on track</v>
      </c>
      <c r="Q2817" s="3">
        <f ca="1">IF(Proc[[#This Row],[DateClosed]]="",ABS(NETWORKDAYS(Proc[[#This Row],[DateOpened]],TODAY()))-1,ABS(NETWORKDAYS(Proc[[#This Row],[DateOpened]],Proc[[#This Row],[DateClosed]]))-1)</f>
        <v>1</v>
      </c>
      <c r="R2817" s="110" t="s">
        <v>410</v>
      </c>
      <c r="S2817" s="94"/>
    </row>
    <row r="2818" spans="1:19">
      <c r="A2818" s="103" t="s">
        <v>4835</v>
      </c>
      <c r="B2818" s="94" t="str">
        <f>IFERROR(VLOOKUP(Proc[[#This Row],[App]],Table2[],3,0),"open")</f>
        <v>open</v>
      </c>
      <c r="C2818" s="103" t="s">
        <v>404</v>
      </c>
      <c r="D2818" t="s">
        <v>4841</v>
      </c>
      <c r="E2818" t="s">
        <v>4844</v>
      </c>
      <c r="F2818" s="94" t="s">
        <v>4845</v>
      </c>
      <c r="G2818" t="s">
        <v>406</v>
      </c>
      <c r="H2818" s="94" t="str">
        <f>IF(Proc[[#This Row],[type]]="LFF (MDG-F)",MID(Proc[[#This Row],[Obj]],13,10),"")</f>
        <v>DE50OF6808</v>
      </c>
      <c r="J2818" s="94" t="b">
        <f>Proc[[#This Row],[Requested]]=Proc[[#This Row],[CurrentParent]]</f>
        <v>0</v>
      </c>
      <c r="K2818" s="94" t="str">
        <f>IF(Proc[[#This Row],[Author]]="Marcela Urrego",VLOOKUP(LEFT(Proc[[#This Row],[Requested]],1),Table3[#All],2,0),VLOOKUP(Proc[[#This Row],[Author]],Table4[],2,0))</f>
        <v>HC</v>
      </c>
      <c r="L2818" s="94"/>
      <c r="M2818" s="109">
        <v>45841.580648148149</v>
      </c>
      <c r="N2818" s="109"/>
      <c r="O2818" s="109"/>
      <c r="P2818" s="110" t="str">
        <f ca="1">IF(Proc[[#This Row],[DaysAgeing]]&gt;5,"yep","on track")</f>
        <v>on track</v>
      </c>
      <c r="Q2818" s="3">
        <f ca="1">IF(Proc[[#This Row],[DateClosed]]="",ABS(NETWORKDAYS(Proc[[#This Row],[DateOpened]],TODAY()))-1,ABS(NETWORKDAYS(Proc[[#This Row],[DateOpened]],Proc[[#This Row],[DateClosed]]))-1)</f>
        <v>1</v>
      </c>
      <c r="R2818" s="110" t="s">
        <v>410</v>
      </c>
      <c r="S2818" s="94"/>
    </row>
    <row r="2819" spans="1:19" hidden="1">
      <c r="A2819" s="103" t="s">
        <v>4835</v>
      </c>
      <c r="B2819" s="94" t="str">
        <f>IFERROR(VLOOKUP(Proc[[#This Row],[App]],Table2[],3,0),"open")</f>
        <v>open</v>
      </c>
      <c r="C2819" s="103" t="s">
        <v>370</v>
      </c>
      <c r="D2819" t="s">
        <v>4842</v>
      </c>
      <c r="E2819" t="s">
        <v>4844</v>
      </c>
      <c r="F2819" s="94" t="s">
        <v>4845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0</v>
      </c>
      <c r="K2819" s="94" t="str">
        <f>IF(Proc[[#This Row],[Author]]="Marcela Urrego",VLOOKUP(LEFT(Proc[[#This Row],[Requested]],1),Table3[#All],2,0),VLOOKUP(Proc[[#This Row],[Author]],Table4[],2,0))</f>
        <v>HC</v>
      </c>
      <c r="L2819" s="94"/>
      <c r="M2819" s="109">
        <v>45841.580648148149</v>
      </c>
      <c r="N2819" s="109"/>
      <c r="O2819" s="109"/>
      <c r="P2819" s="110" t="str">
        <f ca="1">IF(Proc[[#This Row],[DaysAgeing]]&gt;5,"yep","on track")</f>
        <v>on track</v>
      </c>
      <c r="Q2819" s="3">
        <f ca="1">IF(Proc[[#This Row],[DateClosed]]="",ABS(NETWORKDAYS(Proc[[#This Row],[DateOpened]],TODAY()))-1,ABS(NETWORKDAYS(Proc[[#This Row],[DateOpened]],Proc[[#This Row],[DateClosed]]))-1)</f>
        <v>1</v>
      </c>
      <c r="R2819" s="110" t="s">
        <v>410</v>
      </c>
      <c r="S2819" s="94"/>
    </row>
    <row r="2820" spans="1:19" hidden="1">
      <c r="A2820" s="103" t="s">
        <v>4835</v>
      </c>
      <c r="B2820" s="94" t="str">
        <f>IFERROR(VLOOKUP(Proc[[#This Row],[App]],Table2[],3,0),"open")</f>
        <v>open</v>
      </c>
      <c r="C2820" t="s">
        <v>370</v>
      </c>
      <c r="D2820" t="s">
        <v>4843</v>
      </c>
      <c r="E2820" t="s">
        <v>4844</v>
      </c>
      <c r="F2820" s="94" t="s">
        <v>4846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0</v>
      </c>
      <c r="K2820" s="94" t="str">
        <f>IF(Proc[[#This Row],[Author]]="Marcela Urrego",VLOOKUP(LEFT(Proc[[#This Row],[Requested]],1),Table3[#All],2,0),VLOOKUP(Proc[[#This Row],[Author]],Table4[],2,0))</f>
        <v>HC</v>
      </c>
      <c r="L2820" s="94"/>
      <c r="M2820" s="109">
        <v>45841.580648148149</v>
      </c>
      <c r="N2820" s="109"/>
      <c r="O2820" s="109"/>
      <c r="P2820" s="110" t="str">
        <f ca="1">IF(Proc[[#This Row],[DaysAgeing]]&gt;5,"yep","on track")</f>
        <v>on track</v>
      </c>
      <c r="Q2820" s="3">
        <f ca="1">IF(Proc[[#This Row],[DateClosed]]="",ABS(NETWORKDAYS(Proc[[#This Row],[DateOpened]],TODAY()))-1,ABS(NETWORKDAYS(Proc[[#This Row],[DateOpened]],Proc[[#This Row],[DateClosed]]))-1)</f>
        <v>1</v>
      </c>
      <c r="R2820" s="110" t="s">
        <v>410</v>
      </c>
      <c r="S2820" s="94"/>
    </row>
    <row r="2821" spans="1:19">
      <c r="A2821" t="s">
        <v>4847</v>
      </c>
      <c r="B2821" s="94" t="str">
        <f>IFERROR(VLOOKUP(Proc[[#This Row],[App]],Table2[],3,0),"open")</f>
        <v>open</v>
      </c>
      <c r="C2821" s="103" t="s">
        <v>404</v>
      </c>
      <c r="D2821" t="s">
        <v>4848</v>
      </c>
      <c r="E2821" t="s">
        <v>4860</v>
      </c>
      <c r="F2821" s="94" t="s">
        <v>4862</v>
      </c>
      <c r="G2821" s="103" t="s">
        <v>406</v>
      </c>
      <c r="H2821" s="94" t="str">
        <f>IF(Proc[[#This Row],[type]]="LFF (MDG-F)",MID(Proc[[#This Row],[Obj]],13,10),"")</f>
        <v>AT50L93100</v>
      </c>
      <c r="J2821" s="94" t="b">
        <f>Proc[[#This Row],[Requested]]=Proc[[#This Row],[CurrentParent]]</f>
        <v>0</v>
      </c>
      <c r="K2821" s="94" t="str">
        <f>IF(Proc[[#This Row],[Author]]="Marcela Urrego",VLOOKUP(LEFT(Proc[[#This Row],[Requested]],1),Table3[#All],2,0),VLOOKUP(Proc[[#This Row],[Author]],Table4[],2,0))</f>
        <v>MGF</v>
      </c>
      <c r="L2821" s="94"/>
      <c r="M2821" s="109">
        <v>45841.629756944443</v>
      </c>
      <c r="N2821" s="109"/>
      <c r="O2821" s="109"/>
      <c r="P2821" s="94" t="str">
        <f ca="1">IF(Proc[[#This Row],[DaysAgeing]]&gt;5,"yep","on track")</f>
        <v>on track</v>
      </c>
      <c r="Q2821" s="3">
        <f ca="1">IF(Proc[[#This Row],[DateClosed]]="",ABS(NETWORKDAYS(Proc[[#This Row],[DateOpened]],TODAY()))-1,ABS(NETWORKDAYS(Proc[[#This Row],[DateOpened]],Proc[[#This Row],[DateClosed]]))-1)</f>
        <v>1</v>
      </c>
      <c r="R2821" s="94" t="s">
        <v>515</v>
      </c>
      <c r="S2821" s="94"/>
    </row>
    <row r="2822" spans="1:19">
      <c r="A2822" s="103" t="s">
        <v>4847</v>
      </c>
      <c r="B2822" s="94" t="str">
        <f>IFERROR(VLOOKUP(Proc[[#This Row],[App]],Table2[],3,0),"open")</f>
        <v>open</v>
      </c>
      <c r="C2822" s="103" t="s">
        <v>404</v>
      </c>
      <c r="D2822" t="s">
        <v>4849</v>
      </c>
      <c r="E2822" t="s">
        <v>4860</v>
      </c>
      <c r="F2822" s="94" t="s">
        <v>4862</v>
      </c>
      <c r="G2822" s="103" t="s">
        <v>406</v>
      </c>
      <c r="H2822" s="94" t="str">
        <f>IF(Proc[[#This Row],[type]]="LFF (MDG-F)",MID(Proc[[#This Row],[Obj]],13,10),"")</f>
        <v>DK50L93100</v>
      </c>
      <c r="J2822" s="94" t="b">
        <f>Proc[[#This Row],[Requested]]=Proc[[#This Row],[CurrentParent]]</f>
        <v>0</v>
      </c>
      <c r="K2822" s="94" t="str">
        <f>IF(Proc[[#This Row],[Author]]="Marcela Urrego",VLOOKUP(LEFT(Proc[[#This Row],[Requested]],1),Table3[#All],2,0),VLOOKUP(Proc[[#This Row],[Author]],Table4[],2,0))</f>
        <v>MGF</v>
      </c>
      <c r="L2822" s="94"/>
      <c r="M2822" s="109">
        <v>45841.629756944443</v>
      </c>
      <c r="N2822" s="109"/>
      <c r="O2822" s="109"/>
      <c r="P2822" s="110" t="str">
        <f ca="1">IF(Proc[[#This Row],[DaysAgeing]]&gt;5,"yep","on track")</f>
        <v>on track</v>
      </c>
      <c r="Q2822" s="3">
        <f ca="1">IF(Proc[[#This Row],[DateClosed]]="",ABS(NETWORKDAYS(Proc[[#This Row],[DateOpened]],TODAY()))-1,ABS(NETWORKDAYS(Proc[[#This Row],[DateOpened]],Proc[[#This Row],[DateClosed]]))-1)</f>
        <v>1</v>
      </c>
      <c r="R2822" s="94" t="s">
        <v>515</v>
      </c>
      <c r="S2822" s="94"/>
    </row>
    <row r="2823" spans="1:19">
      <c r="A2823" s="103" t="s">
        <v>4847</v>
      </c>
      <c r="B2823" s="94" t="str">
        <f>IFERROR(VLOOKUP(Proc[[#This Row],[App]],Table2[],3,0),"open")</f>
        <v>open</v>
      </c>
      <c r="C2823" s="103" t="s">
        <v>404</v>
      </c>
      <c r="D2823" t="s">
        <v>4850</v>
      </c>
      <c r="E2823" t="s">
        <v>4860</v>
      </c>
      <c r="F2823" s="94" t="s">
        <v>4862</v>
      </c>
      <c r="G2823" s="103" t="s">
        <v>406</v>
      </c>
      <c r="H2823" s="94" t="str">
        <f>IF(Proc[[#This Row],[type]]="LFF (MDG-F)",MID(Proc[[#This Row],[Obj]],13,10),"")</f>
        <v>FI50L93100</v>
      </c>
      <c r="J2823" s="94" t="b">
        <f>Proc[[#This Row],[Requested]]=Proc[[#This Row],[CurrentParent]]</f>
        <v>0</v>
      </c>
      <c r="K2823" s="94" t="str">
        <f>IF(Proc[[#This Row],[Author]]="Marcela Urrego",VLOOKUP(LEFT(Proc[[#This Row],[Requested]],1),Table3[#All],2,0),VLOOKUP(Proc[[#This Row],[Author]],Table4[],2,0))</f>
        <v>MGF</v>
      </c>
      <c r="L2823" s="94"/>
      <c r="M2823" s="109">
        <v>45841.629756944443</v>
      </c>
      <c r="N2823" s="109"/>
      <c r="O2823" s="109"/>
      <c r="P2823" s="110" t="str">
        <f ca="1">IF(Proc[[#This Row],[DaysAgeing]]&gt;5,"yep","on track")</f>
        <v>on track</v>
      </c>
      <c r="Q2823" s="3">
        <f ca="1">IF(Proc[[#This Row],[DateClosed]]="",ABS(NETWORKDAYS(Proc[[#This Row],[DateOpened]],TODAY()))-1,ABS(NETWORKDAYS(Proc[[#This Row],[DateOpened]],Proc[[#This Row],[DateClosed]]))-1)</f>
        <v>1</v>
      </c>
      <c r="R2823" s="94" t="s">
        <v>515</v>
      </c>
      <c r="S2823" s="94"/>
    </row>
    <row r="2824" spans="1:19">
      <c r="A2824" s="103" t="s">
        <v>4847</v>
      </c>
      <c r="B2824" s="94" t="str">
        <f>IFERROR(VLOOKUP(Proc[[#This Row],[App]],Table2[],3,0),"open")</f>
        <v>open</v>
      </c>
      <c r="C2824" s="103" t="s">
        <v>404</v>
      </c>
      <c r="D2824" t="s">
        <v>4851</v>
      </c>
      <c r="E2824" t="s">
        <v>4861</v>
      </c>
      <c r="F2824" s="94" t="s">
        <v>4863</v>
      </c>
      <c r="G2824" s="103" t="s">
        <v>406</v>
      </c>
      <c r="H2824" s="94" t="str">
        <f>IF(Proc[[#This Row],[type]]="LFF (MDG-F)",MID(Proc[[#This Row],[Obj]],13,10),"")</f>
        <v>KR02GHR119</v>
      </c>
      <c r="J2824" s="94" t="b">
        <f>Proc[[#This Row],[Requested]]=Proc[[#This Row],[CurrentParent]]</f>
        <v>0</v>
      </c>
      <c r="K2824" s="94" t="str">
        <f>IF(Proc[[#This Row],[Author]]="Marcela Urrego",VLOOKUP(LEFT(Proc[[#This Row],[Requested]],1),Table3[#All],2,0),VLOOKUP(Proc[[#This Row],[Author]],Table4[],2,0))</f>
        <v>MGF</v>
      </c>
      <c r="L2824" s="94"/>
      <c r="M2824" s="109">
        <v>45841.629756944443</v>
      </c>
      <c r="N2824" s="109"/>
      <c r="O2824" s="109"/>
      <c r="P2824" s="110" t="str">
        <f ca="1">IF(Proc[[#This Row],[DaysAgeing]]&gt;5,"yep","on track")</f>
        <v>on track</v>
      </c>
      <c r="Q2824" s="3">
        <f ca="1">IF(Proc[[#This Row],[DateClosed]]="",ABS(NETWORKDAYS(Proc[[#This Row],[DateOpened]],TODAY()))-1,ABS(NETWORKDAYS(Proc[[#This Row],[DateOpened]],Proc[[#This Row],[DateClosed]]))-1)</f>
        <v>1</v>
      </c>
      <c r="R2824" s="94" t="s">
        <v>515</v>
      </c>
      <c r="S2824" s="94"/>
    </row>
    <row r="2825" spans="1:19">
      <c r="A2825" s="103" t="s">
        <v>4847</v>
      </c>
      <c r="B2825" s="94" t="str">
        <f>IFERROR(VLOOKUP(Proc[[#This Row],[App]],Table2[],3,0),"open")</f>
        <v>open</v>
      </c>
      <c r="C2825" s="103" t="s">
        <v>404</v>
      </c>
      <c r="D2825" t="s">
        <v>4852</v>
      </c>
      <c r="E2825" t="s">
        <v>4860</v>
      </c>
      <c r="F2825" s="94" t="s">
        <v>4862</v>
      </c>
      <c r="G2825" s="103" t="s">
        <v>406</v>
      </c>
      <c r="H2825" s="94" t="str">
        <f>IF(Proc[[#This Row],[type]]="LFF (MDG-F)",MID(Proc[[#This Row],[Obj]],13,10),"")</f>
        <v>MA50GHR018</v>
      </c>
      <c r="J2825" s="94" t="b">
        <f>Proc[[#This Row],[Requested]]=Proc[[#This Row],[CurrentParent]]</f>
        <v>0</v>
      </c>
      <c r="K2825" s="94" t="str">
        <f>IF(Proc[[#This Row],[Author]]="Marcela Urrego",VLOOKUP(LEFT(Proc[[#This Row],[Requested]],1),Table3[#All],2,0),VLOOKUP(Proc[[#This Row],[Author]],Table4[],2,0))</f>
        <v>MGF</v>
      </c>
      <c r="L2825" s="94"/>
      <c r="M2825" s="109">
        <v>45841.629756944443</v>
      </c>
      <c r="N2825" s="109"/>
      <c r="O2825" s="109"/>
      <c r="P2825" s="110" t="str">
        <f ca="1">IF(Proc[[#This Row],[DaysAgeing]]&gt;5,"yep","on track")</f>
        <v>on track</v>
      </c>
      <c r="Q2825" s="3">
        <f ca="1">IF(Proc[[#This Row],[DateClosed]]="",ABS(NETWORKDAYS(Proc[[#This Row],[DateOpened]],TODAY()))-1,ABS(NETWORKDAYS(Proc[[#This Row],[DateOpened]],Proc[[#This Row],[DateClosed]]))-1)</f>
        <v>1</v>
      </c>
      <c r="R2825" s="94" t="s">
        <v>515</v>
      </c>
      <c r="S2825" s="94"/>
    </row>
    <row r="2826" spans="1:19">
      <c r="A2826" s="103" t="s">
        <v>4847</v>
      </c>
      <c r="B2826" s="94" t="str">
        <f>IFERROR(VLOOKUP(Proc[[#This Row],[App]],Table2[],3,0),"open")</f>
        <v>open</v>
      </c>
      <c r="C2826" s="103" t="s">
        <v>404</v>
      </c>
      <c r="D2826" t="s">
        <v>4853</v>
      </c>
      <c r="E2826" t="s">
        <v>4860</v>
      </c>
      <c r="F2826" s="94" t="s">
        <v>4862</v>
      </c>
      <c r="G2826" s="103" t="s">
        <v>406</v>
      </c>
      <c r="H2826" s="94" t="str">
        <f>IF(Proc[[#This Row],[type]]="LFF (MDG-F)",MID(Proc[[#This Row],[Obj]],13,10),"")</f>
        <v>NO50L93100</v>
      </c>
      <c r="J2826" s="94" t="b">
        <f>Proc[[#This Row],[Requested]]=Proc[[#This Row],[CurrentParent]]</f>
        <v>0</v>
      </c>
      <c r="K2826" s="94" t="str">
        <f>IF(Proc[[#This Row],[Author]]="Marcela Urrego",VLOOKUP(LEFT(Proc[[#This Row],[Requested]],1),Table3[#All],2,0),VLOOKUP(Proc[[#This Row],[Author]],Table4[],2,0))</f>
        <v>MGF</v>
      </c>
      <c r="L2826" s="94"/>
      <c r="M2826" s="109">
        <v>45841.629756944443</v>
      </c>
      <c r="N2826" s="109"/>
      <c r="O2826" s="109"/>
      <c r="P2826" s="110" t="str">
        <f ca="1">IF(Proc[[#This Row],[DaysAgeing]]&gt;5,"yep","on track")</f>
        <v>on track</v>
      </c>
      <c r="Q2826" s="3">
        <f ca="1">IF(Proc[[#This Row],[DateClosed]]="",ABS(NETWORKDAYS(Proc[[#This Row],[DateOpened]],TODAY()))-1,ABS(NETWORKDAYS(Proc[[#This Row],[DateOpened]],Proc[[#This Row],[DateClosed]]))-1)</f>
        <v>1</v>
      </c>
      <c r="R2826" s="94" t="s">
        <v>515</v>
      </c>
      <c r="S2826" s="94"/>
    </row>
    <row r="2827" spans="1:19">
      <c r="A2827" s="103" t="s">
        <v>4847</v>
      </c>
      <c r="B2827" s="94" t="str">
        <f>IFERROR(VLOOKUP(Proc[[#This Row],[App]],Table2[],3,0),"open")</f>
        <v>open</v>
      </c>
      <c r="C2827" s="103" t="s">
        <v>404</v>
      </c>
      <c r="D2827" t="s">
        <v>4854</v>
      </c>
      <c r="E2827" t="s">
        <v>4860</v>
      </c>
      <c r="F2827" s="94" t="s">
        <v>4862</v>
      </c>
      <c r="G2827" s="103" t="s">
        <v>406</v>
      </c>
      <c r="H2827" s="94" t="str">
        <f>IF(Proc[[#This Row],[type]]="LFF (MDG-F)",MID(Proc[[#This Row],[Obj]],13,10),"")</f>
        <v>SE50L93100</v>
      </c>
      <c r="J2827" s="94" t="b">
        <f>Proc[[#This Row],[Requested]]=Proc[[#This Row],[CurrentParent]]</f>
        <v>0</v>
      </c>
      <c r="K2827" s="94" t="str">
        <f>IF(Proc[[#This Row],[Author]]="Marcela Urrego",VLOOKUP(LEFT(Proc[[#This Row],[Requested]],1),Table3[#All],2,0),VLOOKUP(Proc[[#This Row],[Author]],Table4[],2,0))</f>
        <v>MGF</v>
      </c>
      <c r="L2827" s="94"/>
      <c r="M2827" s="109">
        <v>45841.629756944443</v>
      </c>
      <c r="N2827" s="109"/>
      <c r="O2827" s="109"/>
      <c r="P2827" s="110" t="str">
        <f ca="1">IF(Proc[[#This Row],[DaysAgeing]]&gt;5,"yep","on track")</f>
        <v>on track</v>
      </c>
      <c r="Q2827" s="3">
        <f ca="1">IF(Proc[[#This Row],[DateClosed]]="",ABS(NETWORKDAYS(Proc[[#This Row],[DateOpened]],TODAY()))-1,ABS(NETWORKDAYS(Proc[[#This Row],[DateOpened]],Proc[[#This Row],[DateClosed]]))-1)</f>
        <v>1</v>
      </c>
      <c r="R2827" s="94" t="s">
        <v>515</v>
      </c>
      <c r="S2827" s="94"/>
    </row>
    <row r="2828" spans="1:19">
      <c r="A2828" s="103" t="s">
        <v>4847</v>
      </c>
      <c r="B2828" s="94" t="str">
        <f>IFERROR(VLOOKUP(Proc[[#This Row],[App]],Table2[],3,0),"open")</f>
        <v>open</v>
      </c>
      <c r="C2828" s="103" t="s">
        <v>404</v>
      </c>
      <c r="D2828" t="s">
        <v>4855</v>
      </c>
      <c r="E2828" t="s">
        <v>4860</v>
      </c>
      <c r="F2828" s="94" t="s">
        <v>4862</v>
      </c>
      <c r="G2828" s="103" t="s">
        <v>406</v>
      </c>
      <c r="H2828" s="94" t="str">
        <f>IF(Proc[[#This Row],[type]]="LFF (MDG-F)",MID(Proc[[#This Row],[Obj]],13,10),"")</f>
        <v>TN50GHR018</v>
      </c>
      <c r="J2828" s="94" t="b">
        <f>Proc[[#This Row],[Requested]]=Proc[[#This Row],[CurrentParent]]</f>
        <v>0</v>
      </c>
      <c r="K2828" s="94" t="str">
        <f>IF(Proc[[#This Row],[Author]]="Marcela Urrego",VLOOKUP(LEFT(Proc[[#This Row],[Requested]],1),Table3[#All],2,0),VLOOKUP(Proc[[#This Row],[Author]],Table4[],2,0))</f>
        <v>MGF</v>
      </c>
      <c r="L2828" s="94"/>
      <c r="M2828" s="109">
        <v>45841.629756944443</v>
      </c>
      <c r="N2828" s="109"/>
      <c r="O2828" s="109"/>
      <c r="P2828" s="110" t="str">
        <f ca="1">IF(Proc[[#This Row],[DaysAgeing]]&gt;5,"yep","on track")</f>
        <v>on track</v>
      </c>
      <c r="Q2828" s="3">
        <f ca="1">IF(Proc[[#This Row],[DateClosed]]="",ABS(NETWORKDAYS(Proc[[#This Row],[DateOpened]],TODAY()))-1,ABS(NETWORKDAYS(Proc[[#This Row],[DateOpened]],Proc[[#This Row],[DateClosed]]))-1)</f>
        <v>1</v>
      </c>
      <c r="R2828" s="94" t="s">
        <v>515</v>
      </c>
      <c r="S2828" s="94"/>
    </row>
    <row r="2829" spans="1:19">
      <c r="A2829" s="103" t="s">
        <v>4847</v>
      </c>
      <c r="B2829" s="94" t="str">
        <f>IFERROR(VLOOKUP(Proc[[#This Row],[App]],Table2[],3,0),"open")</f>
        <v>open</v>
      </c>
      <c r="C2829" s="103" t="s">
        <v>404</v>
      </c>
      <c r="D2829" t="s">
        <v>4856</v>
      </c>
      <c r="E2829" t="s">
        <v>4860</v>
      </c>
      <c r="F2829" s="94" t="s">
        <v>4862</v>
      </c>
      <c r="G2829" s="103" t="s">
        <v>406</v>
      </c>
      <c r="H2829" s="94" t="str">
        <f>IF(Proc[[#This Row],[type]]="LFF (MDG-F)",MID(Proc[[#This Row],[Obj]],13,10),"")</f>
        <v>TN50GHR019</v>
      </c>
      <c r="J2829" s="94" t="b">
        <f>Proc[[#This Row],[Requested]]=Proc[[#This Row],[CurrentParent]]</f>
        <v>0</v>
      </c>
      <c r="K2829" s="94" t="str">
        <f>IF(Proc[[#This Row],[Author]]="Marcela Urrego",VLOOKUP(LEFT(Proc[[#This Row],[Requested]],1),Table3[#All],2,0),VLOOKUP(Proc[[#This Row],[Author]],Table4[],2,0))</f>
        <v>MGF</v>
      </c>
      <c r="L2829" s="94"/>
      <c r="M2829" s="109">
        <v>45841.629756944443</v>
      </c>
      <c r="N2829" s="109"/>
      <c r="O2829" s="109"/>
      <c r="P2829" s="110" t="str">
        <f ca="1">IF(Proc[[#This Row],[DaysAgeing]]&gt;5,"yep","on track")</f>
        <v>on track</v>
      </c>
      <c r="Q2829" s="3">
        <f ca="1">IF(Proc[[#This Row],[DateClosed]]="",ABS(NETWORKDAYS(Proc[[#This Row],[DateOpened]],TODAY()))-1,ABS(NETWORKDAYS(Proc[[#This Row],[DateOpened]],Proc[[#This Row],[DateClosed]]))-1)</f>
        <v>1</v>
      </c>
      <c r="R2829" s="94" t="s">
        <v>515</v>
      </c>
      <c r="S2829" s="94"/>
    </row>
    <row r="2830" spans="1:19">
      <c r="A2830" s="103" t="s">
        <v>4847</v>
      </c>
      <c r="B2830" s="94" t="str">
        <f>IFERROR(VLOOKUP(Proc[[#This Row],[App]],Table2[],3,0),"open")</f>
        <v>open</v>
      </c>
      <c r="C2830" s="103" t="s">
        <v>404</v>
      </c>
      <c r="D2830" t="s">
        <v>4857</v>
      </c>
      <c r="E2830" t="s">
        <v>4860</v>
      </c>
      <c r="F2830" s="94" t="s">
        <v>4862</v>
      </c>
      <c r="G2830" s="103" t="s">
        <v>406</v>
      </c>
      <c r="H2830" s="94" t="str">
        <f>IF(Proc[[#This Row],[type]]="LFF (MDG-F)",MID(Proc[[#This Row],[Obj]],13,10),"")</f>
        <v>TN60GHR018</v>
      </c>
      <c r="J2830" s="94" t="b">
        <f>Proc[[#This Row],[Requested]]=Proc[[#This Row],[CurrentParent]]</f>
        <v>0</v>
      </c>
      <c r="K2830" s="94" t="str">
        <f>IF(Proc[[#This Row],[Author]]="Marcela Urrego",VLOOKUP(LEFT(Proc[[#This Row],[Requested]],1),Table3[#All],2,0),VLOOKUP(Proc[[#This Row],[Author]],Table4[],2,0))</f>
        <v>MGF</v>
      </c>
      <c r="L2830" s="94"/>
      <c r="M2830" s="109">
        <v>45841.629756944443</v>
      </c>
      <c r="N2830" s="109"/>
      <c r="O2830" s="109"/>
      <c r="P2830" s="110" t="str">
        <f ca="1">IF(Proc[[#This Row],[DaysAgeing]]&gt;5,"yep","on track")</f>
        <v>on track</v>
      </c>
      <c r="Q2830" s="3">
        <f ca="1">IF(Proc[[#This Row],[DateClosed]]="",ABS(NETWORKDAYS(Proc[[#This Row],[DateOpened]],TODAY()))-1,ABS(NETWORKDAYS(Proc[[#This Row],[DateOpened]],Proc[[#This Row],[DateClosed]]))-1)</f>
        <v>1</v>
      </c>
      <c r="R2830" s="94" t="s">
        <v>515</v>
      </c>
      <c r="S2830" s="94"/>
    </row>
    <row r="2831" spans="1:19" hidden="1">
      <c r="A2831" s="103" t="s">
        <v>4847</v>
      </c>
      <c r="B2831" s="94" t="str">
        <f>IFERROR(VLOOKUP(Proc[[#This Row],[App]],Table2[],3,0),"open")</f>
        <v>open</v>
      </c>
      <c r="C2831" s="103" t="s">
        <v>404</v>
      </c>
      <c r="D2831" t="s">
        <v>4858</v>
      </c>
      <c r="E2831" t="s">
        <v>4861</v>
      </c>
      <c r="F2831" s="94" t="s">
        <v>4863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4870</v>
      </c>
      <c r="J2831" s="94" t="b">
        <f>Proc[[#This Row],[Requested]]=Proc[[#This Row],[CurrentParent]]</f>
        <v>0</v>
      </c>
      <c r="K2831" s="94" t="str">
        <f>IF(Proc[[#This Row],[Author]]="Marcela Urrego",VLOOKUP(LEFT(Proc[[#This Row],[Requested]],1),Table3[#All],2,0),VLOOKUP(Proc[[#This Row],[Author]],Table4[],2,0))</f>
        <v>MGF</v>
      </c>
      <c r="L2831" s="94"/>
      <c r="M2831" s="109">
        <v>45841.629756944443</v>
      </c>
      <c r="N2831" s="109"/>
      <c r="O2831" s="109"/>
      <c r="P2831" s="110" t="str">
        <f ca="1">IF(Proc[[#This Row],[DaysAgeing]]&gt;5,"yep","on track")</f>
        <v>on track</v>
      </c>
      <c r="Q2831" s="3">
        <f ca="1">IF(Proc[[#This Row],[DateClosed]]="",ABS(NETWORKDAYS(Proc[[#This Row],[DateOpened]],TODAY()))-1,ABS(NETWORKDAYS(Proc[[#This Row],[DateOpened]],Proc[[#This Row],[DateClosed]]))-1)</f>
        <v>1</v>
      </c>
      <c r="R2831" s="94" t="s">
        <v>515</v>
      </c>
      <c r="S2831" s="94"/>
    </row>
    <row r="2832" spans="1:19" hidden="1">
      <c r="A2832" s="103" t="s">
        <v>4847</v>
      </c>
      <c r="B2832" s="94" t="str">
        <f>IFERROR(VLOOKUP(Proc[[#This Row],[App]],Table2[],3,0),"open")</f>
        <v>open</v>
      </c>
      <c r="C2832" t="s">
        <v>370</v>
      </c>
      <c r="D2832" t="s">
        <v>4859</v>
      </c>
      <c r="E2832" t="s">
        <v>4860</v>
      </c>
      <c r="F2832" s="94" t="s">
        <v>4862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0</v>
      </c>
      <c r="K2832" s="94" t="str">
        <f>IF(Proc[[#This Row],[Author]]="Marcela Urrego",VLOOKUP(LEFT(Proc[[#This Row],[Requested]],1),Table3[#All],2,0),VLOOKUP(Proc[[#This Row],[Author]],Table4[],2,0))</f>
        <v>MGF</v>
      </c>
      <c r="L2832" s="94"/>
      <c r="M2832" s="109">
        <v>45841.629756944443</v>
      </c>
      <c r="N2832" s="109"/>
      <c r="O2832" s="109"/>
      <c r="P2832" s="110" t="str">
        <f ca="1">IF(Proc[[#This Row],[DaysAgeing]]&gt;5,"yep","on track")</f>
        <v>on track</v>
      </c>
      <c r="Q2832" s="3">
        <f ca="1">IF(Proc[[#This Row],[DateClosed]]="",ABS(NETWORKDAYS(Proc[[#This Row],[DateOpened]],TODAY()))-1,ABS(NETWORKDAYS(Proc[[#This Row],[DateOpened]],Proc[[#This Row],[DateClosed]]))-1)</f>
        <v>1</v>
      </c>
      <c r="R2832" s="94" t="s">
        <v>515</v>
      </c>
      <c r="S2832" s="94"/>
    </row>
    <row r="2833" spans="1:19" hidden="1">
      <c r="A2833" t="s">
        <v>4869</v>
      </c>
      <c r="B2833" s="94" t="str">
        <f>IFERROR(VLOOKUP(Proc[[#This Row],[App]],Table2[],3,0),"open")</f>
        <v>open</v>
      </c>
      <c r="C2833" t="s">
        <v>403</v>
      </c>
      <c r="D2833" t="s">
        <v>4864</v>
      </c>
      <c r="E2833" t="s">
        <v>4326</v>
      </c>
      <c r="F2833" s="94"/>
      <c r="G2833" s="103" t="s">
        <v>406</v>
      </c>
      <c r="H2833" s="94" t="str">
        <f>IF(Proc[[#This Row],[type]]="LFF (MDG-F)",MID(Proc[[#This Row],[Obj]],13,10),"")</f>
        <v>2068TAUA01</v>
      </c>
      <c r="I2833" t="s">
        <v>4868</v>
      </c>
      <c r="J2833" s="94" t="b">
        <f>Proc[[#This Row],[Requested]]=Proc[[#This Row],[CurrentParent]]</f>
        <v>0</v>
      </c>
      <c r="K2833" s="94" t="str">
        <f>IF(Proc[[#This Row],[Author]]="Marcela Urrego",VLOOKUP(LEFT(Proc[[#This Row],[Requested]],1),Table3[#All],2,0),VLOOKUP(Proc[[#This Row],[Author]],Table4[],2,0))</f>
        <v>EL</v>
      </c>
      <c r="L2833" s="94"/>
      <c r="M2833" s="109">
        <v>45841.910150462965</v>
      </c>
      <c r="N2833" s="109"/>
      <c r="O2833" s="109"/>
      <c r="P2833" s="110" t="str">
        <f ca="1">IF(Proc[[#This Row],[DaysAgeing]]&gt;5,"yep","on track")</f>
        <v>on track</v>
      </c>
      <c r="Q2833" s="3">
        <f ca="1">IF(Proc[[#This Row],[DateClosed]]="",ABS(NETWORKDAYS(Proc[[#This Row],[DateOpened]],TODAY()))-1,ABS(NETWORKDAYS(Proc[[#This Row],[DateOpened]],Proc[[#This Row],[DateClosed]]))-1)</f>
        <v>1</v>
      </c>
      <c r="R2833" s="110" t="s">
        <v>780</v>
      </c>
      <c r="S2833" s="94"/>
    </row>
    <row r="2834" spans="1:19" hidden="1">
      <c r="A2834" s="103" t="s">
        <v>4869</v>
      </c>
      <c r="B2834" s="94" t="str">
        <f>IFERROR(VLOOKUP(Proc[[#This Row],[App]],Table2[],3,0),"open")</f>
        <v>open</v>
      </c>
      <c r="C2834" t="s">
        <v>403</v>
      </c>
      <c r="D2834" t="s">
        <v>4865</v>
      </c>
      <c r="E2834" t="s">
        <v>4326</v>
      </c>
      <c r="F2834" s="94"/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4868</v>
      </c>
      <c r="J2834" s="94" t="b">
        <f>Proc[[#This Row],[Requested]]=Proc[[#This Row],[CurrentParent]]</f>
        <v>0</v>
      </c>
      <c r="K2834" s="94" t="str">
        <f>IF(Proc[[#This Row],[Author]]="Marcela Urrego",VLOOKUP(LEFT(Proc[[#This Row],[Requested]],1),Table3[#All],2,0),VLOOKUP(Proc[[#This Row],[Author]],Table4[],2,0))</f>
        <v>EL</v>
      </c>
      <c r="L2834" s="94"/>
      <c r="M2834" s="109">
        <v>45841.910150462965</v>
      </c>
      <c r="N2834" s="109"/>
      <c r="O2834" s="109"/>
      <c r="P2834" s="110" t="str">
        <f ca="1">IF(Proc[[#This Row],[DaysAgeing]]&gt;5,"yep","on track")</f>
        <v>on track</v>
      </c>
      <c r="Q2834" s="3">
        <f ca="1">IF(Proc[[#This Row],[DateClosed]]="",ABS(NETWORKDAYS(Proc[[#This Row],[DateOpened]],TODAY()))-1,ABS(NETWORKDAYS(Proc[[#This Row],[DateOpened]],Proc[[#This Row],[DateClosed]]))-1)</f>
        <v>1</v>
      </c>
      <c r="R2834" s="110" t="s">
        <v>780</v>
      </c>
      <c r="S2834" s="94"/>
    </row>
    <row r="2835" spans="1:19">
      <c r="A2835" s="103" t="s">
        <v>4869</v>
      </c>
      <c r="B2835" s="94" t="str">
        <f>IFERROR(VLOOKUP(Proc[[#This Row],[App]],Table2[],3,0),"open")</f>
        <v>open</v>
      </c>
      <c r="C2835" t="s">
        <v>404</v>
      </c>
      <c r="D2835" t="s">
        <v>4866</v>
      </c>
      <c r="E2835" t="s">
        <v>4326</v>
      </c>
      <c r="F2835" s="94"/>
      <c r="G2835" s="103"/>
      <c r="H2835" s="94" t="str">
        <f>IF(Proc[[#This Row],[type]]="LFF (MDG-F)",MID(Proc[[#This Row],[Obj]],13,10),"")</f>
        <v/>
      </c>
      <c r="J2835" s="94" t="b">
        <f>Proc[[#This Row],[Requested]]=Proc[[#This Row],[CurrentParent]]</f>
        <v>0</v>
      </c>
      <c r="K2835" s="94" t="str">
        <f>IF(Proc[[#This Row],[Author]]="Marcela Urrego",VLOOKUP(LEFT(Proc[[#This Row],[Requested]],1),Table3[#All],2,0),VLOOKUP(Proc[[#This Row],[Author]],Table4[],2,0))</f>
        <v>EL</v>
      </c>
      <c r="L2835" s="94"/>
      <c r="M2835" s="109">
        <v>45841.910150462965</v>
      </c>
      <c r="N2835" s="109"/>
      <c r="O2835" s="109"/>
      <c r="P2835" s="110" t="str">
        <f ca="1">IF(Proc[[#This Row],[DaysAgeing]]&gt;5,"yep","on track")</f>
        <v>on track</v>
      </c>
      <c r="Q2835" s="3">
        <f ca="1">IF(Proc[[#This Row],[DateClosed]]="",ABS(NETWORKDAYS(Proc[[#This Row],[DateOpened]],TODAY()))-1,ABS(NETWORKDAYS(Proc[[#This Row],[DateOpened]],Proc[[#This Row],[DateClosed]]))-1)</f>
        <v>1</v>
      </c>
      <c r="R2835" s="110" t="s">
        <v>780</v>
      </c>
      <c r="S2835" s="94"/>
    </row>
    <row r="2836" spans="1:19">
      <c r="A2836" s="103" t="s">
        <v>4869</v>
      </c>
      <c r="B2836" s="94" t="str">
        <f>IFERROR(VLOOKUP(Proc[[#This Row],[App]],Table2[],3,0),"open")</f>
        <v>open</v>
      </c>
      <c r="C2836" s="103" t="s">
        <v>404</v>
      </c>
      <c r="D2836" t="s">
        <v>4867</v>
      </c>
      <c r="E2836" t="s">
        <v>4326</v>
      </c>
      <c r="F2836" s="94"/>
      <c r="G2836" s="103"/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0</v>
      </c>
      <c r="K2836" s="94" t="str">
        <f>IF(Proc[[#This Row],[Author]]="Marcela Urrego",VLOOKUP(LEFT(Proc[[#This Row],[Requested]],1),Table3[#All],2,0),VLOOKUP(Proc[[#This Row],[Author]],Table4[],2,0))</f>
        <v>EL</v>
      </c>
      <c r="L2836" s="94"/>
      <c r="M2836" s="109">
        <v>45841.910150462965</v>
      </c>
      <c r="N2836" s="109"/>
      <c r="O2836" s="109"/>
      <c r="P2836" s="110" t="str">
        <f ca="1">IF(Proc[[#This Row],[DaysAgeing]]&gt;5,"yep","on track")</f>
        <v>on track</v>
      </c>
      <c r="Q2836" s="3">
        <f ca="1">IF(Proc[[#This Row],[DateClosed]]="",ABS(NETWORKDAYS(Proc[[#This Row],[DateOpened]],TODAY()))-1,ABS(NETWORKDAYS(Proc[[#This Row],[DateOpened]],Proc[[#This Row],[DateClosed]]))-1)</f>
        <v>1</v>
      </c>
      <c r="R2836" s="110" t="s">
        <v>780</v>
      </c>
      <c r="S2836" s="94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G2:G2836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9"/>
  <sheetViews>
    <sheetView topLeftCell="A108" workbookViewId="0">
      <selection activeCell="B129" sqref="B129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569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4439</v>
      </c>
      <c r="B129" s="103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2025-07-04T11:39:44Z</dcterms:modified>
  <cp:category/>
  <cp:contentStatus/>
</cp:coreProperties>
</file>