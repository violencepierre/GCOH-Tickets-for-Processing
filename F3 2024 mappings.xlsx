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7182226-3899-4010-BD50-4BDBD51B4D16}" xr6:coauthVersionLast="47" xr6:coauthVersionMax="47" xr10:uidLastSave="{00000000-0000-0000-0000-000000000000}"/>
  <bookViews>
    <workbookView xWindow="13785" yWindow="3570" windowWidth="19215" windowHeight="13170" firstSheet="2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807" i="1" l="1"/>
  <c r="J3806" i="1"/>
  <c r="J3804" i="1"/>
  <c r="J3802" i="1"/>
  <c r="J3791" i="1"/>
  <c r="J3790" i="1"/>
  <c r="J3788" i="1"/>
  <c r="J3787" i="1"/>
  <c r="J3786" i="1"/>
  <c r="J3774" i="1"/>
  <c r="J3772" i="1"/>
  <c r="J3771" i="1"/>
  <c r="J3770" i="1"/>
  <c r="J3759" i="1"/>
  <c r="J3758" i="1"/>
  <c r="J3756" i="1"/>
  <c r="J3754" i="1"/>
  <c r="J3744" i="1"/>
  <c r="J3742" i="1"/>
  <c r="J3740" i="1"/>
  <c r="J3739" i="1"/>
  <c r="J3738" i="1"/>
  <c r="J3728" i="1"/>
  <c r="J3727" i="1"/>
  <c r="J3726" i="1"/>
  <c r="J3724" i="1"/>
  <c r="J3723" i="1"/>
  <c r="J3722" i="1"/>
  <c r="J3712" i="1"/>
  <c r="J3711" i="1"/>
  <c r="J3710" i="1"/>
  <c r="J3708" i="1"/>
  <c r="J3707" i="1"/>
  <c r="J3706" i="1"/>
  <c r="J3696" i="1"/>
  <c r="J3695" i="1"/>
  <c r="J3694" i="1"/>
  <c r="J3690" i="1"/>
  <c r="J3725" i="1"/>
  <c r="K3725" i="1"/>
  <c r="K3726" i="1"/>
  <c r="K3727" i="1"/>
  <c r="K3728" i="1"/>
  <c r="J3729" i="1"/>
  <c r="K3729" i="1"/>
  <c r="J3730" i="1"/>
  <c r="K3730" i="1"/>
  <c r="K3724" i="1"/>
  <c r="K3723" i="1"/>
  <c r="K3722" i="1"/>
  <c r="K3720" i="1"/>
  <c r="J3720" i="1"/>
  <c r="K3719" i="1"/>
  <c r="J3719" i="1"/>
  <c r="K3718" i="1"/>
  <c r="J3718" i="1"/>
  <c r="K3717" i="1"/>
  <c r="J3717" i="1"/>
  <c r="K3716" i="1"/>
  <c r="J3716" i="1"/>
  <c r="K3715" i="1"/>
  <c r="J3715" i="1"/>
  <c r="K3714" i="1"/>
  <c r="J3714" i="1"/>
  <c r="K3713" i="1"/>
  <c r="J3713" i="1"/>
  <c r="K3712" i="1"/>
  <c r="K3711" i="1"/>
  <c r="K3710" i="1"/>
  <c r="K3709" i="1"/>
  <c r="J3709" i="1"/>
  <c r="K3708" i="1"/>
  <c r="K3707" i="1"/>
  <c r="K3706" i="1"/>
  <c r="K3705" i="1"/>
  <c r="J3705" i="1"/>
  <c r="K3704" i="1"/>
  <c r="J3704" i="1"/>
  <c r="K3703" i="1"/>
  <c r="J3703" i="1"/>
  <c r="K3702" i="1"/>
  <c r="J3702" i="1"/>
  <c r="K3701" i="1"/>
  <c r="J3701" i="1"/>
  <c r="K3700" i="1"/>
  <c r="J3700" i="1"/>
  <c r="K3699" i="1"/>
  <c r="J3699" i="1"/>
  <c r="K3698" i="1"/>
  <c r="J3698" i="1"/>
  <c r="K3697" i="1"/>
  <c r="J3697" i="1"/>
  <c r="K3695" i="1"/>
  <c r="K3694" i="1"/>
  <c r="K3690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K3721" i="1"/>
  <c r="J3721" i="1"/>
  <c r="K3696" i="1"/>
  <c r="K3693" i="1"/>
  <c r="J3693" i="1"/>
  <c r="H3721" i="1"/>
  <c r="H3696" i="1"/>
  <c r="H3693" i="1"/>
  <c r="H3692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01" i="1"/>
  <c r="J3803" i="1"/>
  <c r="J3805" i="1"/>
  <c r="J3808" i="1"/>
  <c r="J3809" i="1"/>
  <c r="J3810" i="1"/>
  <c r="J3811" i="1"/>
  <c r="J3812" i="1"/>
  <c r="J3813" i="1"/>
  <c r="J3814" i="1"/>
  <c r="J3815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B3799" i="1"/>
  <c r="H3799" i="1"/>
  <c r="J3799" i="1"/>
  <c r="K3799" i="1"/>
  <c r="Q3799" i="1"/>
  <c r="P3799" i="1" s="1"/>
  <c r="B3796" i="1"/>
  <c r="B3797" i="1"/>
  <c r="B3798" i="1"/>
  <c r="H3796" i="1"/>
  <c r="H3797" i="1"/>
  <c r="H3798" i="1"/>
  <c r="J3796" i="1"/>
  <c r="J3797" i="1"/>
  <c r="J3798" i="1"/>
  <c r="K3796" i="1"/>
  <c r="K3797" i="1"/>
  <c r="K3798" i="1"/>
  <c r="Q3796" i="1"/>
  <c r="P3796" i="1" s="1"/>
  <c r="Q3797" i="1"/>
  <c r="P3797" i="1" s="1"/>
  <c r="Q3798" i="1"/>
  <c r="P3798" i="1" s="1"/>
  <c r="B3795" i="1"/>
  <c r="H3795" i="1"/>
  <c r="J3795" i="1"/>
  <c r="K3795" i="1"/>
  <c r="Q3795" i="1"/>
  <c r="P3795" i="1" s="1"/>
  <c r="B3794" i="1"/>
  <c r="H3794" i="1"/>
  <c r="J3794" i="1"/>
  <c r="K3794" i="1"/>
  <c r="Q3794" i="1"/>
  <c r="P3794" i="1" s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37" i="1"/>
  <c r="J3741" i="1"/>
  <c r="J3743" i="1"/>
  <c r="J3745" i="1"/>
  <c r="J3746" i="1"/>
  <c r="J3747" i="1"/>
  <c r="J3748" i="1"/>
  <c r="J3749" i="1"/>
  <c r="J3750" i="1"/>
  <c r="J3751" i="1"/>
  <c r="J3752" i="1"/>
  <c r="J3753" i="1"/>
  <c r="J3755" i="1"/>
  <c r="J3757" i="1"/>
  <c r="J3760" i="1"/>
  <c r="J3761" i="1"/>
  <c r="J3762" i="1"/>
  <c r="J3763" i="1"/>
  <c r="J3764" i="1"/>
  <c r="J3765" i="1"/>
  <c r="J3766" i="1"/>
  <c r="J3767" i="1"/>
  <c r="J3768" i="1"/>
  <c r="J3769" i="1"/>
  <c r="J3773" i="1"/>
  <c r="J3775" i="1"/>
  <c r="J3776" i="1"/>
  <c r="J3777" i="1"/>
  <c r="J3778" i="1"/>
  <c r="J3779" i="1"/>
  <c r="J3780" i="1"/>
  <c r="J3781" i="1"/>
  <c r="J3782" i="1"/>
  <c r="J3783" i="1"/>
  <c r="J3784" i="1"/>
  <c r="J3785" i="1"/>
  <c r="J3789" i="1"/>
  <c r="J3792" i="1"/>
  <c r="J3793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B3735" i="1"/>
  <c r="H3735" i="1"/>
  <c r="J3735" i="1"/>
  <c r="K3735" i="1"/>
  <c r="Q3735" i="1"/>
  <c r="P3735" i="1" s="1"/>
  <c r="B3734" i="1"/>
  <c r="H3734" i="1"/>
  <c r="J3734" i="1"/>
  <c r="K3734" i="1"/>
  <c r="Q3734" i="1"/>
  <c r="P3734" i="1" s="1"/>
  <c r="B3733" i="1"/>
  <c r="H3733" i="1"/>
  <c r="J3733" i="1"/>
  <c r="K3733" i="1"/>
  <c r="Q3733" i="1"/>
  <c r="P3733" i="1" s="1"/>
  <c r="B3732" i="1" l="1"/>
  <c r="H3732" i="1"/>
  <c r="J3732" i="1"/>
  <c r="K3732" i="1"/>
  <c r="Q3732" i="1"/>
  <c r="P3732" i="1" s="1"/>
  <c r="B3731" i="1" l="1"/>
  <c r="H3731" i="1"/>
  <c r="J3731" i="1"/>
  <c r="K3731" i="1"/>
  <c r="Q3731" i="1"/>
  <c r="P3731" i="1" s="1"/>
  <c r="B3662" i="1" l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2" i="1"/>
  <c r="P3693" i="1"/>
  <c r="Q3694" i="1"/>
  <c r="P3694" i="1" s="1"/>
  <c r="B3661" i="1"/>
  <c r="H3661" i="1"/>
  <c r="J3661" i="1"/>
  <c r="K3661" i="1"/>
  <c r="Q3661" i="1"/>
  <c r="P3661" i="1" s="1"/>
  <c r="B3650" i="1"/>
  <c r="B3651" i="1"/>
  <c r="B3652" i="1"/>
  <c r="B3653" i="1"/>
  <c r="B3654" i="1"/>
  <c r="B3655" i="1"/>
  <c r="B3656" i="1"/>
  <c r="B3657" i="1"/>
  <c r="B3658" i="1"/>
  <c r="B3659" i="1"/>
  <c r="B3660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B3632" i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B3631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B3630" i="1"/>
  <c r="H3630" i="1"/>
  <c r="J3630" i="1"/>
  <c r="K3630" i="1"/>
  <c r="Q3630" i="1"/>
  <c r="P3630" i="1" s="1"/>
  <c r="B3629" i="1"/>
  <c r="H3629" i="1"/>
  <c r="J3629" i="1"/>
  <c r="K3629" i="1"/>
  <c r="Q3629" i="1"/>
  <c r="P3629" i="1" s="1"/>
  <c r="B3628" i="1"/>
  <c r="H3628" i="1"/>
  <c r="J3628" i="1"/>
  <c r="K3628" i="1"/>
  <c r="Q3628" i="1"/>
  <c r="P3628" i="1" s="1"/>
  <c r="B3622" i="1"/>
  <c r="B3623" i="1"/>
  <c r="B3624" i="1"/>
  <c r="B3625" i="1"/>
  <c r="B3626" i="1"/>
  <c r="B3627" i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B3621" i="1"/>
  <c r="H3621" i="1"/>
  <c r="K3621" i="1"/>
  <c r="Q3621" i="1"/>
  <c r="P3621" i="1" s="1"/>
  <c r="B3620" i="1"/>
  <c r="H3620" i="1"/>
  <c r="K3620" i="1"/>
  <c r="Q3620" i="1"/>
  <c r="P3620" i="1" s="1"/>
  <c r="B3609" i="1"/>
  <c r="B3610" i="1"/>
  <c r="B3611" i="1"/>
  <c r="B3612" i="1"/>
  <c r="B3613" i="1"/>
  <c r="B3614" i="1"/>
  <c r="B3615" i="1"/>
  <c r="B3616" i="1"/>
  <c r="B3617" i="1"/>
  <c r="B3618" i="1"/>
  <c r="B3619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B3608" i="1"/>
  <c r="H3608" i="1"/>
  <c r="K3608" i="1"/>
  <c r="Q3608" i="1"/>
  <c r="P3608" i="1" s="1"/>
  <c r="B3607" i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B3603" i="1"/>
  <c r="B3604" i="1"/>
  <c r="B3605" i="1"/>
  <c r="B3606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B3602" i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B3601" i="1"/>
  <c r="H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J3488" i="1"/>
  <c r="J3486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<sst xmlns="http://schemas.openxmlformats.org/spreadsheetml/2006/main" count="34762" uniqueCount="6036">
  <si>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</si>
  <si>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</si>
  <si>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</si>
  <si>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</si>
  <si>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</si>
  <si>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</si>
  <si>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</si>
  <si>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</si>
  <si>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</si>
  <si>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</si>
  <si>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</si>
  <si>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</si>
  <si>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</si>
  <si>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</si>
  <si>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</si>
  <si>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</si>
  <si>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</si>
  <si>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</si>
  <si>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</si>
  <si>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</si>
  <si>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</si>
  <si>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</si>
  <si>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</si>
  <si>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</si>
  <si>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</si>
  <si>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</si>
  <si>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</si>
  <si>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</si>
  <si>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</si>
  <si>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</si>
  <si>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</si>
  <si>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</si>
  <si>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</si>
  <si>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</si>
  <si>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</si>
  <si>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</si>
  <si>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</si>
  <si>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</si>
  <si>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</si>
  <si>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</si>
  <si>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</si>
  <si>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</si>
  <si>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</si>
  <si>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</si>
  <si>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</si>
  <si>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</si>
  <si>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</si>
  <si>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</si>
  <si>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</si>
  <si>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</si>
  <si>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</si>
  <si>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</si>
  <si>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</si>
  <si>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</si>
  <si>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</si>
  <si>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</si>
  <si>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</si>
  <si>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</si>
  <si>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</si>
  <si>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</si>
  <si>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</si>
  <si>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</si>
  <si>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</si>
  <si>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</si>
  <si>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</si>
  <si>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</si>
  <si>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</si>
  <si>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</si>
  <si>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</si>
  <si>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</si>
  <si>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</si>
  <si>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</si>
  <si>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</si>
  <si>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</si>
  <si>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</si>
  <si>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</si>
  <si>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</si>
  <si>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</si>
  <si>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</si>
  <si>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</si>
  <si>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</si>
  <si>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</si>
  <si>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</si>
  <si>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</si>
  <si>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</si>
  <si>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</si>
  <si>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</si>
  <si>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</si>
  <si>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</si>
  <si>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</si>
  <si>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</si>
  <si>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</si>
  <si>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</si>
  <si>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</si>
  <si>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</si>
  <si>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</si>
  <si>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</si>
  <si>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</si>
  <si>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</si>
  <si>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</si>
  <si>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</si>
  <si>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</si>
  <si>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</si>
  <si>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</si>
  <si>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</si>
  <si>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</si>
  <si>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</si>
  <si>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</si>
  <si>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</si>
  <si>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</si>
  <si>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</si>
  <si>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</si>
  <si>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</si>
  <si>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</si>
  <si>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</si>
  <si>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</si>
  <si>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</si>
  <si>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</si>
  <si>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</si>
  <si>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</si>
  <si>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</si>
  <si>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</si>
  <si>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</si>
  <si>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</si>
  <si>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</si>
  <si>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</si>
  <si>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</si>
  <si>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</si>
  <si>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</si>
  <si>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</si>
  <si>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</si>
  <si>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</si>
  <si>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</si>
  <si>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</si>
  <si>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</si>
  <si>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</si>
  <si>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</si>
  <si>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</si>
  <si>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</si>
  <si>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</si>
  <si>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</si>
  <si>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</si>
  <si>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</si>
  <si>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</si>
  <si>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</si>
  <si>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</si>
  <si>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</si>
  <si>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</si>
  <si>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</si>
  <si>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</si>
  <si>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</si>
  <si>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</si>
  <si>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</si>
  <si>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</si>
  <si>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</si>
  <si>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</si>
  <si>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</si>
  <si>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</si>
  <si>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</si>
  <si>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</si>
  <si>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</si>
  <si>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</si>
  <si>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</si>
  <si>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</si>
  <si>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</si>
  <si>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</si>
  <si>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</si>
  <si>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</si>
  <si>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</si>
  <si>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</si>
  <si>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</si>
  <si>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</si>
  <si>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</si>
  <si>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</si>
  <si>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</si>
  <si>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</si>
  <si>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</si>
  <si>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</si>
  <si>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</si>
  <si>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</si>
  <si>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</si>
  <si>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</si>
  <si>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</si>
  <si>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</si>
  <si>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</si>
  <si>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</si>
  <si>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</si>
  <si>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</si>
  <si>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</si>
  <si>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</si>
  <si>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</si>
  <si>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</si>
  <si>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</si>
  <si>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</si>
  <si>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</si>
  <si>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</si>
  <si>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</si>
  <si>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</si>
  <si>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</si>
  <si>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</si>
  <si>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</si>
  <si>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</si>
  <si>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</si>
  <si>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</si>
  <si>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</si>
  <si>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</si>
  <si>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</si>
  <si>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</si>
  <si>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</si>
  <si>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</si>
  <si>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</si>
  <si>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</si>
  <si>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</si>
  <si>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</si>
  <si>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</si>
  <si>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</si>
  <si>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</si>
  <si>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</si>
  <si>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</si>
  <si>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</si>
  <si>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</si>
  <si>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</si>
  <si>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</si>
  <si>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</si>
  <si>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</si>
  <si>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</si>
  <si>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</si>
  <si>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</si>
  <si>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</si>
  <si>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</si>
  <si>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</si>
  <si>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</si>
  <si>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</si>
  <si>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</si>
  <si>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</si>
  <si>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</si>
  <si>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</si>
  <si>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</si>
  <si>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</si>
  <si>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</si>
  <si>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</si>
  <si>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</si>
  <si>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</si>
  <si>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</si>
  <si>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</si>
  <si>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</si>
  <si>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</si>
  <si>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</si>
  <si>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</si>
  <si>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</si>
  <si>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</si>
  <si>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</si>
  <si>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</si>
  <si>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</si>
  <si>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</si>
  <si>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</si>
  <si>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</si>
  <si>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</si>
  <si>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</si>
  <si>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</si>
  <si>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</si>
  <si>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</si>
  <si>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</si>
  <si>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</si>
  <si>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</si>
  <si>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</si>
  <si>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</si>
  <si>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</si>
  <si>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</si>
  <si>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</si>
  <si>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</si>
  <si>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</si>
  <si>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</si>
  <si>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</si>
  <si>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</si>
  <si>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</si>
  <si>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</si>
  <si>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</si>
  <si>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</si>
  <si>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</si>
  <si>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</si>
  <si>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</si>
  <si>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</si>
  <si>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</si>
  <si>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</si>
  <si>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</si>
  <si>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</si>
  <si>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</si>
  <si>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</si>
  <si>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</si>
  <si>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</si>
  <si>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</si>
  <si>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</si>
  <si>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</si>
  <si>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</si>
  <si>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</si>
  <si>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</si>
  <si>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</si>
  <si>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</si>
  <si>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</si>
  <si>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</si>
  <si>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</si>
  <si>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</si>
  <si>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</si>
  <si>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</si>
  <si>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</si>
  <si>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</si>
  <si>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</si>
  <si>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</si>
  <si>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</si>
  <si>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</si>
  <si>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</si>
  <si>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</si>
  <si>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</si>
  <si>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</si>
  <si>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</si>
  <si>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</si>
  <si>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</si>
  <si>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</si>
  <si>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</si>
  <si>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</si>
  <si>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</si>
  <si>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</si>
  <si>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</si>
  <si>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</si>
  <si>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</si>
  <si>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</si>
  <si>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</si>
  <si>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</si>
  <si>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</si>
  <si>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</si>
  <si>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</si>
  <si>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</si>
  <si>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</si>
  <si>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</si>
  <si>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</si>
  <si>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</si>
  <si>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</si>
  <si>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</si>
  <si>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</si>
  <si>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</si>
  <si>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</si>
  <si>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</si>
  <si>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</si>
  <si>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</si>
  <si>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</si>
  <si>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</si>
  <si>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</si>
  <si>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</si>
  <si>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</si>
  <si>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</si>
  <si>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</si>
  <si>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</si>
  <si>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</si>
  <si>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</si>
  <si>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</si>
  <si>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</si>
  <si>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</si>
  <si>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</si>
  <si>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</si>
  <si>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</si>
  <si>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</si>
  <si>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</si>
  <si>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</si>
  <si>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</si>
  <si>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</si>
  <si>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</si>
  <si>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</si>
  <si>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</si>
  <si>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</si>
  <si>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</si>
  <si>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</si>
  <si>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</si>
  <si>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</si>
  <si>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</si>
  <si>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</si>
  <si>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</si>
  <si>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</si>
  <si>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</si>
  <si>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</si>
  <si>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</si>
  <si>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</si>
  <si>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</si>
  <si>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</si>
  <si>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</si>
  <si>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</si>
  <si>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</si>
  <si>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</si>
  <si>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</si>
  <si>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</si>
  <si>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</si>
  <si>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</si>
  <si>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</si>
  <si>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</si>
  <si>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</si>
  <si>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</si>
  <si>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</si>
  <si>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</si>
  <si>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</si>
  <si>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</si>
  <si>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</si>
  <si>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</si>
  <si>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</si>
  <si>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</si>
  <si>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</si>
  <si>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</si>
  <si>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</si>
  <si>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</si>
  <si>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</si>
  <si>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</si>
  <si>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</si>
  <si>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</si>
  <si>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</si>
  <si>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</si>
  <si>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</si>
  <si>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</si>
  <si>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</si>
  <si>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</si>
  <si>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</si>
  <si>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</si>
  <si>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</si>
  <si>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</si>
  <si>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</si>
  <si>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</si>
  <si>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</si>
  <si>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</si>
  <si>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</si>
  <si>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</si>
  <si>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</si>
  <si>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</si>
  <si>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</si>
  <si>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</si>
  <si>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</si>
  <si>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</si>
  <si>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</si>
  <si>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</si>
  <si>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</si>
  <si>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</si>
  <si>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</si>
  <si>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</si>
  <si>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</si>
  <si>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</si>
  <si>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</si>
  <si>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</si>
  <si>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</si>
  <si>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</si>
  <si>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</si>
  <si>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</si>
  <si>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</si>
  <si>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</si>
  <si>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</si>
  <si>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</si>
  <si>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</si>
  <si>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</si>
  <si>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</si>
  <si>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</si>
  <si>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</si>
  <si>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</si>
  <si>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</si>
  <si>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</si>
  <si>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</si>
  <si>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</si>
  <si>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</si>
  <si>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</si>
  <si>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</si>
  <si>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</si>
  <si>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</si>
  <si>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</si>
  <si>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</si>
  <si>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</si>
  <si>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</si>
  <si>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</si>
  <si>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</si>
  <si>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</si>
  <si>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</si>
  <si>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</si>
  <si>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</si>
  <si>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</si>
  <si>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</si>
  <si>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</si>
  <si>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</si>
  <si>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</si>
  <si>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</si>
  <si>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</si>
  <si>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</si>
  <si>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</si>
  <si>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</si>
  <si>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</si>
  <si>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</si>
  <si>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</si>
  <si>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</si>
  <si>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</si>
  <si>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</si>
  <si>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</si>
  <si>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</si>
  <si>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</si>
  <si>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</si>
  <si>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</si>
  <si>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</si>
  <si>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</si>
  <si>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</si>
  <si>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</si>
  <si>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</si>
  <si>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</si>
  <si>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</si>
  <si>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</si>
  <si>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</si>
  <si>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</si>
  <si>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</si>
  <si>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</si>
  <si>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</si>
  <si>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</si>
  <si>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</si>
  <si>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</si>
  <si>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</si>
  <si>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</si>
  <si>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</si>
  <si>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</si>
  <si>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</si>
  <si>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</si>
  <si>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</si>
  <si>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</si>
  <si>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</si>
  <si>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</si>
  <si>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</si>
  <si>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</si>
  <si>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</si>
  <si>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</si>
  <si>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</si>
  <si>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</si>
  <si>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</si>
  <si>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</si>
  <si>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</si>
  <si>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</si>
  <si>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</si>
  <si>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</si>
  <si>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</si>
  <si>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</si>
  <si>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</si>
  <si>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</si>
  <si>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</si>
  <si>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</si>
  <si>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</si>
  <si>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</si>
  <si>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</si>
  <si>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</si>
  <si>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</si>
  <si>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</si>
  <si>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</si>
  <si>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</si>
  <si>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</si>
  <si>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</si>
  <si>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</si>
  <si>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</si>
  <si>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</si>
  <si>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</si>
  <si>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</si>
  <si>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</si>
  <si>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</si>
  <si>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</si>
  <si>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</si>
  <si>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</si>
  <si>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</si>
  <si>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</si>
  <si>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</si>
  <si>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</si>
  <si>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</si>
  <si>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</si>
  <si>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</si>
  <si>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</si>
  <si>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</si>
  <si>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</si>
  <si>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</si>
  <si>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</si>
  <si>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</si>
  <si>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</si>
  <si>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</si>
  <si>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</si>
  <si>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</si>
  <si>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</si>
  <si>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</si>
  <si>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</si>
  <si>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</si>
  <si>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</si>
  <si>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</si>
  <si>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</si>
  <si>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</si>
  <si>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</si>
  <si>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</si>
  <si>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</si>
  <si>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</si>
  <si>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</si>
  <si>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</si>
  <si>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</si>
  <si>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</si>
  <si>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</si>
  <si>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</si>
  <si>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</si>
  <si>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</si>
  <si>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</si>
  <si>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</si>
  <si>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</si>
  <si>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</si>
  <si>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</si>
  <si>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</si>
  <si>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</si>
  <si>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</si>
  <si>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</si>
  <si>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</si>
  <si>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</si>
  <si>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</si>
  <si>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</si>
  <si>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</si>
  <si>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</si>
  <si>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</si>
  <si>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</si>
  <si>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</si>
  <si>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</si>
  <si>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</si>
  <si>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</si>
  <si>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</si>
  <si>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</si>
  <si>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</si>
  <si>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</si>
  <si>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</si>
  <si>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</si>
  <si>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</si>
  <si>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</si>
  <si>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</si>
  <si>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</si>
  <si>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</si>
  <si>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</si>
  <si>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</si>
  <si>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</si>
  <si>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</si>
  <si>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</si>
  <si>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</si>
  <si>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</si>
  <si>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</si>
  <si>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</si>
  <si>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</si>
  <si>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</si>
  <si>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</si>
  <si>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</si>
  <si>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</si>
  <si>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</si>
  <si>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</si>
  <si>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</si>
  <si>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</si>
  <si>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</si>
  <si>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</si>
  <si>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</si>
  <si>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</si>
  <si>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</si>
  <si>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</si>
  <si>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</si>
  <si>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</si>
  <si>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</si>
  <si>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</si>
  <si>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</si>
  <si>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</si>
  <si>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</si>
  <si>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</si>
  <si>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</si>
  <si>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</si>
  <si>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</si>
  <si>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</si>
  <si>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</si>
  <si>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</si>
  <si>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</si>
  <si>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</si>
  <si>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</si>
  <si>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</si>
  <si>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</si>
  <si>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</si>
  <si>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</si>
  <si>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</si>
  <si>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</si>
  <si>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</si>
  <si>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</si>
  <si>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</si>
  <si>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</si>
  <si>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</si>
  <si>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</si>
  <si>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</si>
  <si>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</si>
  <si>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</si>
  <si>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</si>
  <si>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</si>
  <si>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</si>
  <si>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</si>
  <si>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</si>
  <si>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</si>
  <si>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</si>
  <si>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</si>
  <si>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</si>
  <si>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</si>
  <si>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</si>
  <si>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</si>
  <si>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</si>
  <si>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</si>
  <si>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</si>
  <si>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</si>
  <si>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</si>
  <si>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</si>
  <si>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</si>
  <si>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</si>
  <si>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</si>
  <si>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</si>
  <si>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</si>
  <si>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</si>
  <si>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</si>
  <si>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</si>
  <si>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</si>
  <si>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</si>
  <si>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</si>
  <si>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</si>
  <si>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</si>
  <si>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</si>
  <si>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</si>
  <si>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</si>
  <si>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</si>
  <si>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</si>
  <si>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</si>
  <si>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</si>
  <si>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</si>
  <si>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</si>
  <si>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</si>
  <si>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</si>
  <si>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</si>
  <si>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</si>
  <si>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</si>
  <si>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</si>
  <si>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</si>
  <si>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</si>
  <si>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</si>
  <si>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</si>
  <si>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</si>
  <si>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</si>
  <si>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</si>
  <si>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</si>
  <si>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</si>
  <si>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</si>
  <si>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</si>
  <si>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</si>
  <si>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</si>
  <si>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</si>
  <si>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</si>
  <si>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</si>
  <si>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</si>
  <si>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</si>
  <si>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</si>
  <si>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</si>
  <si>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</si>
  <si>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</si>
  <si>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</si>
  <si>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</si>
  <si>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</si>
  <si>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</si>
  <si>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</si>
  <si>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</si>
  <si>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</si>
  <si>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</si>
  <si>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</si>
  <si>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</si>
  <si>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</si>
  <si>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</si>
  <si>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</si>
  <si>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</si>
  <si>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</si>
  <si>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</si>
  <si>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</si>
  <si>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</si>
  <si>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</si>
  <si>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</si>
  <si>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</si>
  <si>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</si>
  <si>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</si>
  <si>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</si>
  <si>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</si>
  <si>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</si>
  <si>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</si>
  <si>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</si>
  <si>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</si>
  <si>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</si>
  <si>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</si>
  <si>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</si>
  <si>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</si>
  <si>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</si>
  <si>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</si>
  <si>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</si>
  <si>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</si>
  <si>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</si>
  <si>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</si>
  <si>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</si>
  <si>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</si>
  <si>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</si>
  <si>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</si>
  <si>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</si>
  <si>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</si>
  <si>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</si>
  <si>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</si>
  <si>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</si>
  <si>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</si>
  <si>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</si>
  <si>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</si>
  <si>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</si>
  <si>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</si>
  <si>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</si>
  <si>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</si>
  <si>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</si>
  <si>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</si>
  <si>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</si>
  <si>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</si>
  <si>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</si>
  <si>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</si>
  <si>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</si>
  <si>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</si>
  <si>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</si>
  <si>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</si>
  <si>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</si>
  <si>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</si>
  <si>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</si>
  <si>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</si>
  <si>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</si>
  <si>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</si>
  <si>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</si>
  <si>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</si>
  <si>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</si>
  <si>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</si>
  <si>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</si>
  <si>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</si>
  <si>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</si>
  <si>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</si>
  <si>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</si>
  <si>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</si>
  <si>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</si>
  <si>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</si>
  <si>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</si>
  <si>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</si>
  <si>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</si>
  <si>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</si>
  <si>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</si>
  <si>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</si>
  <si>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</si>
  <si>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</si>
  <si>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</si>
  <si>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</si>
  <si>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</si>
  <si>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</si>
  <si>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</si>
  <si>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</si>
  <si>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</si>
  <si>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</si>
  <si>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</si>
  <si>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</si>
  <si>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</si>
  <si>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</si>
  <si>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</si>
  <si>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</si>
  <si>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</si>
  <si>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</si>
  <si>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</si>
  <si>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</si>
  <si>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</si>
  <si>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</si>
  <si>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</si>
  <si>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</si>
  <si>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</si>
  <si>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</si>
  <si>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</si>
  <si>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</si>
  <si>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</si>
  <si>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</si>
  <si>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</si>
  <si>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</si>
  <si>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</si>
  <si>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</si>
  <si>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</si>
  <si>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</si>
  <si>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</si>
  <si>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</si>
  <si>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</si>
  <si>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</si>
  <si>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</si>
  <si>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</si>
  <si>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</si>
  <si>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</si>
  <si>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</si>
  <si>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</si>
  <si>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</si>
  <si>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</si>
  <si>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</si>
  <si>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</si>
  <si>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</si>
  <si>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</si>
  <si>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</si>
  <si>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</si>
  <si>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</si>
  <si>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</si>
  <si>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</si>
  <si>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</si>
  <si>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</si>
  <si>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</si>
  <si>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</si>
  <si>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</si>
  <si>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</si>
  <si>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</si>
  <si>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</si>
  <si>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</si>
  <si>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</si>
  <si>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</si>
  <si>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</si>
  <si>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</si>
  <si>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</si>
  <si>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</si>
  <si>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</si>
  <si>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</si>
  <si>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</si>
  <si>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</si>
  <si>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</si>
  <si>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</si>
  <si>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</si>
  <si>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</si>
  <si>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</si>
  <si>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</si>
  <si>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</si>
  <si>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</si>
  <si>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</si>
  <si>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</si>
  <si>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</si>
  <si>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</si>
  <si>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</si>
  <si>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</si>
  <si>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</si>
  <si>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</si>
  <si>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</si>
  <si>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</si>
  <si>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</si>
  <si>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</si>
  <si>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</si>
  <si>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</si>
  <si>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</si>
  <si>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</si>
  <si>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</si>
  <si>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</si>
  <si>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</si>
  <si>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</si>
  <si>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</si>
  <si>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</si>
  <si>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</si>
  <si>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</si>
  <si>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</si>
  <si>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</si>
  <si>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</si>
  <si>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</si>
  <si>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</si>
  <si>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</si>
  <si>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</si>
  <si>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</si>
  <si>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</si>
  <si>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</si>
  <si>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</si>
  <si>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</si>
  <si>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</si>
  <si>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</si>
  <si>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</si>
  <si>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</si>
  <si>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</si>
  <si>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</si>
  <si>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</si>
  <si>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</si>
  <si>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</si>
  <si>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</si>
  <si>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</si>
  <si>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</si>
  <si>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</si>
  <si>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</si>
  <si>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</si>
  <si>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</si>
  <si>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</si>
  <si>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</si>
  <si>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</si>
  <si>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</si>
  <si>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</si>
  <si>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</si>
  <si>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</si>
  <si>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</si>
  <si>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</si>
  <si>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</si>
  <si>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</si>
  <si>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</si>
  <si>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</si>
  <si>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</si>
  <si>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</si>
  <si>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</si>
  <si>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</si>
  <si>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</si>
  <si>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</si>
  <si>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</si>
  <si>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</si>
  <si>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</si>
  <si>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</si>
  <si>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</si>
  <si>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</si>
  <si>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</si>
  <si>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</si>
  <si>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</si>
  <si>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</si>
  <si>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</si>
  <si>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</si>
  <si>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</si>
  <si>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</si>
  <si>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</si>
  <si>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</si>
  <si>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</si>
  <si>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</si>
  <si>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</si>
  <si>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</si>
  <si>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</si>
  <si>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</si>
  <si>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</si>
  <si>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</si>
  <si>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</si>
  <si>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</si>
  <si>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</si>
  <si>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</si>
  <si>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</si>
  <si>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</si>
  <si>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</si>
  <si>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</si>
  <si>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</si>
  <si>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</si>
  <si>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</si>
  <si>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</si>
  <si>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</si>
  <si>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</si>
  <si>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</si>
  <si>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</si>
  <si>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</si>
  <si>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</si>
  <si>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</si>
  <si>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</si>
  <si>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</si>
  <si>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</si>
  <si>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</si>
  <si>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</si>
  <si>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</si>
  <si>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</si>
  <si>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</si>
  <si>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</si>
  <si>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</si>
  <si>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</si>
  <si>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</si>
  <si>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</si>
  <si>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</si>
  <si>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</si>
  <si>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</si>
  <si>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</si>
  <si>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</si>
  <si>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</si>
  <si>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</si>
  <si>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</si>
  <si>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</si>
  <si>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</si>
  <si>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</si>
  <si>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</si>
  <si>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</si>
  <si>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</si>
  <si>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</si>
  <si>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</si>
  <si>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</si>
  <si>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</si>
  <si>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</si>
  <si>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</si>
  <si>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</si>
  <si>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</si>
  <si>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</si>
  <si>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</si>
  <si>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</si>
  <si>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</si>
  <si>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</si>
  <si>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</si>
  <si>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</si>
  <si>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</si>
  <si>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</si>
  <si>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</si>
  <si>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</si>
  <si>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</si>
  <si>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</si>
  <si>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</si>
  <si>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</si>
  <si>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</si>
  <si>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</si>
  <si>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</si>
  <si>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</si>
  <si>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</si>
  <si>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</si>
  <si>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</si>
  <si>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</si>
  <si>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</si>
  <si>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</si>
  <si>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</si>
  <si>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</si>
  <si>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</si>
  <si>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</si>
  <si>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</si>
  <si>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</si>
  <si>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</si>
  <si>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</si>
  <si>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</si>
  <si>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</si>
  <si>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</si>
  <si>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</si>
  <si>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</si>
  <si>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</si>
  <si>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</si>
  <si>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</si>
  <si>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</si>
  <si>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</si>
  <si>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</si>
  <si>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</si>
  <si>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</si>
  <si>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</si>
  <si>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</si>
  <si>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</si>
  <si>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</si>
  <si>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</si>
  <si>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</si>
  <si>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</si>
  <si>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</si>
  <si>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</si>
  <si>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</si>
  <si>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</si>
  <si>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</si>
  <si>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</si>
  <si>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</si>
  <si>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</si>
  <si>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</si>
  <si>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</si>
  <si>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</si>
  <si>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</si>
  <si>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</si>
  <si>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</si>
  <si>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</si>
  <si>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</si>
  <si>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</si>
  <si>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</si>
  <si>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</si>
  <si>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</si>
  <si>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</si>
  <si>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</si>
  <si>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</si>
  <si>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</si>
  <si>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</si>
  <si>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</si>
  <si>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</si>
  <si>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</si>
  <si>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</si>
  <si>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</si>
  <si>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</si>
  <si>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</si>
  <si>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</si>
  <si>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</si>
  <si>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</si>
  <si>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</si>
  <si>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</si>
  <si>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</si>
  <si>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</si>
  <si>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</si>
  <si>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</si>
  <si>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</si>
  <si>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</si>
  <si>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</si>
  <si>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</si>
  <si>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</si>
  <si>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</si>
  <si>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</si>
  <si>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</si>
  <si>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</si>
  <si>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</si>
  <si>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</si>
  <si>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</si>
  <si>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</si>
  <si>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</si>
  <si>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</si>
  <si>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</si>
  <si>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</si>
  <si>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</si>
  <si>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</si>
  <si>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</si>
  <si>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</si>
  <si>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</si>
  <si>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</si>
  <si>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</si>
  <si>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</si>
  <si>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</si>
  <si>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</si>
  <si>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</si>
  <si>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</si>
  <si>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</si>
  <si>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</si>
  <si>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</si>
  <si>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</si>
  <si>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</si>
  <si>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</si>
  <si>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</si>
  <si>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</si>
  <si>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</si>
  <si>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</si>
  <si>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</si>
  <si>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</si>
  <si>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</si>
  <si>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</si>
  <si>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</si>
  <si>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</si>
  <si>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</si>
  <si>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</si>
  <si>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</si>
  <si>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</si>
  <si>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</si>
  <si>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</si>
  <si>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</si>
  <si>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</si>
  <si>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</si>
  <si>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</si>
  <si>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</si>
  <si>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</si>
  <si>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</si>
  <si>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</si>
  <si>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</si>
  <si>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</si>
  <si>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</si>
  <si>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</si>
  <si>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</si>
  <si>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</si>
  <si>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</si>
  <si>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</si>
  <si>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</si>
  <si>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</si>
  <si>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</si>
  <si>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</si>
  <si>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</si>
  <si>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</si>
  <si>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</si>
  <si>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</si>
  <si>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</si>
  <si>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</si>
  <si>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</si>
  <si>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</si>
  <si>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</si>
  <si>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</si>
  <si>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</si>
  <si>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</si>
  <si>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</si>
  <si>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</si>
  <si>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</si>
  <si>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</si>
  <si>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</si>
  <si>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</si>
  <si>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</si>
  <si>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</si>
  <si>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</si>
  <si>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</si>
  <si>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</si>
  <si>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</si>
  <si>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</si>
  <si>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</si>
  <si>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</si>
  <si>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</si>
  <si>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</si>
  <si>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</si>
  <si>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</si>
  <si>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</si>
  <si>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</si>
  <si>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</si>
  <si>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</si>
  <si>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</si>
  <si>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</si>
  <si>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</si>
  <si>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</si>
  <si>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</si>
  <si>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</si>
  <si>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</si>
  <si>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</si>
  <si>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</si>
  <si>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</si>
  <si>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</si>
  <si>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</si>
  <si>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</si>
  <si>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</si>
  <si>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</si>
  <si>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</si>
  <si>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</si>
  <si>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</si>
  <si>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</si>
  <si>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</si>
  <si>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</si>
  <si>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</si>
  <si>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</si>
  <si>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</si>
  <si>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</si>
  <si>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</si>
  <si>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</si>
  <si>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</si>
  <si>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</si>
  <si>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</si>
  <si>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</si>
  <si>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</si>
  <si>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</si>
  <si>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</si>
  <si>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</si>
  <si>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</si>
  <si>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</si>
  <si>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</si>
  <si>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</si>
  <si>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</si>
  <si>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</si>
  <si>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</si>
  <si>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</si>
  <si>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</si>
  <si>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</si>
  <si>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</si>
  <si>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</si>
  <si>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</si>
  <si>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</si>
  <si>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</si>
  <si>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</si>
  <si>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</si>
  <si>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</si>
  <si>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</si>
  <si>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</si>
  <si>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</si>
  <si>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</si>
  <si>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</si>
  <si>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</si>
  <si>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</si>
  <si>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</si>
  <si>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</si>
  <si>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</si>
  <si>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</si>
  <si>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</si>
  <si>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</si>
  <si>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</si>
  <si>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</si>
  <si>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</si>
  <si>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</si>
  <si>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</si>
  <si>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</si>
  <si>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</si>
  <si>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</si>
  <si>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</si>
  <si>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</si>
  <si>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</si>
  <si>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</si>
  <si>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</si>
  <si>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</si>
  <si>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</si>
  <si>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</si>
  <si>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</si>
  <si>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</si>
  <si>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</si>
  <si>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</si>
  <si>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</si>
  <si>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</si>
  <si>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</si>
  <si>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</si>
  <si>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</si>
  <si>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</si>
  <si>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</si>
  <si>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</si>
  <si>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</si>
  <si>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</si>
  <si>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</si>
  <si>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</si>
  <si>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</si>
  <si>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</si>
  <si>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</si>
  <si>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</si>
  <si>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</si>
  <si>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</si>
  <si>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</si>
  <si>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</si>
  <si>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</si>
  <si>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</si>
  <si>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</si>
  <si>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</si>
  <si>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</si>
  <si>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</si>
  <si>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</si>
  <si>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</si>
  <si>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</si>
  <si>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</si>
  <si>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</si>
  <si>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</si>
  <si>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</si>
  <si>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</si>
  <si>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</si>
  <si>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</si>
  <si>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</si>
  <si>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</si>
  <si>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</si>
  <si>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</si>
  <si>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</si>
  <si>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</si>
  <si>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</si>
  <si>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</si>
  <si>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</si>
  <si>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</si>
  <si>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</si>
  <si>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</si>
  <si>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</si>
  <si>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</si>
  <si>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</si>
  <si>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</si>
  <si>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</si>
  <si>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</si>
  <si>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</si>
  <si>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</si>
  <si>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</si>
  <si>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</si>
  <si>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</si>
  <si>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</si>
  <si>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</si>
  <si>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</si>
  <si>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</si>
  <si>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</si>
  <si>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</si>
  <si>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</si>
  <si>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</si>
  <si>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</si>
  <si>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</si>
  <si>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</si>
  <si>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</si>
  <si>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</si>
  <si>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</si>
  <si>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</si>
  <si>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</si>
  <si>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</si>
  <si>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</si>
  <si>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</si>
  <si>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</si>
  <si>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</si>
  <si>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</si>
  <si>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</si>
  <si>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</si>
  <si>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</si>
  <si>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</si>
  <si>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</si>
  <si>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</si>
  <si>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</si>
  <si>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</si>
  <si>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</si>
  <si>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</si>
  <si>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</si>
  <si>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</si>
  <si>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</si>
  <si>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</si>
  <si>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</si>
  <si>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</si>
  <si>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</si>
  <si>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</si>
  <si>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</si>
  <si>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</si>
  <si>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</si>
  <si>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</si>
  <si>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</si>
  <si>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</si>
  <si>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</si>
  <si>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</si>
  <si>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</si>
  <si>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</si>
  <si>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</si>
  <si>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</si>
  <si>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</si>
  <si>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</si>
  <si>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</si>
  <si>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</si>
  <si>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</si>
  <si>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</si>
  <si>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</si>
  <si>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</si>
  <si>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</si>
  <si>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</si>
  <si>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</si>
  <si>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</si>
  <si>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</si>
  <si>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</si>
  <si>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</si>
  <si>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</si>
  <si>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</si>
  <si>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</si>
  <si>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</si>
  <si>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</si>
  <si>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</si>
  <si>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</si>
  <si>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</si>
  <si>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</si>
  <si>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</si>
  <si>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</si>
  <si>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</si>
  <si>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</si>
  <si>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</si>
  <si>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</si>
  <si>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</si>
  <si>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</si>
  <si>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</si>
  <si>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</si>
  <si>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</si>
  <si>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</si>
  <si>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</si>
  <si>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</si>
  <si>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</si>
  <si>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</si>
  <si>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</si>
  <si>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</si>
  <si>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</si>
  <si>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</si>
  <si>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</si>
  <si>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</si>
  <si>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</si>
  <si>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</si>
  <si>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</si>
  <si>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</si>
  <si>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</si>
  <si>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</si>
  <si>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</si>
  <si>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</si>
  <si>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</si>
  <si>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</si>
  <si>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</si>
  <si>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</si>
  <si>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</si>
  <si>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</si>
  <si>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</si>
  <si>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</si>
  <si>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</si>
  <si>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</si>
  <si>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</si>
  <si>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</si>
  <si>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</si>
  <si>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</si>
  <si>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</si>
  <si>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</si>
  <si>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</si>
  <si>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</si>
  <si>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</si>
  <si>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</si>
  <si>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</si>
  <si>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</si>
  <si>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</si>
  <si>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</si>
  <si>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</si>
  <si>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</si>
  <si>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</si>
  <si>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</si>
  <si>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</si>
  <si>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</si>
  <si>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</si>
  <si>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</si>
  <si>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</si>
  <si>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</si>
  <si>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</si>
  <si>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</si>
  <si>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</si>
  <si>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</si>
  <si>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</si>
  <si>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</si>
  <si>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</si>
  <si>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</si>
  <si>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</si>
  <si>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</si>
  <si>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</si>
  <si>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</si>
  <si>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</si>
  <si>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</si>
  <si>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</si>
  <si>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</si>
  <si>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</si>
  <si>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</si>
  <si>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</si>
  <si>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</si>
  <si>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</si>
  <si>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</si>
  <si>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</si>
  <si>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</si>
  <si>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</si>
  <si>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</si>
  <si>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</si>
  <si>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</si>
  <si>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</si>
  <si>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</si>
  <si>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</si>
  <si>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</si>
  <si>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</si>
  <si>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</si>
  <si>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</si>
  <si>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</si>
  <si>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</si>
  <si>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</si>
  <si>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</si>
  <si>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</si>
  <si>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</si>
  <si>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</si>
  <si>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</si>
  <si>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</si>
  <si>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</si>
  <si>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</si>
  <si>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</si>
  <si>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</si>
  <si>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</si>
  <si>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</si>
  <si>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</si>
  <si>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</si>
  <si>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</si>
  <si>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</si>
  <si>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</si>
  <si>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</si>
  <si>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</si>
  <si>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</si>
  <si>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</si>
  <si>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</si>
  <si>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</si>
  <si>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</si>
  <si>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</si>
  <si>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</si>
  <si>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</si>
  <si>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</si>
  <si>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</si>
  <si>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</si>
  <si>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</si>
  <si>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</si>
  <si>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</si>
  <si>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</si>
  <si>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</si>
  <si>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</si>
  <si>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</si>
  <si>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</si>
  <si>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</si>
  <si>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</si>
  <si>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</si>
  <si>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</si>
  <si>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</si>
  <si>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</si>
  <si>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</si>
  <si>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</si>
  <si>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</si>
  <si>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</si>
  <si>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</si>
  <si>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</si>
  <si>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</si>
  <si>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</si>
  <si>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</si>
  <si>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</si>
  <si>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</si>
  <si>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</si>
  <si>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</si>
  <si>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</si>
  <si>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</si>
  <si>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</si>
  <si>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</si>
  <si>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</si>
  <si>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</si>
  <si>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</si>
  <si>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</si>
  <si>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</si>
  <si>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</si>
  <si>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</si>
  <si>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</si>
  <si>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</si>
  <si>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</si>
  <si>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</si>
  <si>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</si>
  <si>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</si>
  <si>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</si>
  <si>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</si>
  <si>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</si>
  <si>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</si>
  <si>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</si>
  <si>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</si>
  <si>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</si>
  <si>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</si>
  <si>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</si>
  <si>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</si>
  <si>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</si>
  <si>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</si>
  <si>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</si>
  <si>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</si>
  <si>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</si>
  <si>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</si>
  <si>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</si>
  <si>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</si>
  <si>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</si>
  <si>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</si>
  <si>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</si>
  <si>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</si>
  <si>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</si>
  <si>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</si>
  <si>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</si>
  <si>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</si>
  <si>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</si>
  <si>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</si>
  <si>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</si>
  <si>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</si>
  <si>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</si>
  <si>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</si>
  <si>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</si>
  <si>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</si>
  <si>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</si>
  <si>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</si>
  <si>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</si>
  <si>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</si>
  <si>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</si>
  <si>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</si>
  <si>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</si>
  <si>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</si>
  <si>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</si>
  <si>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</si>
  <si>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</si>
  <si>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</si>
  <si>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</si>
  <si>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</si>
  <si>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</si>
  <si>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</si>
  <si>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</si>
  <si>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</si>
  <si>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</si>
  <si>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</si>
  <si>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</si>
  <si>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</si>
  <si>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</si>
  <si>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</si>
  <si>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</si>
  <si>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</si>
  <si>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</si>
  <si>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</si>
  <si>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</si>
  <si>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</si>
  <si>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</si>
  <si>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</si>
  <si>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</si>
  <si>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</si>
  <si>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</si>
  <si>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</si>
  <si>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</si>
  <si>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</si>
  <si>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</si>
  <si>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</si>
  <si>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</si>
  <si>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</si>
  <si>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</si>
  <si>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</si>
  <si>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</si>
  <si>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</si>
  <si>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</si>
  <si>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</si>
  <si>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</si>
  <si>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</si>
  <si>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</si>
  <si>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</si>
  <si>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</si>
  <si>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</si>
  <si>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</si>
  <si>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</si>
  <si>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</si>
  <si>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</si>
  <si>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</si>
  <si>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</si>
  <si>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</si>
  <si>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</si>
  <si>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</si>
  <si>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</si>
  <si>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</si>
  <si>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</si>
  <si>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</si>
  <si>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</si>
  <si>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</si>
  <si>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</si>
  <si>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</si>
  <si>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</si>
  <si>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</si>
  <si>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</si>
  <si>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</si>
  <si>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</si>
  <si>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</si>
  <si>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</si>
  <si>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</si>
  <si>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</si>
  <si>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</si>
  <si>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</si>
  <si>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</si>
  <si>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</si>
  <si>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</si>
  <si>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</si>
  <si>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</si>
  <si>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</si>
  <si>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</si>
  <si>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</si>
  <si>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</si>
  <si>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</si>
  <si>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</si>
  <si>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</si>
  <si>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</si>
  <si>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</si>
  <si>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</si>
  <si>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</si>
  <si>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</si>
  <si>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</si>
  <si>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</si>
  <si>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</si>
  <si>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</si>
  <si>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</si>
  <si>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</si>
  <si>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</si>
  <si>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</si>
  <si>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</si>
  <si>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</si>
  <si>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</si>
  <si>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</si>
  <si>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</si>
  <si>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</si>
  <si>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</si>
  <si>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</si>
  <si>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</si>
  <si>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</si>
  <si>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</si>
  <si>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</si>
  <si>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</si>
  <si>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</si>
  <si>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</si>
  <si>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</si>
  <si>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</si>
  <si>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</si>
  <si>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</si>
  <si>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</si>
  <si>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</si>
  <si>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</si>
  <si>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</si>
  <si>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</si>
  <si>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</si>
  <si>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</si>
  <si>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</si>
  <si>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</si>
  <si>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</si>
  <si>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</si>
  <si>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</si>
  <si>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</si>
  <si>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</si>
  <si>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</si>
  <si>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</si>
  <si>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</si>
  <si>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</si>
  <si>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</si>
  <si>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</si>
  <si>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</si>
  <si>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</si>
  <si>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</si>
  <si>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</si>
  <si>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</si>
  <si>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</si>
  <si>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</si>
  <si>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</si>
  <si>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</si>
  <si>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</si>
  <si>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</si>
  <si>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</si>
  <si>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</si>
  <si>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</si>
  <si>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</si>
  <si>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</si>
  <si>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</si>
  <si>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</si>
  <si>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</si>
  <si>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</si>
  <si>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</si>
  <si>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</si>
  <si>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</si>
  <si>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</si>
  <si>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</si>
  <si>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</si>
  <si>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</si>
  <si>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</si>
  <si>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</si>
  <si>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</si>
  <si>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</si>
  <si>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</si>
  <si>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</si>
  <si>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</si>
  <si>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</si>
  <si>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</si>
  <si>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</si>
  <si>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</si>
  <si>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</si>
  <si>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</si>
  <si>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</si>
  <si>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</si>
  <si>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</si>
  <si>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</si>
  <si>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</si>
  <si>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</si>
  <si>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</si>
  <si>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</si>
  <si>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</si>
  <si>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</si>
  <si>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</si>
  <si>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</si>
  <si>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</si>
  <si>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</si>
  <si>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</si>
  <si>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</si>
  <si>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</si>
  <si>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</si>
  <si>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</si>
  <si>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</si>
  <si>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</si>
  <si>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</si>
  <si>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</si>
  <si>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</si>
  <si>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</si>
  <si>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</si>
  <si>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</si>
  <si>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</si>
  <si>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</si>
  <si>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</si>
  <si>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</si>
  <si>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</si>
  <si>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</si>
  <si>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</si>
  <si>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</si>
  <si>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</si>
  <si>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</si>
  <si>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</si>
  <si>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</si>
  <si>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</si>
  <si>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</si>
  <si>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</si>
  <si>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</si>
  <si>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</si>
  <si>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</si>
  <si>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</si>
  <si>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</si>
  <si>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</si>
  <si>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</si>
  <si>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</si>
  <si>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</si>
  <si>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</si>
  <si>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</si>
  <si>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</si>
  <si>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</si>
  <si>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</si>
  <si>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</si>
  <si>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</si>
  <si>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</si>
  <si>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</si>
  <si>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</si>
  <si>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</si>
  <si>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</si>
  <si>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</si>
  <si>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</si>
  <si>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</si>
  <si>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</si>
  <si>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</si>
  <si>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</si>
  <si>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</si>
  <si>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</si>
  <si>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</si>
  <si>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</si>
  <si>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</si>
  <si>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</si>
  <si>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</si>
  <si>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</si>
  <si>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</si>
  <si>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</si>
  <si>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</si>
  <si>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</si>
  <si>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</si>
  <si>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</si>
  <si>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</si>
  <si>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</si>
  <si>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</si>
  <si>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</si>
  <si>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</si>
  <si>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</si>
  <si>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</si>
  <si>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</si>
  <si>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</si>
  <si>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</si>
  <si>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</si>
  <si>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</si>
  <si>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</si>
  <si>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</si>
  <si>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</si>
  <si>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</si>
  <si>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</si>
  <si>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</si>
  <si>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</si>
  <si>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</si>
  <si>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</si>
  <si>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</si>
  <si>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</si>
  <si>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</si>
  <si>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</si>
  <si>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</si>
  <si>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</si>
  <si>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</si>
  <si>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</si>
  <si>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</si>
  <si>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</si>
  <si>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</si>
  <si>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</si>
  <si>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</si>
  <si>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</si>
  <si>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</si>
  <si>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</si>
  <si>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</si>
  <si>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</si>
  <si>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</si>
  <si>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</si>
  <si>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</si>
  <si>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</si>
  <si>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</si>
  <si>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</si>
  <si>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</si>
  <si>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</si>
  <si>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</si>
  <si>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</si>
  <si>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</si>
  <si>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</si>
  <si>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</si>
  <si>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</si>
  <si>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</si>
  <si>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</si>
  <si>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</si>
  <si>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</si>
  <si>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</si>
  <si>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</si>
  <si>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</si>
  <si>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</si>
  <si>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</si>
  <si>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</si>
  <si>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</si>
  <si>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</si>
  <si>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</si>
  <si>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</si>
  <si>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</si>
  <si>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</si>
  <si>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</si>
  <si>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</si>
  <si>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</si>
  <si>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</si>
  <si>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</si>
  <si>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</si>
  <si>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</si>
  <si>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</si>
  <si>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</si>
  <si>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</si>
  <si>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</si>
  <si>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</si>
  <si>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</si>
  <si>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</si>
  <si>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</si>
  <si>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</si>
  <si>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</si>
  <si>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</si>
  <si>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</si>
  <si>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</si>
  <si>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</si>
  <si>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</si>
  <si>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</si>
  <si>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</si>
  <si>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</si>
  <si>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</si>
  <si>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</si>
  <si>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</si>
  <si>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</si>
  <si>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</si>
  <si>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</si>
  <si>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</si>
  <si>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</si>
  <si>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</si>
  <si>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</si>
  <si>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</si>
  <si>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</si>
  <si>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</si>
  <si>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</si>
  <si>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</si>
  <si>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</si>
  <si>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</si>
  <si>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</si>
  <si>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</si>
  <si>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</si>
  <si>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</si>
  <si>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</si>
  <si>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</si>
  <si>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</si>
  <si>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</si>
  <si>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</si>
  <si>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</si>
  <si>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</si>
  <si>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</si>
  <si>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</si>
  <si>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</si>
  <si>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</si>
  <si>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</si>
  <si>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</si>
  <si>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</si>
  <si>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</si>
  <si>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</si>
  <si>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</si>
  <si>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</si>
  <si>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</si>
  <si>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</si>
  <si>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</si>
  <si>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</si>
  <si>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</si>
  <si>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</si>
  <si>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</si>
  <si>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</si>
  <si>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</si>
  <si>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</si>
  <si>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</si>
  <si>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</si>
  <si>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</si>
  <si>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</si>
  <si>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</si>
  <si>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</si>
  <si>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</si>
  <si>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</si>
  <si>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</si>
  <si>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</si>
  <si>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</si>
  <si>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</si>
  <si>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</si>
  <si>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</si>
  <si>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</si>
  <si>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</si>
  <si>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</si>
  <si>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</si>
  <si>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</si>
  <si>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</si>
  <si>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</si>
  <si>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</si>
  <si>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</si>
  <si>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</si>
  <si>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</si>
  <si>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</si>
  <si>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</si>
  <si>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</si>
  <si>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</si>
  <si>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</si>
  <si>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</si>
  <si>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</si>
  <si>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</si>
  <si>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</si>
  <si>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</si>
  <si>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</si>
  <si>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</si>
  <si>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</si>
  <si>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</si>
  <si>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</si>
  <si>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</si>
  <si>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</si>
  <si>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</si>
  <si>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</si>
  <si>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</si>
  <si>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</si>
  <si>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</si>
  <si>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</si>
  <si>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</si>
  <si>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</si>
  <si>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</si>
  <si>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</si>
  <si>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</si>
  <si>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</si>
  <si>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</si>
  <si>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</si>
  <si>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</si>
  <si>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</si>
  <si>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</si>
  <si>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</si>
  <si>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</si>
  <si>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</si>
  <si>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</si>
  <si>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</si>
  <si>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</si>
  <si>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</si>
  <si>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</si>
  <si>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</si>
  <si>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</si>
  <si>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</si>
  <si>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</si>
  <si>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</si>
  <si>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</si>
  <si>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</si>
  <si>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</si>
  <si>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</si>
  <si>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</si>
  <si>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</si>
  <si>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</si>
  <si>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</si>
  <si>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</si>
  <si>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</si>
  <si>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</si>
  <si>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</si>
  <si>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</si>
  <si>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</si>
  <si>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</si>
  <si>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</si>
  <si>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</si>
  <si>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</si>
  <si>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</si>
  <si>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</si>
  <si>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</si>
  <si>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</si>
  <si>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</si>
  <si>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</si>
  <si>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</si>
  <si>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</si>
  <si>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</si>
  <si>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</si>
  <si>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</si>
  <si>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</si>
  <si>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</si>
  <si>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</si>
  <si>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</si>
  <si>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</si>
  <si>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</si>
  <si>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</si>
  <si>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</si>
  <si>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</si>
  <si>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</si>
  <si>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</si>
  <si>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</si>
  <si>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</si>
  <si>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</si>
  <si>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</si>
  <si>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</si>
  <si>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</si>
  <si>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</si>
  <si>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</si>
  <si>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</si>
  <si>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</si>
  <si>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</si>
  <si>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</si>
  <si>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</si>
  <si>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</si>
  <si>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</si>
  <si>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</si>
  <si>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</si>
  <si>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</si>
  <si>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</si>
  <si>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</si>
  <si>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</si>
  <si>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</si>
  <si>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</si>
  <si>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</si>
  <si>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</si>
  <si>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</si>
  <si>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</si>
  <si>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</si>
  <si>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</si>
  <si>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</si>
  <si>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</si>
  <si>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</si>
  <si>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</si>
  <si>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</si>
  <si>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</si>
  <si>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</si>
  <si>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</si>
  <si>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</si>
  <si>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</si>
  <si>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</si>
  <si>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</si>
  <si>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</si>
  <si>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</si>
  <si>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</si>
  <si>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</si>
  <si>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</si>
  <si>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</si>
  <si>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</si>
  <si>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</si>
  <si>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</si>
  <si>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</si>
  <si>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</si>
  <si>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</si>
  <si>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</si>
  <si>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</si>
  <si>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</si>
  <si>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</si>
  <si>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</si>
  <si>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</si>
  <si>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</si>
  <si>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</si>
  <si>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</si>
  <si>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</si>
  <si>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</si>
  <si>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</si>
  <si>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</si>
  <si>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</si>
  <si>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</si>
  <si>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</si>
  <si>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</si>
  <si>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</si>
  <si>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</si>
  <si>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</si>
  <si>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</si>
  <si>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</si>
  <si>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</si>
  <si>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</si>
  <si>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</si>
  <si>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</si>
  <si>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</si>
  <si>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</si>
  <si>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</si>
  <si>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</si>
  <si>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</si>
  <si>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</si>
  <si>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</si>
  <si>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</si>
  <si>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</si>
  <si>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</si>
  <si>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</si>
  <si>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</si>
  <si>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</si>
  <si>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</si>
  <si>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</si>
  <si>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</si>
  <si>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</si>
  <si>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</si>
  <si>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</si>
  <si>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</si>
  <si>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</si>
  <si>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</si>
  <si>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</si>
  <si>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</si>
  <si>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</si>
  <si>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</si>
  <si>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</si>
  <si>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</si>
  <si>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</si>
  <si>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</si>
  <si>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</si>
  <si>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</si>
  <si>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</si>
  <si>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</si>
  <si>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</si>
  <si>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</si>
  <si>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</si>
  <si>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</si>
  <si>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</si>
  <si>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</si>
  <si>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</si>
  <si>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</si>
  <si>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</si>
  <si>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</si>
  <si>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</si>
  <si>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</si>
  <si>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</si>
  <si>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</si>
  <si>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</si>
  <si>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</si>
  <si>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</si>
  <si>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</si>
  <si>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</si>
  <si>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</si>
  <si>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</si>
  <si>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</si>
  <si>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</si>
  <si>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</si>
  <si>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</si>
  <si>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</si>
  <si>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</si>
  <si>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</si>
  <si>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</si>
  <si>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</si>
  <si>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</si>
  <si>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</si>
  <si>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</si>
  <si>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</si>
  <si>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</si>
  <si>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</si>
  <si>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</si>
  <si>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</si>
  <si>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</si>
  <si>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</si>
  <si>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</si>
  <si>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</si>
  <si>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</si>
  <si>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</si>
  <si>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</si>
  <si>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</si>
  <si>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</si>
  <si>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</si>
  <si>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</si>
  <si>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</si>
  <si>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</si>
  <si>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</si>
  <si>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</si>
  <si>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</si>
  <si>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</si>
  <si>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</si>
  <si>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</si>
  <si>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</si>
  <si>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</si>
  <si>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</si>
  <si>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</si>
  <si>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</si>
  <si>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</si>
  <si>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</si>
  <si>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</si>
  <si>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</si>
  <si>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</si>
  <si>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</si>
  <si>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</si>
  <si>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</si>
  <si>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</si>
  <si>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</si>
  <si>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</si>
  <si>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</si>
  <si>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</si>
  <si>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</si>
  <si>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</si>
  <si>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</si>
  <si>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</si>
  <si>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</si>
  <si>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</si>
  <si>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</si>
  <si>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</si>
  <si>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</si>
  <si>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</si>
  <si>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</si>
  <si>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</si>
  <si>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</si>
  <si>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</si>
  <si>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</si>
  <si>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</si>
  <si>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</si>
  <si>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</si>
  <si>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</si>
  <si>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</si>
  <si>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</si>
  <si>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</si>
  <si>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</si>
  <si>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</si>
  <si>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</si>
  <si>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</si>
  <si>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</si>
  <si>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</si>
  <si>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</si>
  <si>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</si>
  <si>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</si>
  <si>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</si>
  <si>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</si>
  <si>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</si>
  <si>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</si>
  <si>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</si>
  <si>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</si>
  <si>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</si>
  <si>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</si>
  <si>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</si>
  <si>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</si>
  <si>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</si>
  <si>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</si>
  <si>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</si>
  <si>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</si>
  <si>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</si>
  <si>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</si>
  <si>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</si>
  <si>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</si>
  <si>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</si>
  <si>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</si>
  <si>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</si>
  <si>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</si>
  <si>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</si>
  <si>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</si>
  <si>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</si>
  <si>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</si>
  <si>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</si>
  <si>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</si>
  <si>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</si>
  <si>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</si>
  <si>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</si>
  <si>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</si>
  <si>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</si>
  <si>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</si>
  <si>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</si>
  <si>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</si>
  <si>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</si>
  <si>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</si>
  <si>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</si>
  <si>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</si>
  <si>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</si>
  <si>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</si>
  <si>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</si>
  <si>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</si>
  <si>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</si>
  <si>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</si>
  <si>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</si>
  <si>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</si>
  <si>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</si>
  <si>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</si>
  <si>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</si>
  <si>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</si>
  <si>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</si>
  <si>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</si>
  <si>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</si>
  <si>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</si>
  <si>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</si>
  <si>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</si>
  <si>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</si>
  <si>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</si>
  <si>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</si>
  <si>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</si>
  <si>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</si>
  <si>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</si>
  <si>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</si>
  <si>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</si>
  <si>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</si>
  <si>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</si>
  <si>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</si>
  <si>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</si>
  <si>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</si>
  <si>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</si>
  <si>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</si>
  <si>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</si>
  <si>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</si>
  <si>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</si>
  <si>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</si>
  <si>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</si>
  <si>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</si>
  <si>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</si>
  <si>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</si>
  <si>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</si>
  <si>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</si>
  <si>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</si>
  <si>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</si>
  <si>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</si>
  <si>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</si>
  <si>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</si>
  <si>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</si>
  <si>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</si>
  <si>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</si>
  <si>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</si>
  <si>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</si>
  <si>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</si>
  <si>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</si>
  <si>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</si>
  <si>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</si>
  <si>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</si>
  <si>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</si>
  <si>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</si>
  <si>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</si>
  <si>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</si>
  <si>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</si>
  <si>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</si>
  <si>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</si>
  <si>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</si>
  <si>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</si>
  <si>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</si>
  <si>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</si>
  <si>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</si>
  <si>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</si>
  <si>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</si>
  <si>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</si>
  <si>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</si>
  <si>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</si>
  <si>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</si>
  <si>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</si>
  <si>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</si>
  <si>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</si>
  <si>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</si>
  <si>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</si>
  <si>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</si>
  <si>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</si>
  <si>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</si>
  <si>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</si>
  <si>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</si>
  <si>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</si>
  <si>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</si>
  <si>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</si>
  <si>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</si>
  <si>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</si>
  <si>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</si>
  <si>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</si>
  <si>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</si>
  <si>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</si>
  <si>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</si>
  <si>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</si>
  <si>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</si>
  <si>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</si>
  <si>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</si>
  <si>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</si>
  <si>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</si>
  <si>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</si>
  <si>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</si>
  <si>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</si>
  <si>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</si>
  <si>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</si>
  <si>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</si>
  <si>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</si>
  <si>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</si>
  <si>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</si>
  <si>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</si>
  <si>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</si>
  <si>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</si>
  <si>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</si>
  <si>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</si>
  <si>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</si>
  <si>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</si>
  <si>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</si>
  <si>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</si>
  <si>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</si>
  <si>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</si>
  <si>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</si>
  <si>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</si>
  <si>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</si>
  <si>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</si>
  <si>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</si>
  <si>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</si>
  <si>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</si>
  <si>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</si>
  <si>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</si>
  <si>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</si>
  <si>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</si>
  <si>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</si>
  <si>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</si>
  <si>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</si>
  <si>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</si>
  <si>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</si>
  <si>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</si>
  <si>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</si>
  <si>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</si>
  <si>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</si>
  <si>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</si>
  <si>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</si>
  <si>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</si>
  <si>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</si>
  <si>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</si>
  <si>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</si>
  <si>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</si>
  <si>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</si>
  <si>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</si>
  <si>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</si>
  <si>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</si>
  <si>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</si>
  <si>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</si>
  <si>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</si>
  <si>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</si>
  <si>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</si>
  <si>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</si>
  <si>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</si>
  <si>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</si>
  <si>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</si>
  <si>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</si>
  <si>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</si>
  <si>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</si>
  <si>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</si>
  <si>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</si>
  <si>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</si>
  <si>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</si>
  <si>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</si>
  <si>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</si>
  <si>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</si>
  <si>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</si>
  <si>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</si>
  <si>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</si>
  <si>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</si>
  <si>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</si>
  <si>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</si>
  <si>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</si>
  <si>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</si>
  <si>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</si>
  <si>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</si>
  <si>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</si>
  <si>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</si>
  <si>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</si>
  <si>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</si>
  <si>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</si>
  <si>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</si>
  <si>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</si>
  <si>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</si>
  <si>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</si>
  <si>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</si>
  <si>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</si>
  <si>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</si>
  <si>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</si>
  <si>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</si>
  <si>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</si>
  <si>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</si>
  <si>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</si>
  <si>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</si>
  <si>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</si>
  <si>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</si>
  <si>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</si>
  <si>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</si>
  <si>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</si>
  <si>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</si>
  <si>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</si>
  <si>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</si>
  <si>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</si>
  <si>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</si>
  <si>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</si>
  <si>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</si>
  <si>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</si>
  <si>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</si>
  <si>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</si>
  <si>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</si>
  <si>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</si>
  <si>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</si>
  <si>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</si>
  <si>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</si>
  <si>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</si>
  <si>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</si>
  <si>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</si>
  <si>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</si>
  <si>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</si>
  <si>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</si>
  <si>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</si>
  <si>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</si>
  <si>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</si>
  <si>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</si>
  <si>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</si>
  <si>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</si>
  <si>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</si>
  <si>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</si>
  <si>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</si>
  <si>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</si>
  <si>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</si>
  <si>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</si>
  <si>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</si>
  <si>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</si>
  <si>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</si>
  <si>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</si>
  <si>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</si>
  <si>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</si>
  <si>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</si>
  <si>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</si>
  <si>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</si>
  <si>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</si>
  <si>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</si>
  <si>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</si>
  <si>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</si>
  <si>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</si>
  <si>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</si>
  <si>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</si>
  <si>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</si>
  <si>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</si>
  <si>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</si>
  <si>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</si>
  <si>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</si>
  <si>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</si>
  <si>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</si>
  <si>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</si>
  <si>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</si>
  <si>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</si>
  <si>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</si>
  <si>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</si>
  <si>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</si>
  <si>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</si>
  <si>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</si>
  <si>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</si>
  <si>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</si>
  <si>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</si>
  <si>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</si>
  <si>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</si>
  <si>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</si>
  <si>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</si>
  <si>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</si>
  <si>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</si>
  <si>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</si>
  <si>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</si>
  <si>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</si>
  <si>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</si>
  <si>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</si>
  <si>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</si>
  <si>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</si>
  <si>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</si>
  <si>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</si>
  <si>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</si>
  <si>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</si>
  <si>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</si>
  <si>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</si>
  <si>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</si>
  <si>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</si>
  <si>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</si>
  <si>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</si>
  <si>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</si>
  <si>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</si>
  <si>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</si>
  <si>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</si>
  <si>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</si>
  <si>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</si>
  <si>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</si>
  <si>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</si>
  <si>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</si>
  <si>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</si>
  <si>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</si>
  <si>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</si>
  <si>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</si>
  <si>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</si>
  <si>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</si>
  <si>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</si>
  <si>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</si>
  <si>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</si>
  <si>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</si>
  <si>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</si>
  <si>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</si>
  <si>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</si>
  <si>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</si>
  <si>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</si>
  <si>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</si>
  <si>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</si>
  <si>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</si>
  <si>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</si>
  <si>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</si>
  <si>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</si>
  <si>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</si>
  <si>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</si>
  <si>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</si>
  <si>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</si>
  <si>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</si>
  <si>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</si>
  <si>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</si>
  <si>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</si>
  <si>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</si>
  <si>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</si>
  <si>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</si>
  <si>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</si>
  <si>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</si>
  <si>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</si>
  <si>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</si>
  <si>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</si>
  <si>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</si>
  <si>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</si>
  <si>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</si>
  <si>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</si>
  <si>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</si>
  <si>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</si>
  <si>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</si>
  <si>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</si>
  <si>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</si>
  <si>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</si>
  <si>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</si>
  <si>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</si>
  <si>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</si>
  <si>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</si>
  <si>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</si>
  <si>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</si>
  <si>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</si>
  <si>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</si>
  <si>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</si>
  <si>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</si>
  <si>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</si>
  <si>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</si>
  <si>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</si>
  <si>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</si>
  <si>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</si>
  <si>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</si>
  <si>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</si>
  <si>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</si>
  <si>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</si>
  <si>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</si>
  <si>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</si>
  <si>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</si>
  <si>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</si>
  <si>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</si>
  <si>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</si>
  <si>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</si>
  <si>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</si>
  <si>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</si>
  <si>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</si>
  <si>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</si>
  <si>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</si>
  <si>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</si>
  <si>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</si>
  <si>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</si>
  <si>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</si>
  <si>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</si>
  <si>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</si>
  <si>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</si>
  <si>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</si>
  <si>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</si>
  <si>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</si>
  <si>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</si>
  <si>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</si>
  <si>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</si>
  <si>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</si>
  <si>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</si>
  <si>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</si>
  <si>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</si>
  <si>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</si>
  <si>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</si>
  <si>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</si>
  <si>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</si>
  <si>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</si>
  <si>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</si>
  <si>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</si>
  <si>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</si>
  <si>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</si>
  <si>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</si>
  <si>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</si>
  <si>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</si>
  <si>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</si>
  <si>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</si>
  <si>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</si>
  <si>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</si>
  <si>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</si>
  <si>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</si>
  <si>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</si>
  <si>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</si>
  <si>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</si>
  <si>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</si>
  <si>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</si>
  <si>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</si>
  <si>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</si>
  <si>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</si>
  <si>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</si>
  <si>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</si>
  <si>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</si>
  <si>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</si>
  <si>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</si>
  <si>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</si>
  <si>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</si>
  <si>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</si>
  <si>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</si>
  <si>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</si>
  <si>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</si>
  <si>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</si>
  <si>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</si>
  <si>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</si>
  <si>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</si>
  <si>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</si>
  <si>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</si>
  <si>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</si>
  <si>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</si>
  <si>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</si>
  <si>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</si>
  <si>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</si>
  <si>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</si>
  <si>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</si>
  <si>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</si>
  <si>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</si>
  <si>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</si>
  <si>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</si>
  <si>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</si>
  <si>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</si>
  <si>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</si>
  <si>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</si>
  <si>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</si>
  <si>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</si>
  <si>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</si>
  <si>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</si>
  <si>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</si>
  <si>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</si>
  <si>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</si>
  <si>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</si>
  <si>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</si>
  <si>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</si>
  <si>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</si>
  <si>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</si>
  <si>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</si>
  <si>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</si>
  <si>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</si>
  <si>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</si>
  <si>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</si>
  <si>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</si>
  <si>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</si>
  <si>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</si>
  <si>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</si>
  <si>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</si>
  <si>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</si>
  <si>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</si>
  <si>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</si>
  <si>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</si>
  <si>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</si>
  <si>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</si>
  <si>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</si>
  <si>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</si>
  <si>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</si>
  <si>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</si>
  <si>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</si>
  <si>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</si>
  <si>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</si>
  <si>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</si>
  <si>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</si>
  <si>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</si>
  <si>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</si>
  <si>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</si>
  <si>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</si>
  <si>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</si>
  <si>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</si>
  <si>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</si>
  <si>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</si>
  <si>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</si>
  <si>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</si>
  <si>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</si>
  <si>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</si>
  <si>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</si>
  <si>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</si>
  <si>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</si>
  <si>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</si>
  <si>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</si>
  <si>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</si>
  <si>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</si>
  <si>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</si>
  <si>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</si>
  <si>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</si>
  <si>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</si>
  <si>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</si>
  <si>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</si>
  <si>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</si>
  <si>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</si>
  <si>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</si>
  <si>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</si>
  <si>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</si>
  <si>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</si>
  <si>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</si>
  <si>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</si>
  <si>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</si>
  <si>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</si>
  <si>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</si>
  <si>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</si>
  <si>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</si>
  <si>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</si>
  <si>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</si>
  <si>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</si>
  <si>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</si>
  <si>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</si>
  <si>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</si>
  <si>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</si>
  <si>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</si>
  <si>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</si>
  <si>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</si>
  <si>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</si>
  <si>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</si>
  <si>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</si>
  <si>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</si>
  <si>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</si>
  <si>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</si>
  <si>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</si>
  <si>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</si>
  <si>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</si>
  <si>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</si>
  <si>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</si>
  <si>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</si>
  <si>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</si>
  <si>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</si>
  <si>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</si>
  <si>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</si>
  <si>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</si>
  <si>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</si>
  <si>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</si>
  <si>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</si>
  <si>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</si>
  <si>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</si>
  <si>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</si>
  <si>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</si>
  <si>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</si>
  <si>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</si>
  <si>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</si>
  <si>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</si>
  <si>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</si>
  <si>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</si>
  <si>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</si>
  <si>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</si>
  <si>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</si>
  <si>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</si>
  <si>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</si>
  <si>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</si>
  <si>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</si>
  <si>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</si>
  <si>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</si>
  <si>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</si>
  <si>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</si>
  <si>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</si>
  <si>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</si>
  <si>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</si>
  <si>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</si>
  <si>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</si>
  <si>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</si>
  <si>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</si>
  <si>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</si>
  <si>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</si>
  <si>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</si>
  <si>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</si>
  <si>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</si>
  <si>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</si>
  <si>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</si>
  <si>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</si>
  <si>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</si>
  <si>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</si>
  <si>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</si>
  <si>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</si>
  <si>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</si>
  <si>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</si>
  <si>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</si>
  <si>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</si>
  <si>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</si>
  <si>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</si>
  <si>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</si>
  <si>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</si>
  <si>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</si>
  <si>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</si>
  <si>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</si>
  <si>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</si>
  <si>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</si>
  <si>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</si>
  <si>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</si>
  <si>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</si>
  <si>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</si>
  <si>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</si>
  <si>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</si>
  <si>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</si>
  <si>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</si>
  <si>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</si>
  <si>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</si>
  <si>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</si>
  <si>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</si>
  <si>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</si>
  <si>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</si>
  <si>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</si>
  <si>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</si>
  <si>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</si>
  <si>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</si>
  <si>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</si>
  <si>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</si>
  <si>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</si>
  <si>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</si>
  <si>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</si>
  <si>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</si>
  <si>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</si>
  <si>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</si>
  <si>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</si>
  <si>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</si>
  <si>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</si>
  <si>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</si>
  <si>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</si>
  <si>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</si>
  <si>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</si>
  <si>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</si>
  <si>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</si>
  <si>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</si>
  <si>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</si>
  <si>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</si>
  <si>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</si>
  <si>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</si>
  <si>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</si>
  <si>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</si>
  <si>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</si>
  <si>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</si>
  <si>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</si>
  <si>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</si>
  <si>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</si>
  <si>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</si>
  <si>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</si>
  <si>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</si>
  <si>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</si>
  <si>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</si>
  <si>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</si>
  <si>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</si>
  <si>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</si>
  <si>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</si>
  <si>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</si>
  <si>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</si>
  <si>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</si>
  <si>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</si>
  <si>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</si>
  <si>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</si>
  <si>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</si>
  <si>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</si>
  <si>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</si>
  <si>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</si>
  <si>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</si>
  <si>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</si>
  <si>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</si>
  <si>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</si>
  <si>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</si>
  <si>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</si>
  <si>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</si>
  <si>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</si>
  <si>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</si>
  <si>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</si>
  <si>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</si>
  <si>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</si>
  <si>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</si>
  <si>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</si>
  <si>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</si>
  <si>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</si>
  <si>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</si>
  <si>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</si>
  <si>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</si>
  <si>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</si>
  <si>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</si>
  <si>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</si>
  <si>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</si>
  <si>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</si>
  <si>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</si>
  <si>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</si>
  <si>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</si>
  <si>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</si>
  <si>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</si>
  <si>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</si>
  <si>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</si>
  <si>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</si>
  <si>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</si>
  <si>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</si>
  <si>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</si>
  <si>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</si>
  <si>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</si>
  <si>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</si>
  <si>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</si>
  <si>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</si>
  <si>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</si>
  <si>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</si>
  <si>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</si>
  <si>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</si>
  <si>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</si>
  <si>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</si>
  <si>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</si>
  <si>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</si>
  <si>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</si>
  <si>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</si>
  <si>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</si>
  <si>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</si>
  <si>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</si>
  <si>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</si>
  <si>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</si>
  <si>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</si>
  <si>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</si>
  <si>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</si>
  <si>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</si>
  <si>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</si>
  <si>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</si>
  <si>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</si>
  <si>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</si>
  <si>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</si>
  <si>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</si>
  <si>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</si>
  <si>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</si>
  <si>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</si>
  <si>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</si>
  <si>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</si>
  <si>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</si>
  <si>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</si>
  <si>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</si>
  <si>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</si>
  <si>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</si>
  <si>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</si>
  <si>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</si>
  <si>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</si>
  <si>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</si>
  <si>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</si>
  <si>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</si>
  <si>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</si>
  <si>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</si>
  <si>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</si>
  <si>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</si>
  <si>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</si>
  <si>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</si>
  <si>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</si>
  <si>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</si>
  <si>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</si>
  <si>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</si>
  <si>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</si>
  <si>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</si>
  <si>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</si>
  <si>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</si>
  <si>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</si>
  <si>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</si>
  <si>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</si>
  <si>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</si>
  <si>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</si>
  <si>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</si>
  <si>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</si>
  <si>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</si>
  <si>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</si>
  <si>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</si>
  <si>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</si>
  <si>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</si>
  <si>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</si>
  <si>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</si>
  <si>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</si>
  <si>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</si>
  <si>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</si>
  <si>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</si>
  <si>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</si>
  <si>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</si>
  <si>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</si>
  <si>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</si>
  <si>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</si>
  <si>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</si>
  <si>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</si>
  <si>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</si>
  <si>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</si>
  <si>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</si>
  <si>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</si>
  <si>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</si>
  <si>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</si>
  <si>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</si>
  <si>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</si>
  <si>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</si>
  <si>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</si>
  <si>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</si>
  <si>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</si>
  <si>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</si>
  <si>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</si>
  <si>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</si>
  <si>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</si>
  <si>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</si>
  <si>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</si>
  <si>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</si>
  <si>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</si>
  <si>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</si>
  <si>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</si>
  <si>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</si>
  <si>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</si>
  <si>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</si>
  <si>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</si>
  <si>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</si>
  <si>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</si>
  <si>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</si>
  <si>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</si>
  <si>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</si>
  <si>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</si>
  <si>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</si>
  <si>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</si>
  <si>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</si>
  <si>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</si>
  <si>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</si>
  <si>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</si>
  <si>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</si>
  <si>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</si>
  <si>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</si>
  <si>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</si>
  <si>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</si>
  <si>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</si>
  <si>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</si>
  <si>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</si>
  <si>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</si>
  <si>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</si>
  <si>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</si>
  <si>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</si>
  <si>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</si>
  <si>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</si>
  <si>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</si>
  <si>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</si>
  <si>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</si>
  <si>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</si>
  <si>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</si>
  <si>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</si>
  <si>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</si>
  <si>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</si>
  <si>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</si>
  <si>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</si>
  <si>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</si>
  <si>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</si>
  <si>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</si>
  <si>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</si>
  <si>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</si>
  <si>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</si>
  <si>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</si>
  <si>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</si>
  <si>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</si>
  <si>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</si>
  <si>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</si>
  <si>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</si>
  <si>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</si>
  <si>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</si>
  <si>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</si>
  <si>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</si>
  <si>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</si>
  <si>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</si>
  <si>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</si>
  <si>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</si>
  <si>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</si>
  <si>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</si>
  <si>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</si>
  <si>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</si>
  <si>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</si>
  <si>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</si>
  <si>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</si>
  <si>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</si>
  <si>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</si>
  <si>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</si>
  <si>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</si>
  <si>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</si>
  <si>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</si>
  <si>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</si>
  <si>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</si>
  <si>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</si>
  <si>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</si>
  <si>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</si>
  <si>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</si>
  <si>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</si>
  <si>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</si>
  <si>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</si>
  <si>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</si>
  <si>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</si>
  <si>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</si>
  <si>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</si>
  <si>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</si>
  <si>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</si>
  <si>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</si>
  <si>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</si>
  <si>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</si>
  <si>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</si>
  <si>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</si>
  <si>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</si>
  <si>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</si>
  <si>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</si>
  <si>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</si>
  <si>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</si>
  <si>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</si>
  <si>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</si>
  <si>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</si>
  <si>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</si>
  <si>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</si>
  <si>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</si>
  <si>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</si>
  <si>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</si>
  <si>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</si>
  <si>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</si>
  <si>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</si>
  <si>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</si>
  <si>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</si>
  <si>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</si>
  <si>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</si>
  <si>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</si>
  <si>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</si>
  <si>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</si>
  <si>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</si>
  <si>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</si>
  <si>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</si>
  <si>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</si>
  <si>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</si>
  <si>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</si>
  <si>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</si>
  <si>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</si>
  <si>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</si>
  <si>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</si>
  <si>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</si>
  <si>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</si>
  <si>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</si>
  <si>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</si>
  <si>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</si>
  <si>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</si>
  <si>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</si>
  <si>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</si>
  <si>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</si>
  <si>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</si>
  <si>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</si>
  <si>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</si>
  <si>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</si>
  <si>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</si>
  <si>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</si>
  <si>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</si>
  <si>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</si>
  <si>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</si>
  <si>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</si>
  <si>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</si>
  <si>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</si>
  <si>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</si>
  <si>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</si>
  <si>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</si>
  <si>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</si>
  <si>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</si>
  <si>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</si>
  <si>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</si>
  <si>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</si>
  <si>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</si>
  <si>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</si>
  <si>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</si>
  <si>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</si>
  <si>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</si>
  <si>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</si>
  <si>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</si>
  <si>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</si>
  <si>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</si>
  <si>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</si>
  <si>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</si>
  <si>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</si>
  <si>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</si>
  <si>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</si>
  <si>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</si>
  <si>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</si>
  <si>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</si>
  <si>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</si>
  <si>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</si>
  <si>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</si>
  <si>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</si>
  <si>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</si>
  <si>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</si>
  <si>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</si>
  <si>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</si>
  <si>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</si>
  <si>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</si>
  <si>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</si>
  <si>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</si>
  <si>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</si>
  <si>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</si>
  <si>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</si>
  <si>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</si>
  <si>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</si>
  <si>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</si>
  <si>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</si>
  <si>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</si>
  <si>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</si>
  <si>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</si>
  <si>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</si>
  <si>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</si>
  <si>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</si>
  <si>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</si>
  <si>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</si>
  <si>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</si>
  <si>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</si>
  <si>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</si>
  <si>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</si>
  <si>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</si>
  <si>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</si>
  <si>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</si>
  <si>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</si>
  <si>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</si>
  <si>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</si>
  <si>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</si>
  <si>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</si>
  <si>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</si>
  <si>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</si>
  <si>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</si>
  <si>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</si>
  <si>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</si>
  <si>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</si>
  <si>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</si>
  <si>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</si>
  <si>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</si>
  <si>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</si>
  <si>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</si>
  <si>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</si>
  <si>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</si>
  <si>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</si>
  <si>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</si>
  <si>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</si>
  <si>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</si>
  <si>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</si>
  <si>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</si>
  <si>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</si>
  <si>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</si>
  <si>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</si>
  <si>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</si>
  <si>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</si>
  <si>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</si>
  <si>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</si>
  <si>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</si>
  <si>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</si>
  <si>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</si>
  <si>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</si>
  <si>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</si>
  <si>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</si>
  <si>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</si>
  <si>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</si>
  <si>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</si>
  <si>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</si>
  <si>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</si>
  <si>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</si>
  <si>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</si>
  <si>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</si>
  <si>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</si>
  <si>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</si>
  <si>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</si>
  <si>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</si>
  <si>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</si>
  <si>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</si>
  <si>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</si>
  <si>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</si>
  <si>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</si>
  <si>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</si>
  <si>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</si>
  <si>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</si>
  <si>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</si>
  <si>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</si>
  <si>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</si>
  <si>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</si>
  <si>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</si>
  <si>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</si>
  <si>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</si>
  <si>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</si>
  <si>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</si>
  <si>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</si>
  <si>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</si>
  <si>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</si>
  <si>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</si>
  <si>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</si>
  <si>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</si>
  <si>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</si>
  <si>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</si>
  <si>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</si>
  <si>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</si>
  <si>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</si>
  <si>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</si>
  <si>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</si>
  <si>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</si>
  <si>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</si>
  <si>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</si>
  <si>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</si>
  <si>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</si>
  <si>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</si>
  <si>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</si>
  <si>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</si>
  <si>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</si>
  <si>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</si>
  <si>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</si>
  <si>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</si>
  <si>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</si>
  <si>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</si>
  <si>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</si>
  <si>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</si>
  <si>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</si>
  <si>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</si>
  <si>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</si>
  <si>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</si>
  <si>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</si>
  <si>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</si>
  <si>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</si>
  <si>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</si>
  <si>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</si>
  <si>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</si>
  <si>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</si>
  <si>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</si>
  <si>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</si>
  <si>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</si>
  <si>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</si>
  <si>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</si>
  <si>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</si>
  <si>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</si>
  <si>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</si>
  <si>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</si>
  <si>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</si>
  <si>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</si>
  <si>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</si>
  <si>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</si>
  <si>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</si>
  <si>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</si>
  <si>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</si>
  <si>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</si>
  <si>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</si>
  <si>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</si>
  <si>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</si>
  <si>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</si>
  <si>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</si>
  <si>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</si>
  <si>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</si>
  <si>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</si>
  <si>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</si>
  <si>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</si>
  <si>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</si>
  <si>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</si>
  <si>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</si>
  <si>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</si>
  <si>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</si>
  <si>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</si>
  <si>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</si>
  <si>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</si>
  <si>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</si>
  <si>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</si>
  <si>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</si>
  <si>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</si>
  <si>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</si>
  <si>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</si>
  <si>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</si>
  <si>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</si>
  <si>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</si>
  <si>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</si>
  <si>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</si>
  <si>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</si>
  <si>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</si>
  <si>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</si>
  <si>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</si>
  <si>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</si>
  <si>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</si>
  <si>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</si>
  <si>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</si>
  <si>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</si>
  <si>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</si>
  <si>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</si>
  <si>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</si>
  <si>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</si>
  <si>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</si>
  <si>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</si>
  <si>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</si>
  <si>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</si>
  <si>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</si>
  <si>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</si>
  <si>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</si>
  <si>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</si>
  <si>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</si>
  <si>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</si>
  <si>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</si>
  <si>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</si>
  <si>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</si>
  <si>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</si>
  <si>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</si>
  <si>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</si>
  <si>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</si>
  <si>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</si>
  <si>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</si>
  <si>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</si>
  <si>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</si>
  <si>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</si>
  <si>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</si>
  <si>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</si>
  <si>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</si>
  <si>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</si>
  <si>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</si>
  <si>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</si>
  <si>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</si>
  <si>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</si>
  <si>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</si>
  <si>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</si>
  <si>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</si>
  <si>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</si>
  <si>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</si>
  <si>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</si>
  <si>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</si>
  <si>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</si>
  <si>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</si>
  <si>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</si>
  <si>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</si>
  <si>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</si>
  <si>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</si>
  <si>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</si>
  <si>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</si>
  <si>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</si>
  <si>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</si>
  <si>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</si>
  <si>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</si>
  <si>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</si>
  <si>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</si>
  <si>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</si>
  <si>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</si>
  <si>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</si>
  <si>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</si>
  <si>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</si>
  <si>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</si>
  <si>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</si>
  <si>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</si>
  <si>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</si>
  <si>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</si>
  <si>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</si>
  <si>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</si>
  <si>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</si>
  <si>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</si>
  <si>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</si>
  <si>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</si>
  <si>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</si>
  <si>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</si>
  <si>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</si>
  <si>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</si>
  <si>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</si>
  <si>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</si>
  <si>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</si>
  <si>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</si>
  <si>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</si>
  <si>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</si>
  <si>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</si>
  <si>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</si>
  <si>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</si>
  <si>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</si>
  <si>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</si>
  <si>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</si>
  <si>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</si>
  <si>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</si>
  <si>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</si>
  <si>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</si>
  <si>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</si>
  <si>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</si>
  <si>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</si>
  <si>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</si>
  <si>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</si>
  <si>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</si>
  <si>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</si>
  <si>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</si>
  <si>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</si>
  <si>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</si>
  <si>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</si>
  <si>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</si>
  <si>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</si>
  <si>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</si>
  <si>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</si>
  <si>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</si>
  <si>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</si>
  <si>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</si>
  <si>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</si>
  <si>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</si>
  <si>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</si>
  <si>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</si>
  <si>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</si>
  <si>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</si>
  <si>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</si>
  <si>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</si>
  <si>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</si>
  <si>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</si>
  <si>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</si>
  <si>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</si>
  <si>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</si>
  <si>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</si>
  <si>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</si>
  <si>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</si>
  <si>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</si>
  <si>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</si>
  <si>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</si>
  <si>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</si>
  <si>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</si>
  <si>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</si>
  <si>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</si>
  <si>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</si>
  <si>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</si>
  <si>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</si>
  <si>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</si>
  <si>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</si>
  <si>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</si>
  <si>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</si>
  <si>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</si>
  <si>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</si>
  <si>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</si>
  <si>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</si>
  <si>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</si>
  <si>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</si>
  <si>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</si>
  <si>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</si>
  <si>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</si>
  <si>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</si>
  <si>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</si>
  <si>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</si>
  <si>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</si>
  <si>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</si>
  <si>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</si>
  <si>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</si>
  <si>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</si>
  <si>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</si>
  <si>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</si>
  <si>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</si>
  <si>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</si>
  <si>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</si>
  <si>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</si>
  <si>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</si>
  <si>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</si>
  <si>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</si>
  <si>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</si>
  <si>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</si>
  <si>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</si>
  <si>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</si>
  <si>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</si>
  <si>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</si>
  <si>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</si>
  <si>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</si>
  <si>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</si>
  <si>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</si>
  <si>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</si>
  <si>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</si>
  <si>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</si>
  <si>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</si>
  <si>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</si>
  <si>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</si>
  <si>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</si>
  <si>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</si>
  <si>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</si>
  <si>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</si>
  <si>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</si>
  <si>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</si>
  <si>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</si>
  <si>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</si>
  <si>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</si>
  <si>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</si>
  <si>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</si>
  <si>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</si>
  <si>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</si>
  <si>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</si>
  <si>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</si>
  <si>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</si>
  <si>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</si>
  <si>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</si>
  <si>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</si>
  <si>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</si>
  <si>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</si>
  <si>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</si>
  <si>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</si>
  <si>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</si>
  <si>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</si>
  <si>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</si>
  <si>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</si>
  <si>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</si>
  <si>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</si>
  <si>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</si>
  <si>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</si>
  <si>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</si>
  <si>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</si>
  <si>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</si>
  <si>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</si>
  <si>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</si>
  <si>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</si>
  <si>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</si>
  <si>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</si>
  <si>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</si>
  <si>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</si>
  <si>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</si>
  <si>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</si>
  <si>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</si>
  <si>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</si>
  <si>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</si>
  <si>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</si>
  <si>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</si>
  <si>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</si>
  <si>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</si>
  <si>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</si>
  <si>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</si>
  <si>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</si>
  <si>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</si>
  <si>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</si>
  <si>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</si>
  <si>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</si>
  <si>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</si>
  <si>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</si>
  <si>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</si>
  <si>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</si>
  <si>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</si>
  <si>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</si>
  <si>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</si>
  <si>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</si>
  <si>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</si>
  <si>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</si>
  <si>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</si>
  <si>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</si>
  <si>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</si>
  <si>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</si>
  <si>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</si>
  <si>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</si>
  <si>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</si>
  <si>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</si>
  <si>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</si>
  <si>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</si>
  <si>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</si>
  <si>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</si>
  <si>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</si>
  <si>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</si>
  <si>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</si>
  <si>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</si>
  <si>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</si>
  <si>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</si>
  <si>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</si>
  <si>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</si>
  <si>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</si>
  <si>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</si>
  <si>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</si>
  <si>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</si>
  <si>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</si>
  <si>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</si>
  <si>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</si>
  <si>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</si>
  <si>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</si>
  <si>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</si>
  <si>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</si>
  <si>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</si>
  <si>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</si>
  <si>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</si>
  <si>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</si>
  <si>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</si>
  <si>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</si>
  <si>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</si>
  <si>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</si>
  <si>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</si>
  <si>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</si>
  <si>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</si>
  <si>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</si>
  <si>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</si>
  <si>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</si>
  <si>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</si>
  <si>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</si>
  <si>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</si>
  <si>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</si>
  <si>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</si>
  <si>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</si>
  <si>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</si>
  <si>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</si>
  <si>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</si>
  <si>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</si>
  <si>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</si>
  <si>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</si>
  <si>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</si>
  <si>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</si>
  <si>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</si>
  <si>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</si>
  <si>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</si>
  <si>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</si>
  <si>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</si>
  <si>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</si>
  <si>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</si>
  <si>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</si>
  <si>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</si>
  <si>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</si>
  <si>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</si>
  <si>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</si>
  <si>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</si>
  <si>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</si>
  <si>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</si>
  <si>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</si>
  <si>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</si>
  <si>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</si>
  <si>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</si>
  <si>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</si>
  <si>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</si>
  <si>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</si>
  <si>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</si>
  <si>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</si>
  <si>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</si>
  <si>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</si>
  <si>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</si>
  <si>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</si>
  <si>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</si>
  <si>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</si>
  <si>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</si>
  <si>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</si>
  <si>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</si>
  <si>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</si>
  <si>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</si>
  <si>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</si>
  <si>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</si>
  <si>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</si>
  <si>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</si>
  <si>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</si>
  <si>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</si>
  <si>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</si>
  <si>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</si>
  <si>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</si>
  <si>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</si>
  <si>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</si>
  <si>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</si>
  <si>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</si>
  <si>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</si>
  <si>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</si>
  <si>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</si>
  <si>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</si>
  <si>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</si>
  <si>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</si>
  <si>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</si>
  <si>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</si>
  <si>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</si>
  <si>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</si>
  <si>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</si>
  <si>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</si>
  <si>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</si>
  <si>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</si>
  <si>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</si>
  <si>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</si>
  <si>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</si>
  <si>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</si>
  <si>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</si>
  <si>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</si>
  <si>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</si>
  <si>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</si>
  <si>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</si>
  <si>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</si>
  <si>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</si>
  <si>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</si>
  <si>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</si>
  <si>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</si>
  <si>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</si>
  <si>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</si>
  <si>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</si>
  <si>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</si>
  <si>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</si>
  <si>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</si>
  <si>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</si>
  <si>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</si>
  <si>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</si>
  <si>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</si>
  <si>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</si>
  <si>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</si>
  <si>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</si>
  <si>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</si>
  <si>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</si>
  <si>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</si>
  <si>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</si>
  <si>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</si>
  <si>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</si>
  <si>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</si>
  <si>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</si>
  <si>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</si>
  <si>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</si>
  <si>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</si>
  <si>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</si>
  <si>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</si>
  <si>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</si>
  <si>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</si>
  <si>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</si>
  <si>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</si>
  <si>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</si>
  <si>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</si>
  <si>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</si>
  <si>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</si>
  <si>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</si>
  <si>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</si>
  <si>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</si>
  <si>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</si>
  <si>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</si>
  <si>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</si>
  <si>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</si>
  <si>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</si>
  <si>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</si>
  <si>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</si>
  <si>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</si>
  <si>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</si>
  <si>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</si>
  <si>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</si>
  <si>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</si>
  <si>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</si>
  <si>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</si>
  <si>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</si>
  <si>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</si>
  <si>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</si>
  <si>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</si>
  <si>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</si>
  <si>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</si>
  <si>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</si>
  <si>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</si>
  <si>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</si>
  <si>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</si>
  <si>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</si>
  <si>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</si>
  <si>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</si>
  <si>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</si>
  <si>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</si>
  <si>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</si>
  <si>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</si>
  <si>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</si>
  <si>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</si>
  <si>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</si>
  <si>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</si>
  <si>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</si>
  <si>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</si>
  <si>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</si>
  <si>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</si>
  <si>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</si>
  <si>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</si>
  <si>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</si>
  <si>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</si>
  <si>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</si>
  <si>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</si>
  <si>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</si>
  <si>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</si>
  <si>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</si>
  <si>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</si>
  <si>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</si>
  <si>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</si>
  <si>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</si>
  <si>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</si>
  <si>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</si>
  <si>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</si>
  <si>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</si>
  <si>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</si>
  <si>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</si>
  <si>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</si>
  <si>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</si>
  <si>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</si>
  <si>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</si>
  <si>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</si>
  <si>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</si>
  <si>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</si>
  <si>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</si>
  <si>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</si>
  <si>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</si>
  <si>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</si>
  <si>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</si>
  <si>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</si>
  <si>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</si>
  <si>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</si>
  <si>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</si>
  <si>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</si>
  <si>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</si>
  <si>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</si>
  <si>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</si>
  <si>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</si>
  <si>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</si>
  <si>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</si>
  <si>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</si>
  <si>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</si>
  <si>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</si>
  <si>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</si>
  <si>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</si>
  <si>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</si>
  <si>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</si>
  <si>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</si>
  <si>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</si>
  <si>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</si>
  <si>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</si>
  <si>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</si>
  <si>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</si>
  <si>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</si>
  <si>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</si>
  <si>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</si>
  <si>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</si>
  <si>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</si>
  <si>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</si>
  <si>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</si>
  <si>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</si>
  <si>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</si>
  <si>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</si>
  <si>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</si>
  <si>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</si>
  <si>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</si>
  <si>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</si>
  <si>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</si>
  <si>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</si>
  <si>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</si>
  <si>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</si>
  <si>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</si>
  <si>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</si>
  <si>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</si>
  <si>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</si>
  <si>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</si>
  <si>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</si>
  <si>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</si>
  <si>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</si>
  <si>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</si>
  <si>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</si>
  <si>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</si>
  <si>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</si>
  <si>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</si>
  <si>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</si>
  <si>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</si>
  <si>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</si>
  <si>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</si>
  <si>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</si>
  <si>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</si>
  <si>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</si>
  <si>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</si>
  <si>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</si>
  <si>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</si>
  <si>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</si>
  <si>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</si>
  <si>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</si>
  <si>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</si>
  <si>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</si>
  <si>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</si>
  <si>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</si>
  <si>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</si>
  <si>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</si>
  <si>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</si>
  <si>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</si>
  <si>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</si>
  <si>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</si>
  <si>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</si>
  <si>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</si>
  <si>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</si>
  <si>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</si>
  <si>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</si>
  <si>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</si>
  <si>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</si>
  <si>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</si>
  <si>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</si>
  <si>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</si>
  <si>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</si>
  <si>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</si>
  <si>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</si>
  <si>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</si>
  <si>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</si>
  <si>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</si>
  <si>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</si>
  <si>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</si>
  <si>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</si>
  <si>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</si>
  <si>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</si>
  <si>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</si>
  <si>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</si>
  <si>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</si>
  <si>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</si>
  <si>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</si>
  <si>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</si>
  <si>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</si>
  <si>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</si>
  <si>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</si>
  <si>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</si>
  <si>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</si>
  <si>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</si>
  <si>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</si>
  <si>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</si>
  <si>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</si>
  <si>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</si>
  <si>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</si>
  <si>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</si>
  <si>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</si>
  <si>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</si>
  <si>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</si>
  <si>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</si>
  <si>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</si>
  <si>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</si>
  <si>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</si>
  <si>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</si>
  <si>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</si>
  <si>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</si>
  <si>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</si>
  <si>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</si>
  <si>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</si>
  <si>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</si>
  <si>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</si>
  <si>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</si>
  <si>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</si>
  <si>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</si>
  <si>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</si>
  <si>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</si>
  <si>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</si>
  <si>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</si>
  <si>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</si>
  <si>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</si>
  <si>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</si>
  <si>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</si>
  <si>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</si>
  <si>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</si>
  <si>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</si>
  <si>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</si>
  <si>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</si>
  <si>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</si>
  <si>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</si>
  <si>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</si>
  <si>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</si>
  <si>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</si>
  <si>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</si>
  <si>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</si>
  <si>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</si>
  <si>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</si>
  <si>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</si>
  <si>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</si>
  <si>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</si>
  <si>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</si>
  <si>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</si>
  <si>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</si>
  <si>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</si>
  <si>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</si>
  <si>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</si>
  <si>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</si>
  <si>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</si>
  <si>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</si>
  <si>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</si>
  <si>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</si>
  <si>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</si>
  <si>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</si>
  <si>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</si>
  <si>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</si>
  <si>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</si>
  <si>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</si>
  <si>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</si>
  <si>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</si>
  <si>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</si>
  <si>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</si>
  <si>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</si>
  <si>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</si>
  <si>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</si>
  <si>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</si>
  <si>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</si>
  <si>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</si>
  <si>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</si>
  <si>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</si>
  <si>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</si>
  <si>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</si>
  <si>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</si>
  <si>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</si>
  <si>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</si>
  <si>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</si>
  <si>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</si>
  <si>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</si>
  <si>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</si>
  <si>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</si>
  <si>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</si>
  <si>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</si>
  <si>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</si>
  <si>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</si>
  <si>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</si>
  <si>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</si>
  <si>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</si>
  <si>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</si>
  <si>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</si>
  <si>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</si>
  <si>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</si>
  <si>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</si>
  <si>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</si>
  <si>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</si>
  <si>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</si>
  <si>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</si>
  <si>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</si>
  <si>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</si>
  <si>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</si>
  <si>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</si>
  <si>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</si>
  <si>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</si>
  <si>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</si>
  <si>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</si>
  <si>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</si>
  <si>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</si>
  <si>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</si>
  <si>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</si>
  <si>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</si>
  <si>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</si>
  <si>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</si>
  <si>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</si>
  <si>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</si>
  <si>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</si>
  <si>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</si>
  <si>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</si>
  <si>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</si>
  <si>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</si>
  <si>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</si>
  <si>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</si>
  <si>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</si>
  <si>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</si>
  <si>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</si>
  <si>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</si>
  <si>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</si>
  <si>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</si>
  <si>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</si>
  <si>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</si>
  <si>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</si>
  <si>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</si>
  <si>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</si>
  <si>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</si>
  <si>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</si>
  <si>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</si>
  <si>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</si>
  <si>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</si>
  <si>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</si>
  <si>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</si>
  <si>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</si>
  <si>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</si>
  <si>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</si>
  <si>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</si>
  <si>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</si>
  <si>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</si>
  <si>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</si>
  <si>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</si>
  <si>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</si>
  <si>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</si>
  <si>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</si>
  <si>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</si>
  <si>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</si>
  <si>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</si>
  <si>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</si>
  <si>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</si>
  <si>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</si>
  <si>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</si>
  <si>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</si>
  <si>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</si>
  <si>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</si>
  <si>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</si>
  <si>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</si>
  <si>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</si>
  <si>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</si>
  <si>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</si>
  <si>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</si>
  <si>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</si>
  <si>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</si>
  <si>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</si>
  <si>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</si>
  <si>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</si>
  <si>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</si>
  <si>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</si>
  <si>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</si>
  <si>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</si>
  <si>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</si>
  <si>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</si>
  <si>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</si>
  <si>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</si>
  <si>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</si>
  <si>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</si>
  <si>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</si>
  <si>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</si>
  <si>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</si>
  <si>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</si>
  <si>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</si>
  <si>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</si>
  <si>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</si>
  <si>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</si>
  <si>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</si>
  <si>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</si>
  <si>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</si>
  <si>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</si>
  <si>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</si>
  <si>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</si>
  <si>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</si>
  <si>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</si>
  <si>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</si>
  <si>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</si>
  <si>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</si>
  <si>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</si>
  <si>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</si>
  <si>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</si>
  <si>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</si>
  <si>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</si>
  <si>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</si>
  <si>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</si>
  <si>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</si>
  <si>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</si>
  <si>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</si>
  <si>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</si>
  <si>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</si>
  <si>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</si>
  <si>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</si>
  <si>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</si>
  <si>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</si>
  <si>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</si>
  <si>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</si>
  <si>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</si>
  <si>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</si>
  <si>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</si>
  <si>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</si>
  <si>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</si>
  <si>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</si>
  <si>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</si>
  <si>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</si>
  <si>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</si>
  <si>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</si>
  <si>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</si>
  <si>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</si>
  <si>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</si>
  <si>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</si>
  <si>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</si>
  <si>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</si>
  <si>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</si>
  <si>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</si>
  <si>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</si>
  <si>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</si>
  <si>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</si>
  <si>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</si>
  <si>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</si>
  <si>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</si>
  <si>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</si>
  <si>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</si>
  <si>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</si>
  <si>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</si>
  <si>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</si>
  <si>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</si>
  <si>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</si>
  <si>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</si>
  <si>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</si>
  <si>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</si>
  <si>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</si>
  <si>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</si>
  <si>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</si>
  <si>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</si>
  <si>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</si>
  <si>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</si>
  <si>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</si>
  <si>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</si>
  <si>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</si>
  <si>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</si>
  <si>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</si>
  <si>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</si>
  <si>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</si>
  <si>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</si>
  <si>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</si>
  <si>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</si>
  <si>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</si>
  <si>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</si>
  <si>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</si>
  <si>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</si>
  <si>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</si>
  <si>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</si>
  <si>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</si>
  <si>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</si>
  <si>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</si>
  <si>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</si>
  <si>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</si>
  <si>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</si>
  <si>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</si>
  <si>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</si>
  <si>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</si>
  <si>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</si>
  <si>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</si>
  <si>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</si>
  <si>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</si>
  <si>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</si>
  <si>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</si>
  <si>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</si>
  <si>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</si>
  <si>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</si>
  <si>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</si>
  <si>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</si>
  <si>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</si>
  <si>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</si>
  <si>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</si>
  <si>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</si>
  <si>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</si>
  <si>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</si>
  <si>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</si>
  <si>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</si>
  <si>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</si>
  <si>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</si>
  <si>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</si>
  <si>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</si>
  <si>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</si>
  <si>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</si>
  <si>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</si>
  <si>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</si>
  <si>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</si>
  <si>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</si>
  <si>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</si>
  <si>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</si>
  <si>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</si>
  <si>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</si>
  <si>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</si>
  <si>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</si>
  <si>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</si>
  <si>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</si>
  <si>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</si>
  <si>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</si>
  <si>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</si>
  <si>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</si>
  <si>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</si>
  <si>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</si>
  <si>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</si>
  <si>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</si>
  <si>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</si>
  <si>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</si>
  <si>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</si>
  <si>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</si>
  <si>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</si>
  <si>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</si>
  <si>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</si>
  <si>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</si>
  <si>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</si>
  <si>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</si>
  <si>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</si>
  <si>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</si>
  <si>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</si>
  <si>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</si>
  <si>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</si>
  <si>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</si>
  <si>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</si>
  <si>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</si>
  <si>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</si>
  <si>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</si>
  <si>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</si>
  <si>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</si>
  <si>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</si>
  <si>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</si>
  <si>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</si>
  <si>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</si>
  <si>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</si>
  <si>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</si>
  <si>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</si>
  <si>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</si>
  <si>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</si>
  <si>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</si>
  <si>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</si>
  <si>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</si>
  <si>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</si>
  <si>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</si>
  <si>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</si>
  <si>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</si>
  <si>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</si>
  <si>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</si>
  <si>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</si>
  <si>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</si>
  <si>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</si>
  <si>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</si>
  <si>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</si>
  <si>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</si>
  <si>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</si>
  <si>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</si>
  <si>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</si>
  <si>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</si>
  <si>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</si>
  <si>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</si>
  <si>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</si>
  <si>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</si>
  <si>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</si>
  <si>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</si>
  <si>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</si>
  <si>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</si>
  <si>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</si>
  <si>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</si>
  <si>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</si>
  <si>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</si>
  <si>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</si>
  <si>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</si>
  <si>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</si>
  <si>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</si>
  <si>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</si>
  <si>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</si>
  <si>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</si>
  <si>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</si>
  <si>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</si>
  <si>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</si>
  <si>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</si>
  <si>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</si>
  <si>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</si>
  <si>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</si>
  <si>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</si>
  <si>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</si>
  <si>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</si>
  <si>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</si>
  <si>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</si>
  <si>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</si>
  <si>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</si>
  <si>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</si>
  <si>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</si>
  <si>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</si>
  <si>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</si>
  <si>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</si>
  <si>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</si>
  <si>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</si>
  <si>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</si>
  <si>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</si>
  <si>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</si>
  <si>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</si>
  <si>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</si>
  <si>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</si>
  <si>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</si>
  <si>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</si>
  <si>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</si>
  <si>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</si>
  <si>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</si>
  <si>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</si>
  <si>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</si>
  <si>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</si>
  <si>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</si>
  <si>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</si>
  <si>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</si>
  <si>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</si>
  <si>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</si>
  <si>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</si>
  <si>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</si>
  <si>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</si>
  <si>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</si>
  <si>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</si>
  <si>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</si>
  <si>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</si>
  <si>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</si>
  <si>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</si>
  <si>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</si>
  <si>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</si>
  <si>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</si>
  <si>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</si>
  <si>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</si>
  <si>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</si>
  <si>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</si>
  <si>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</si>
  <si>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</si>
  <si>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</si>
  <si>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</si>
  <si>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</si>
  <si>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</si>
  <si>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</si>
  <si>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</si>
  <si>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</si>
  <si>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</si>
  <si>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</si>
  <si>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</si>
  <si>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</si>
  <si>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</si>
  <si>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</si>
  <si>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</si>
  <si>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</si>
  <si>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</si>
  <si>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</si>
  <si>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</si>
  <si>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</si>
  <si>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</si>
  <si>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</si>
  <si>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</si>
  <si>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</si>
  <si>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</si>
  <si>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</si>
  <si>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</si>
  <si>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</si>
  <si>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</si>
  <si>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</si>
  <si>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</si>
  <si>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</si>
  <si>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</si>
  <si>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</si>
  <si>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</si>
  <si>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</si>
  <si>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</si>
  <si>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</si>
  <si>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</si>
  <si>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</si>
  <si>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</si>
  <si>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</si>
  <si>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</si>
  <si>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</si>
  <si>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</si>
  <si>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</si>
  <si>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</si>
  <si>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</si>
  <si>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</si>
  <si>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</si>
  <si>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</si>
  <si>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</si>
  <si>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</si>
  <si>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</si>
  <si>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</si>
  <si>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</si>
  <si>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</si>
  <si>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</si>
  <si>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</si>
  <si>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</si>
  <si>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</si>
  <si>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</si>
  <si>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</si>
  <si>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</si>
  <si>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</si>
  <si>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</si>
  <si>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</si>
  <si>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</si>
  <si>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</si>
  <si>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</si>
  <si>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</si>
  <si>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</si>
  <si>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</si>
  <si>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</si>
  <si>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</si>
  <si>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</si>
  <si>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</si>
  <si>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</si>
  <si>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</si>
  <si>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</si>
  <si>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</si>
  <si>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</si>
  <si>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</si>
  <si>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</si>
  <si>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</si>
  <si>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</si>
  <si>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</si>
  <si>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</si>
  <si>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</si>
  <si>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</si>
  <si>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</si>
  <si>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</si>
  <si>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</si>
  <si>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</si>
  <si>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</si>
  <si>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</si>
  <si>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</si>
  <si>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</si>
  <si>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</si>
  <si>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</si>
  <si>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</si>
  <si>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</si>
  <si>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</si>
  <si>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</si>
  <si>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</si>
  <si>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</si>
  <si>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</si>
  <si>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</si>
  <si>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</si>
  <si>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</si>
  <si>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</si>
  <si>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</si>
  <si>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</si>
  <si>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</si>
  <si>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</si>
  <si>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</si>
  <si>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</si>
  <si>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</si>
  <si>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</si>
  <si>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</si>
  <si>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</si>
  <si>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</si>
  <si>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</si>
  <si>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</si>
  <si>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</si>
  <si>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</si>
  <si>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</si>
  <si>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</si>
  <si>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</si>
  <si>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</si>
  <si>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</si>
  <si>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</si>
  <si>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</si>
  <si>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</si>
  <si>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</si>
  <si>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</si>
  <si>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</si>
  <si>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</si>
  <si>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</si>
  <si>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</si>
  <si>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</si>
  <si>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</si>
  <si>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</si>
  <si>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</si>
  <si>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</si>
  <si>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</si>
  <si>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</si>
  <si>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</si>
  <si>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</si>
  <si>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</si>
  <si>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</si>
  <si>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</si>
  <si>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</si>
  <si>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</si>
  <si>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</si>
  <si>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</si>
  <si>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</si>
  <si>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</si>
  <si>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</si>
  <si>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</si>
  <si>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</si>
  <si>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</si>
  <si>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</si>
  <si>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</si>
  <si>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</si>
  <si>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</si>
  <si>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</si>
  <si>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</si>
  <si>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</si>
  <si>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</si>
  <si>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</si>
  <si>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</si>
  <si>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</si>
  <si>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</si>
  <si>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</si>
  <si>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</si>
  <si>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</si>
  <si>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</si>
  <si>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</si>
  <si>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</si>
  <si>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</si>
  <si>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</si>
  <si>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</si>
  <si>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</si>
  <si>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</si>
  <si>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</si>
  <si>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</si>
  <si>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</si>
  <si>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</si>
  <si>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</si>
  <si>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</si>
  <si>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</si>
  <si>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</si>
  <si>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</si>
  <si>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</si>
  <si>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</si>
  <si>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</si>
  <si>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</si>
  <si>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</si>
  <si>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</si>
  <si>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</si>
  <si>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</si>
  <si>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</si>
  <si>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</si>
  <si>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</si>
  <si>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</si>
  <si>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</si>
  <si>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</si>
  <si>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</si>
  <si>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</si>
  <si>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</si>
  <si>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</si>
  <si>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</si>
  <si>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</si>
  <si>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</si>
  <si>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</si>
  <si>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</si>
  <si>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</si>
  <si>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</si>
  <si>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</si>
  <si>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</si>
  <si>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</si>
  <si>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</si>
  <si>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</si>
  <si>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</si>
  <si>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</si>
  <si>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</si>
  <si>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</si>
  <si>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</si>
  <si>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</si>
  <si>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</si>
  <si>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</si>
  <si>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</si>
  <si>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</si>
  <si>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</si>
  <si>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</si>
  <si>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</si>
  <si>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</si>
  <si>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</si>
  <si>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</si>
  <si>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</si>
  <si>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</si>
  <si>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</si>
  <si>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</si>
  <si>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</si>
  <si>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</si>
  <si>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</si>
  <si>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</si>
  <si>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</si>
  <si>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</si>
  <si>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</si>
  <si>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</si>
  <si>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</si>
  <si>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</si>
  <si>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</si>
  <si>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</si>
  <si>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</si>
  <si>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</si>
  <si>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</si>
  <si>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</si>
  <si>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</si>
  <si>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</si>
  <si>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</si>
  <si>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</si>
  <si>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</si>
  <si>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</si>
  <si>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</si>
  <si>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</si>
  <si>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</si>
  <si>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</si>
  <si>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</si>
  <si>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</si>
  <si>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</si>
  <si>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</si>
  <si>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</si>
  <si>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</si>
  <si>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</si>
  <si>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</si>
  <si>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</si>
  <si>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</si>
  <si>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</si>
  <si>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</si>
  <si>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</si>
  <si>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</si>
  <si>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</si>
  <si>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</si>
  <si>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</si>
  <si>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</si>
  <si>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</si>
  <si>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</si>
  <si>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</si>
  <si>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</si>
  <si>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</si>
  <si>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</si>
  <si>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</si>
  <si>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</si>
  <si>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</si>
  <si>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</si>
  <si>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</si>
  <si>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</si>
  <si>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</si>
  <si>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</si>
  <si>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</si>
  <si>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</si>
  <si>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</si>
  <si>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</si>
  <si>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</si>
  <si>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</si>
  <si>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</si>
  <si>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</si>
  <si>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</si>
  <si>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</si>
  <si>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</si>
  <si>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</si>
  <si>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</si>
  <si>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</si>
  <si>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</si>
  <si>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</si>
  <si>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</si>
  <si>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</si>
  <si>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</si>
  <si>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</si>
  <si>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</si>
  <si>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</si>
  <si>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</si>
  <si>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</si>
  <si>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</si>
  <si>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</si>
  <si>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</si>
  <si>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</si>
  <si>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</si>
  <si>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</si>
  <si>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</si>
  <si>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</si>
  <si>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</si>
  <si>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</si>
  <si>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</si>
  <si>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</si>
  <si>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</si>
  <si>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</si>
  <si>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</si>
  <si>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</si>
  <si>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</si>
  <si>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</si>
  <si>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</si>
  <si>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</si>
  <si>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</si>
  <si>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</si>
  <si>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</si>
  <si>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</si>
  <si>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</si>
  <si>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</si>
  <si>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</si>
  <si>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</si>
  <si>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</si>
  <si>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</si>
  <si>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</si>
  <si>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</si>
  <si>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</si>
  <si>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</si>
  <si>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</si>
  <si>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</si>
  <si>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</si>
  <si>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</si>
  <si>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</si>
  <si>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</si>
  <si>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</si>
  <si>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</si>
  <si>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</si>
  <si>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</si>
  <si>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</si>
  <si>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</si>
  <si>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</si>
  <si>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</si>
  <si>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</si>
  <si>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</si>
  <si>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</si>
  <si>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</si>
  <si>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</si>
  <si>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</si>
  <si>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</si>
  <si>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</si>
  <si>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</si>
  <si>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</si>
  <si>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</si>
  <si>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</si>
  <si>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</si>
  <si>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</si>
  <si>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</si>
  <si>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</si>
  <si>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</si>
  <si>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</si>
  <si>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</si>
  <si>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</si>
  <si>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</si>
  <si>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</si>
  <si>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</si>
  <si>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</si>
  <si>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</si>
  <si>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</si>
  <si>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</si>
  <si>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</si>
  <si>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</si>
  <si>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</si>
  <si>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</si>
  <si>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</si>
  <si>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</si>
  <si>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</si>
  <si>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</si>
  <si>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</si>
  <si>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</si>
  <si>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</si>
  <si>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</si>
  <si>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</si>
  <si>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</si>
  <si>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</si>
  <si>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</si>
  <si>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</si>
  <si>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</si>
  <si>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</si>
  <si>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</si>
  <si>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</si>
  <si>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</si>
  <si>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</si>
  <si>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</si>
  <si>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</si>
  <si>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</si>
  <si>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</si>
  <si>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</si>
  <si>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</si>
  <si>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</si>
  <si>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</si>
  <si>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</si>
  <si>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</si>
  <si>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</si>
  <si>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</si>
  <si>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</si>
  <si>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</si>
  <si>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</si>
  <si>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</si>
  <si>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</si>
  <si>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</si>
  <si>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</si>
  <si>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</si>
  <si>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</si>
  <si>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</si>
  <si>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</si>
  <si>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</si>
  <si>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</si>
  <si>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</si>
  <si>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</si>
  <si>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</si>
  <si>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</si>
  <si>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</si>
  <si>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</si>
  <si>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</si>
  <si>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</si>
  <si>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</si>
  <si>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</si>
  <si>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</si>
  <si>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</si>
  <si>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</si>
  <si>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</si>
  <si>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</si>
  <si>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</si>
  <si>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</si>
  <si>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</si>
  <si>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</si>
  <si>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</si>
  <si>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</si>
  <si>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</si>
  <si>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</si>
  <si>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</si>
  <si>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</si>
  <si>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</si>
  <si>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</si>
  <si>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</si>
  <si>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</si>
  <si>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</si>
  <si>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</si>
  <si>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</si>
  <si>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</si>
  <si>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</si>
  <si>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</si>
  <si>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</si>
  <si>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</si>
  <si>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</si>
  <si>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</si>
  <si>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</si>
  <si>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</si>
  <si>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</si>
  <si>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</si>
  <si>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</si>
  <si>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</si>
  <si>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</si>
  <si>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</si>
  <si>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</si>
  <si>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</si>
  <si>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</si>
  <si>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</si>
  <si>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</si>
  <si>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</si>
  <si>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</si>
  <si>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</si>
  <si>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</si>
  <si>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</si>
  <si>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</si>
  <si>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</si>
  <si>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</si>
  <si>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</si>
  <si>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</si>
  <si>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</si>
  <si>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</si>
  <si>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</si>
  <si>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</si>
  <si>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</si>
  <si>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</si>
  <si>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</si>
  <si>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</si>
  <si>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</si>
  <si>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</si>
  <si>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</si>
  <si>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</si>
  <si>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</si>
  <si>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</si>
  <si>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</si>
  <si>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</si>
  <si>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</si>
  <si>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</si>
  <si>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</si>
  <si>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</si>
  <si>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</si>
  <si>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</si>
  <si>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</si>
  <si>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</si>
  <si>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</si>
  <si>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</si>
  <si>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</si>
  <si>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</si>
  <si>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</si>
  <si>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</si>
  <si>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</si>
  <si>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</si>
  <si>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</si>
  <si>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</si>
  <si>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</si>
  <si>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</si>
  <si>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</si>
  <si>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</si>
  <si>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</si>
  <si>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</si>
  <si>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</si>
  <si>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</si>
  <si>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</si>
  <si>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</si>
  <si>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</si>
  <si>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</si>
  <si>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</si>
  <si>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</si>
  <si>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</si>
  <si>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</si>
  <si>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</si>
  <si>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</si>
  <si>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</si>
  <si>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</si>
  <si>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</si>
  <si>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</si>
  <si>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</si>
  <si>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</si>
  <si>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</si>
  <si>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</si>
  <si>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</si>
  <si>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</si>
  <si>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</si>
  <si>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</si>
  <si>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</si>
  <si>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</si>
  <si>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</si>
  <si>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</si>
  <si>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</si>
  <si>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</si>
  <si>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</si>
  <si>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</si>
  <si>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</si>
  <si>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</si>
  <si>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</si>
  <si>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</si>
  <si>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</si>
  <si>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</si>
  <si>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</si>
  <si>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</si>
  <si>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</si>
  <si>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</si>
  <si>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</si>
  <si>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</si>
  <si>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</si>
  <si>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</si>
  <si>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</si>
  <si>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</si>
  <si>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</si>
  <si>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</si>
  <si>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</si>
  <si>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</si>
  <si>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</si>
  <si>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</si>
  <si>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</si>
  <si>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</si>
  <si>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</si>
  <si>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</si>
  <si>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</si>
  <si>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</si>
  <si>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</si>
  <si>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</si>
  <si>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</si>
  <si>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</si>
  <si>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</si>
  <si>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</si>
  <si>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</si>
  <si>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</si>
  <si>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</si>
  <si>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</si>
  <si>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</si>
  <si>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</si>
  <si>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</si>
  <si>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</si>
  <si>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</si>
  <si>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</si>
  <si>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</si>
  <si>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</si>
  <si>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</si>
  <si>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</si>
  <si>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</si>
  <si>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</si>
  <si>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</si>
  <si>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</si>
  <si>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</si>
  <si>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</si>
  <si>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</si>
  <si>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</si>
  <si>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</si>
  <si>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</si>
  <si>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</si>
  <si>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</si>
  <si>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</si>
  <si>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</si>
  <si>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</si>
  <si>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</si>
  <si>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</si>
  <si>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</si>
  <si>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</si>
  <si>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</si>
  <si>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</si>
  <si>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</si>
  <si>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</si>
  <si>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</si>
  <si>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</si>
  <si>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</si>
  <si>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</si>
  <si>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</si>
  <si>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</si>
  <si>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</si>
  <si>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</si>
  <si>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</si>
  <si>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</si>
  <si>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</si>
  <si>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</si>
  <si>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</si>
  <si>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</si>
  <si>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</si>
  <si>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</si>
  <si>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</si>
  <si>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</si>
  <si>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</si>
  <si>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</si>
  <si>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</si>
  <si>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</si>
  <si>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</si>
  <si>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</si>
  <si>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</si>
  <si>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</si>
  <si>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</si>
  <si>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</si>
  <si>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</si>
  <si>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</si>
  <si>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</si>
  <si>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</si>
  <si>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</si>
  <si>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</si>
  <si>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</si>
  <si>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</si>
  <si>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</si>
  <si>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</si>
  <si>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</si>
  <si>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</si>
  <si>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</si>
  <si>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</si>
  <si>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</si>
  <si>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</si>
  <si>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</si>
  <si>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</si>
  <si>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</si>
  <si>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</si>
  <si>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</si>
  <si>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</si>
  <si>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</si>
  <si>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</si>
  <si>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</si>
  <si>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</si>
  <si>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</si>
  <si>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</si>
  <si>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</si>
  <si>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</si>
  <si>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</si>
  <si>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</si>
  <si>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</si>
  <si>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</si>
  <si>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</si>
  <si>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</si>
  <si>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</si>
  <si>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</si>
  <si>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</si>
  <si>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</si>
  <si>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</si>
  <si>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</si>
  <si>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</si>
  <si>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</si>
  <si>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</si>
  <si>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</si>
  <si>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</si>
  <si>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</si>
  <si>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</si>
  <si>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</si>
  <si>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</si>
  <si>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</si>
  <si>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</si>
  <si>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</si>
  <si>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</si>
  <si>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</si>
  <si>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</si>
  <si>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</si>
  <si>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</si>
  <si>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</si>
  <si>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</si>
  <si>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</si>
  <si>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</si>
  <si>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</si>
  <si>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</si>
  <si>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</si>
  <si>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</si>
  <si>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</si>
  <si>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</si>
  <si>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</si>
  <si>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</si>
  <si>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</si>
  <si>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</si>
  <si>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</si>
  <si>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</si>
  <si>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</si>
  <si>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</si>
  <si>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</si>
  <si>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</si>
  <si>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</si>
  <si>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</si>
  <si>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</si>
  <si>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</si>
  <si>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</si>
  <si>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</si>
  <si>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</si>
  <si>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</si>
  <si>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</si>
  <si>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</si>
  <si>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</si>
  <si>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</si>
  <si>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</si>
  <si>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</si>
  <si>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</si>
  <si>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</si>
  <si>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</si>
  <si>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</si>
  <si>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</si>
  <si>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</si>
  <si>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</si>
  <si>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</si>
  <si>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</si>
  <si>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</si>
  <si>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</si>
  <si>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</si>
  <si>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</si>
  <si>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</si>
  <si>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</si>
  <si>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</si>
  <si>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</si>
  <si>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</si>
  <si>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</si>
  <si>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</si>
  <si>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</si>
  <si>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</si>
  <si>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</si>
  <si>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</si>
  <si>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</si>
  <si>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</si>
  <si>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</si>
  <si>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</si>
  <si>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</si>
  <si>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</si>
  <si>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</si>
  <si>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</si>
  <si>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</si>
  <si>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</si>
  <si>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</si>
  <si>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</si>
  <si>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</si>
  <si>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</si>
  <si>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</si>
  <si>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</si>
  <si>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</si>
  <si>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</si>
  <si>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</si>
  <si>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</si>
  <si>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</si>
  <si>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</si>
  <si>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</si>
  <si>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</si>
  <si>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</si>
  <si>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</si>
  <si>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</si>
  <si>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</si>
  <si>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</si>
  <si>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</si>
  <si>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</si>
  <si>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</si>
  <si>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</si>
  <si>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</si>
  <si>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</si>
  <si>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</si>
  <si>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</si>
  <si>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</si>
  <si>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</si>
  <si>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</si>
  <si>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</si>
  <si>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</si>
  <si>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</si>
  <si>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</si>
  <si>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</si>
  <si>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</si>
  <si>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</si>
  <si>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</si>
  <si>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</si>
  <si>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</si>
  <si>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</si>
  <si>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</si>
  <si>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</si>
  <si>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</si>
  <si>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</si>
  <si>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</si>
  <si>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</si>
  <si>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</si>
  <si>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</si>
  <si>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</si>
  <si>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</si>
  <si>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</si>
  <si>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</si>
  <si>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</si>
  <si>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</si>
  <si>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</si>
  <si>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</si>
  <si>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</si>
  <si>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</si>
  <si>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</si>
  <si>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</si>
  <si>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</si>
  <si>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</si>
  <si>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</si>
  <si>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</si>
  <si>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</si>
  <si>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</si>
  <si>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</si>
  <si>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</si>
  <si>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</si>
  <si>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</si>
  <si>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</si>
  <si>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</si>
  <si>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</si>
  <si>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</si>
  <si>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</si>
  <si>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</si>
  <si>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</si>
  <si>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</si>
  <si>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</si>
  <si>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</si>
  <si>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</si>
  <si>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</si>
  <si>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</si>
  <si>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</si>
  <si>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</si>
  <si>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</si>
  <si>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</si>
  <si>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</si>
  <si>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</si>
  <si>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</si>
  <si>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</si>
  <si>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</si>
  <si>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</si>
  <si>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</si>
  <si>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</si>
  <si>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</si>
  <si>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</si>
  <si>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</si>
  <si>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</si>
  <si>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</si>
  <si>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</si>
  <si>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</si>
  <si>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</si>
  <si>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</si>
  <si>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</si>
  <si>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</si>
  <si>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</si>
  <si>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</si>
  <si>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</si>
  <si>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</si>
  <si>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</si>
  <si>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</si>
  <si>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</si>
  <si>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</si>
  <si>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</si>
  <si>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</si>
  <si>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</si>
  <si>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</si>
  <si>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</si>
  <si>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</si>
  <si>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</si>
  <si>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</si>
  <si>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</si>
  <si>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</si>
  <si>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</si>
  <si>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</si>
  <si>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</si>
  <si>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</si>
  <si>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</si>
  <si>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</si>
  <si>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</si>
  <si>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</si>
  <si>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</si>
  <si>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</si>
  <si>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</si>
  <si>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</si>
  <si>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</si>
  <si>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</si>
  <si>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</si>
  <si>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</si>
  <si>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</si>
  <si>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</si>
  <si>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</si>
  <si>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</si>
  <si>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</si>
  <si>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</si>
  <si>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</si>
  <si>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</si>
  <si>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</si>
  <si>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</si>
  <si>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</si>
  <si>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</si>
  <si>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</si>
  <si>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</si>
  <si>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</si>
  <si>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</si>
  <si>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</si>
  <si>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</si>
  <si>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</si>
  <si>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</si>
  <si>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</si>
  <si>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</si>
  <si>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</si>
  <si>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</si>
  <si>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</si>
  <si>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</si>
  <si>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</si>
  <si>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</si>
  <si>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</si>
  <si>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</si>
  <si>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</si>
  <si>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</si>
  <si>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</si>
  <si>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</si>
  <si>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</si>
  <si>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</si>
  <si>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</si>
  <si>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</si>
  <si>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</si>
  <si>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</si>
  <si>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</si>
  <si>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</si>
  <si>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</si>
  <si>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</si>
  <si>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</si>
  <si>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</si>
  <si>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</si>
  <si>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</si>
  <si>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</si>
  <si>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</si>
  <si>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</si>
  <si>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</si>
  <si>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</si>
  <si>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</si>
  <si>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</si>
  <si>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</si>
  <si>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</si>
  <si>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</si>
  <si>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</si>
  <si>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</si>
  <si>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</si>
  <si>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</si>
  <si>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</si>
  <si>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</si>
  <si>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</si>
  <si>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</si>
  <si>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</si>
  <si>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</si>
  <si>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</si>
  <si>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</si>
  <si>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CLFF_VMCA$$$DE10TM4000 DE10 Customs/Duties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</si>
  <si>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</si>
  <si>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</si>
  <si>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</si>
  <si>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</si>
  <si>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</si>
  <si>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</si>
  <si>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</si>
  <si>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</si>
  <si>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</si>
  <si>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</si>
  <si>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</si>
  <si>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</si>
  <si>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</si>
  <si>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</si>
  <si>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</si>
  <si>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</si>
  <si>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</si>
  <si>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</si>
  <si>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</si>
  <si>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</si>
  <si>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</si>
  <si>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</si>
  <si>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</si>
  <si>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</si>
  <si>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</si>
  <si>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</si>
  <si>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</si>
  <si>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</si>
  <si>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</si>
  <si>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</si>
  <si>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</si>
  <si>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</si>
  <si>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</si>
  <si>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</si>
  <si>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</si>
  <si>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</si>
  <si>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</si>
  <si>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</si>
  <si>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</si>
  <si>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</si>
  <si>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</si>
  <si>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</si>
  <si>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</si>
  <si>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</si>
  <si>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</si>
  <si>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</si>
  <si>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</si>
  <si>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</si>
  <si>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</si>
  <si>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</si>
  <si>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</si>
  <si>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</si>
  <si>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</si>
  <si>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</si>
  <si>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</si>
  <si>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</si>
  <si>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</si>
  <si>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</si>
  <si>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</si>
  <si>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</si>
  <si>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</si>
  <si>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</si>
  <si>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</si>
  <si>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</si>
  <si>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</si>
  <si>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</si>
  <si>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</si>
  <si>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</si>
  <si>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</si>
  <si>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</si>
  <si>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</si>
  <si>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</si>
  <si>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</si>
  <si>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</si>
  <si>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</si>
  <si>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</si>
  <si>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</si>
  <si>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</si>
  <si>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</si>
  <si>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</si>
  <si>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</si>
  <si>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</si>
  <si>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</si>
  <si>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</si>
  <si>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</si>
  <si>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</si>
  <si>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</si>
  <si>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</si>
  <si>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</si>
  <si>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</si>
  <si>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</si>
  <si>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</si>
  <si>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</si>
  <si>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</si>
  <si>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</si>
  <si>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</si>
  <si>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</si>
  <si>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</si>
  <si>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</si>
  <si>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</si>
  <si>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</si>
  <si>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</si>
  <si>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</si>
  <si>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</si>
  <si>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</si>
  <si>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</si>
  <si>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</si>
  <si>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</si>
  <si>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</si>
  <si>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</si>
  <si>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</si>
  <si>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</si>
  <si>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</si>
  <si>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</si>
  <si>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</si>
  <si>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</si>
  <si>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</si>
  <si>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</si>
  <si>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</si>
  <si>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</si>
  <si>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</si>
  <si>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</si>
  <si>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</si>
  <si>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</si>
  <si>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</si>
  <si>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</si>
  <si>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</si>
  <si>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</si>
  <si>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</si>
  <si>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</si>
  <si>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</si>
  <si>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</si>
  <si>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</si>
  <si>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</si>
  <si>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</si>
  <si>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</si>
  <si>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</si>
  <si>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</si>
  <si>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</si>
  <si>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</si>
  <si>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</si>
  <si>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</si>
  <si>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</si>
  <si>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</si>
  <si>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</si>
  <si>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</si>
  <si>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</si>
  <si>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</si>
  <si>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</si>
  <si>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</si>
  <si>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</si>
  <si>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</si>
  <si>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</si>
  <si>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</si>
  <si>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</si>
  <si>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</si>
  <si>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</si>
  <si>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</si>
  <si>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</si>
  <si>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</si>
  <si>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</si>
  <si>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</si>
  <si>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</si>
  <si>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</si>
  <si>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</si>
  <si>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</si>
  <si>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</si>
  <si>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</si>
  <si>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</si>
  <si>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</si>
  <si>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</si>
  <si>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</si>
  <si>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</si>
  <si>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</si>
  <si>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</si>
  <si>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</si>
  <si>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</si>
  <si>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</si>
  <si>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</si>
  <si>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</si>
  <si>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</si>
  <si>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</si>
  <si>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</si>
  <si>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</si>
  <si>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</si>
  <si>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</si>
  <si>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L000010192</t>
  </si>
  <si>
    <t>L000013488</t>
  </si>
  <si>
    <t>L000012170</t>
  </si>
  <si>
    <t>L000009278</t>
  </si>
  <si>
    <t>L000013326</t>
  </si>
  <si>
    <t>L000006661</t>
  </si>
  <si>
    <t>L000006552</t>
  </si>
  <si>
    <t>L000013648</t>
  </si>
  <si>
    <t>L000012361</t>
  </si>
  <si>
    <t>L000013531</t>
  </si>
  <si>
    <t>L000006209</t>
  </si>
  <si>
    <t>L000013312</t>
  </si>
  <si>
    <t>L000005407</t>
  </si>
  <si>
    <t>L000008310</t>
  </si>
  <si>
    <t>DFLTPGCOH_DIV-31_001025</t>
  </si>
  <si>
    <t>DFLTPGCOH_BF-C2_001025</t>
  </si>
  <si>
    <t>LEAN_X310181DK5010000</t>
  </si>
  <si>
    <t>DFLTPGCOH_BF-V9_001759</t>
  </si>
  <si>
    <t>DFLTPGCOH_BF-52_001759</t>
  </si>
  <si>
    <t>DFLTPGCOH_SDV-ET1_001025</t>
  </si>
  <si>
    <t>DFLTPGCOH_BF-A5_001759</t>
  </si>
  <si>
    <t>DFLTPGCOH_BF-B3_001759</t>
  </si>
  <si>
    <t>DFLTPGCOH_T-01_001759</t>
  </si>
  <si>
    <t>DFLTPGCOH_T-01_001872</t>
  </si>
  <si>
    <t>LEAN_X310201DK5010000</t>
  </si>
  <si>
    <t>LEAN_X310201DK5013000</t>
  </si>
  <si>
    <t>LEAN_X310201DK5015000</t>
  </si>
  <si>
    <t>LEAN_X310201EE5015000</t>
  </si>
  <si>
    <t>LEAN_X310201FI5010000</t>
  </si>
  <si>
    <t>LEAN_X310201FI5013000</t>
  </si>
  <si>
    <t>LEAN_X310201LT5013000</t>
  </si>
  <si>
    <t>LEAN_X310201LT5015000</t>
  </si>
  <si>
    <t>LEAN_X310201LT5030000</t>
  </si>
  <si>
    <t>LEAN_X310201LV5030000</t>
  </si>
  <si>
    <t>LEAN_X310201SE5015000</t>
  </si>
  <si>
    <t>LEAN_X310301LV5010000</t>
  </si>
  <si>
    <t>LEAN_X310351LT5015000</t>
  </si>
  <si>
    <t>LEAN_X310401FI5010000</t>
  </si>
  <si>
    <t>LEAN_X310401NO5030000</t>
  </si>
  <si>
    <t>LEAN_X310401SE5010000</t>
  </si>
  <si>
    <t>LEAN_X310511DK5010000</t>
  </si>
  <si>
    <t>LEAN_X310511DK5015000</t>
  </si>
  <si>
    <t>LEAN_X310511EE5013000</t>
  </si>
  <si>
    <t>LEAN_X310511LT5013000</t>
  </si>
  <si>
    <t>LEAN_X310511LT5015000</t>
  </si>
  <si>
    <t>LEAN_X310511LT5030000</t>
  </si>
  <si>
    <t>LEAN_X310511LV5015000</t>
  </si>
  <si>
    <t>LEAN_X310511NO5010000</t>
  </si>
  <si>
    <t>LEAN_X310511NO5011000</t>
  </si>
  <si>
    <t>LEAN_X310511SE5010000</t>
  </si>
  <si>
    <t>LEAN_X310282CH7622000</t>
  </si>
  <si>
    <t>LEAN_X310132AT5023000</t>
  </si>
  <si>
    <t>LEAN_X310152AT5020000</t>
  </si>
  <si>
    <t>LEAN_X310152AT5021000</t>
  </si>
  <si>
    <t>LEAN_X310152AT5023000</t>
  </si>
  <si>
    <t>LEAN_X310201AT5013000</t>
  </si>
  <si>
    <t>LEAN_X310201CZ5011000</t>
  </si>
  <si>
    <t>LEAN_X310201CZ5013000</t>
  </si>
  <si>
    <t>LEAN_X310301CZ5011000</t>
  </si>
  <si>
    <t>LEAN_X310301CZ5013000</t>
  </si>
  <si>
    <t>LEAN_X310301CZ5015000</t>
  </si>
  <si>
    <t>LEAN_X310401AT5013000</t>
  </si>
  <si>
    <t>LEAN_X310401CZ5013000</t>
  </si>
  <si>
    <t>LEAN_X310511CZ5010000</t>
  </si>
  <si>
    <t>LEAN_X310511CZ5013000</t>
  </si>
  <si>
    <t>G000000391</t>
  </si>
  <si>
    <t>G000000919</t>
  </si>
  <si>
    <t>G000000920</t>
  </si>
  <si>
    <t>LEAN_X310101CZ5011000</t>
  </si>
  <si>
    <t>LEAN_X310102CZ5021000</t>
  </si>
  <si>
    <t>LEAN_X310102CZ5022000</t>
  </si>
  <si>
    <t>LEAN_X310202CZ5020000</t>
  </si>
  <si>
    <t>LEAN_X310202CZ5022000</t>
  </si>
  <si>
    <t>LEAN_X310202CZ5023000</t>
  </si>
  <si>
    <t>LEAN_X310302CZ5020000</t>
  </si>
  <si>
    <t>LEAN_X310322CZ5021000</t>
  </si>
  <si>
    <t>LEAN_X310331CZ5010000</t>
  </si>
  <si>
    <t>LEAN_X310332CZ5020000</t>
  </si>
  <si>
    <t>LEAN_X310332CZ5021000</t>
  </si>
  <si>
    <t>LEAN_X310402CZ5020000</t>
  </si>
  <si>
    <t>LEAN_X310402CZ5022000</t>
  </si>
  <si>
    <t>LEAN_X310501CZ5030000</t>
  </si>
  <si>
    <t>LEAN_X310512CZ5020000</t>
  </si>
  <si>
    <t>LEAN_X310512CZ5023000</t>
  </si>
  <si>
    <t>LEAN_X310513CZ5043000</t>
  </si>
  <si>
    <t>G000000725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</si>
</sst>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3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9.955085185182" createdVersion="7" refreshedVersion="7" minRefreshableVersion="3" recordCount="3630" xr:uid="{11839AE3-6158-4318-87AD-2C711D0BF451}">
  <cacheSource type="worksheet">
    <worksheetSource name="Proc"/>
  </cacheSource>
  <cacheFields count="19">
    <cacheField name="App" numFmtId="0">
      <sharedItems containsBlank="1" count="152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8-2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7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7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3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3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3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3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3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1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6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4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3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3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3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3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3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3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3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2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2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2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2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2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2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2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0"/>
    <n v="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0"/>
    <n v="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0"/>
    <n v="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0"/>
    <n v="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0"/>
    <n v="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0"/>
    <n v="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0"/>
    <n v="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0"/>
    <n v="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0"/>
    <n v="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0"/>
    <n v="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0"/>
    <n v="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0"/>
    <n v="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0"/>
    <n v="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0"/>
    <n v="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0"/>
    <n v="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0"/>
    <n v="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0"/>
    <n v="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0"/>
    <n v="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0"/>
    <n v="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0"/>
    <n v="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0"/>
    <n v="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0"/>
    <n v="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0"/>
    <n v="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0"/>
    <n v="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0"/>
    <n v="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0"/>
    <n v="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0"/>
    <n v="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0"/>
    <n v="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0"/>
    <n v="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0"/>
    <n v="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0"/>
    <n v="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0"/>
    <n v="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0"/>
    <n v="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0"/>
    <n v="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0"/>
    <n v="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0"/>
    <n v="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0"/>
    <n v="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0"/>
    <n v="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0"/>
    <n v="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0"/>
    <n v="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0"/>
    <n v="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0"/>
    <n v="2"/>
    <s v="Roselle Delos Angeles"/>
    <m/>
  </r>
  <r>
    <x v="335"/>
    <x v="1"/>
    <x v="5"/>
    <s v="CLFF_1000$$$TW03TATA02"/>
    <s v="P000000808"/>
    <s v="DFLTPGCOH_002132"/>
    <s v="LFF (MDG-F)"/>
    <s v="TW03TATA02"/>
    <m/>
    <b v="0"/>
    <x v="3"/>
    <x v="3"/>
    <d v="2025-08-18T00:00:00"/>
    <m/>
    <m/>
    <x v="0"/>
    <n v="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0"/>
    <n v="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0"/>
    <n v="1"/>
    <s v="Ruby Grace Garcia"/>
    <m/>
  </r>
  <r>
    <x v="339"/>
    <x v="1"/>
    <x v="5"/>
    <s v="CEMERAL_70007102171436"/>
    <s v="L000012407"/>
    <s v="L000011664"/>
    <s v="Non-LFF"/>
    <s v=""/>
    <m/>
    <b v="0"/>
    <x v="2"/>
    <x v="3"/>
    <d v="2025-08-19T00:00:00"/>
    <m/>
    <m/>
    <x v="0"/>
    <n v="1"/>
    <s v="Lakshmi Shree"/>
    <m/>
  </r>
  <r>
    <x v="340"/>
    <x v="1"/>
    <x v="5"/>
    <s v="CSCALA_1248$PSDO "/>
    <s v="L000013858"/>
    <s v="DFLTPGCOH_DIV-63_001248"/>
    <s v="Non-LFF"/>
    <s v=""/>
    <m/>
    <b v="0"/>
    <x v="2"/>
    <x v="3"/>
    <d v="2025-08-19T00:00:00"/>
    <m/>
    <m/>
    <x v="0"/>
    <n v="1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523">
        <item m="1" x="907"/>
        <item x="0"/>
        <item m="1" x="977"/>
        <item m="1" x="1398"/>
        <item m="1" x="560"/>
        <item m="1" x="1415"/>
        <item m="1" x="937"/>
        <item m="1" x="1027"/>
        <item m="1" x="1448"/>
        <item m="1" x="1242"/>
        <item m="1" x="930"/>
        <item m="1" x="1514"/>
        <item m="1" x="1260"/>
        <item m="1" x="1504"/>
        <item m="1" x="878"/>
        <item m="1" x="779"/>
        <item m="1" x="483"/>
        <item m="1" x="744"/>
        <item m="1" x="1468"/>
        <item m="1" x="536"/>
        <item m="1" x="844"/>
        <item m="1" x="1212"/>
        <item m="1" x="927"/>
        <item m="1" x="1020"/>
        <item m="1" x="1316"/>
        <item m="1" x="1501"/>
        <item m="1" x="962"/>
        <item m="1" x="984"/>
        <item m="1" x="749"/>
        <item m="1" x="1150"/>
        <item m="1" x="909"/>
        <item m="1" x="1455"/>
        <item m="1" x="1112"/>
        <item m="1" x="545"/>
        <item m="1" x="653"/>
        <item m="1" x="1440"/>
        <item m="1" x="1204"/>
        <item m="1" x="458"/>
        <item m="1" x="1290"/>
        <item m="1" x="956"/>
        <item m="1" x="1251"/>
        <item m="1" x="837"/>
        <item m="1" x="1189"/>
        <item m="1" x="448"/>
        <item m="1" x="478"/>
        <item m="1" x="1517"/>
        <item m="1" x="1196"/>
        <item m="1" x="1264"/>
        <item m="1" x="1371"/>
        <item m="1" x="1140"/>
        <item m="1" x="1238"/>
        <item m="1" x="1077"/>
        <item m="1" x="532"/>
        <item m="1" x="723"/>
        <item m="1" x="1499"/>
        <item m="1" x="1067"/>
        <item m="1" x="1207"/>
        <item m="1" x="735"/>
        <item m="1" x="696"/>
        <item m="1" x="988"/>
        <item m="1" x="880"/>
        <item m="1" x="913"/>
        <item m="1" x="472"/>
        <item m="1" x="611"/>
        <item m="1" x="1273"/>
        <item m="1" x="1490"/>
        <item m="1" x="676"/>
        <item m="1" x="1081"/>
        <item m="1" x="1091"/>
        <item m="1" x="1268"/>
        <item m="1" x="1378"/>
        <item m="1" x="1256"/>
        <item m="1" x="551"/>
        <item m="1" x="1399"/>
        <item m="1" x="1129"/>
        <item m="1" x="1116"/>
        <item m="1" x="651"/>
        <item m="1" x="1004"/>
        <item m="1" x="1351"/>
        <item m="1" x="469"/>
        <item m="1" x="1048"/>
        <item m="1" x="1401"/>
        <item m="1" x="1239"/>
        <item m="1" x="974"/>
        <item m="1" x="1016"/>
        <item m="1" x="897"/>
        <item m="1" x="1132"/>
        <item m="1" x="944"/>
        <item m="1" x="1176"/>
        <item m="1" x="660"/>
        <item m="1" x="1489"/>
        <item m="1" x="1014"/>
        <item m="1" x="1300"/>
        <item m="1" x="377"/>
        <item m="1" x="1505"/>
        <item m="1" x="1041"/>
        <item m="1" x="1330"/>
        <item m="1" x="1243"/>
        <item m="1" x="1021"/>
        <item m="1" x="531"/>
        <item m="1" x="538"/>
        <item m="1" x="578"/>
        <item m="1" x="760"/>
        <item m="1" x="1184"/>
        <item m="1" x="945"/>
        <item m="1" x="1061"/>
        <item m="1" x="1124"/>
        <item m="1" x="1271"/>
        <item m="1" x="1354"/>
        <item m="1" x="916"/>
        <item m="1" x="637"/>
        <item m="1" x="480"/>
        <item m="1" x="623"/>
        <item m="1" x="1498"/>
        <item m="1" x="655"/>
        <item m="1" x="1336"/>
        <item m="1" x="1265"/>
        <item m="1" x="883"/>
        <item m="1" x="955"/>
        <item m="1" x="821"/>
        <item m="1" x="1078"/>
        <item m="1" x="1453"/>
        <item m="1" x="629"/>
        <item m="1" x="577"/>
        <item m="1" x="512"/>
        <item m="1" x="1178"/>
        <item m="1" x="1438"/>
        <item m="1" x="1366"/>
        <item m="1" x="1023"/>
        <item m="1" x="547"/>
        <item m="1" x="1272"/>
        <item m="1" x="724"/>
        <item m="1" x="978"/>
        <item m="1" x="1153"/>
        <item m="1" x="1261"/>
        <item m="1" x="381"/>
        <item m="1" x="1210"/>
        <item m="1" x="1173"/>
        <item m="1" x="614"/>
        <item m="1" x="1062"/>
        <item m="1" x="950"/>
        <item m="1" x="903"/>
        <item m="1" x="636"/>
        <item m="1" x="572"/>
        <item m="1" x="812"/>
        <item m="1" x="999"/>
        <item m="1" x="406"/>
        <item m="1" x="745"/>
        <item m="1" x="604"/>
        <item m="1" x="346"/>
        <item m="1" x="856"/>
        <item m="1" x="1057"/>
        <item m="1" x="939"/>
        <item m="1" x="985"/>
        <item m="1" x="1304"/>
        <item m="1" x="886"/>
        <item m="1" x="1412"/>
        <item m="1" x="1136"/>
        <item m="1" x="1075"/>
        <item m="1" x="589"/>
        <item m="1" x="1222"/>
        <item m="1" x="1500"/>
        <item m="1" x="1188"/>
        <item m="1" x="1172"/>
        <item m="1" x="459"/>
        <item m="1" x="507"/>
        <item m="1" x="1042"/>
        <item m="1" x="548"/>
        <item m="1" x="1485"/>
        <item m="1" x="1151"/>
        <item m="1" x="1076"/>
        <item m="1" x="1028"/>
        <item m="1" x="829"/>
        <item m="1" x="457"/>
        <item m="1" x="557"/>
        <item m="1" x="663"/>
        <item m="1" x="1396"/>
        <item m="1" x="1428"/>
        <item m="1" x="1127"/>
        <item m="1" x="854"/>
        <item m="1" x="942"/>
        <item m="1" x="452"/>
        <item m="1" x="492"/>
        <item m="1" x="831"/>
        <item m="1" x="1056"/>
        <item m="1" x="969"/>
        <item m="1" x="627"/>
        <item m="1" x="860"/>
        <item m="1" x="574"/>
        <item m="1" x="769"/>
        <item m="1" x="691"/>
        <item m="1" x="526"/>
        <item m="1" x="662"/>
        <item m="1" x="1032"/>
        <item m="1" x="442"/>
        <item m="1" x="681"/>
        <item m="1" x="473"/>
        <item m="1" x="1166"/>
        <item m="1" x="1355"/>
        <item m="1" x="965"/>
        <item m="1" x="609"/>
        <item m="1" x="1259"/>
        <item m="1" x="1104"/>
        <item m="1" x="621"/>
        <item m="1" x="622"/>
        <item m="1" x="807"/>
        <item m="1" x="497"/>
        <item m="1" x="686"/>
        <item m="1" x="481"/>
        <item m="1" x="667"/>
        <item m="1" x="1235"/>
        <item m="1" x="746"/>
        <item m="1" x="1113"/>
        <item m="1" x="1163"/>
        <item m="1" x="1297"/>
        <item m="1" x="1301"/>
        <item m="1" x="1018"/>
        <item m="1" x="859"/>
        <item m="1" x="898"/>
        <item m="1" x="1465"/>
        <item m="1" x="758"/>
        <item m="1" x="570"/>
        <item m="1" x="948"/>
        <item m="1" x="405"/>
        <item m="1" x="1469"/>
        <item m="1" x="932"/>
        <item m="1" x="366"/>
        <item m="1" x="1387"/>
        <item m="1" x="1430"/>
        <item m="1" x="1267"/>
        <item m="1" x="644"/>
        <item m="1" x="383"/>
        <item m="1" x="1317"/>
        <item m="1" x="708"/>
        <item m="1" x="344"/>
        <item m="1" x="1488"/>
        <item m="1" x="732"/>
        <item m="1" x="887"/>
        <item m="1" x="1332"/>
        <item m="1" x="419"/>
        <item m="1" x="1244"/>
        <item m="1" x="1052"/>
        <item m="1" x="917"/>
        <item m="1" x="787"/>
        <item m="1" x="534"/>
        <item m="1" x="1035"/>
        <item m="1" x="737"/>
        <item m="1" x="1275"/>
        <item m="1" x="597"/>
        <item m="1" x="1345"/>
        <item m="1" x="1352"/>
        <item m="1" x="1036"/>
        <item m="1" x="1226"/>
        <item m="1" x="643"/>
        <item m="1" x="940"/>
        <item m="1" x="1229"/>
        <item m="1" x="813"/>
        <item m="1" x="1103"/>
        <item m="1" x="742"/>
        <item m="1" x="527"/>
        <item m="1" x="731"/>
        <item m="1" x="1497"/>
        <item m="1" x="1439"/>
        <item m="1" x="584"/>
        <item m="1" x="1385"/>
        <item m="1" x="391"/>
        <item m="1" x="1407"/>
        <item m="1" x="426"/>
        <item m="1" x="728"/>
        <item m="1" x="826"/>
        <item m="1" x="773"/>
        <item m="1" x="1380"/>
        <item m="1" x="1283"/>
        <item m="1" x="524"/>
        <item m="1" x="1094"/>
        <item m="1" x="1302"/>
        <item m="1" x="1436"/>
        <item m="1" x="1343"/>
        <item m="1" x="429"/>
        <item m="1" x="1509"/>
        <item m="1" x="580"/>
        <item m="1" x="861"/>
        <item m="1" x="1305"/>
        <item m="1" x="428"/>
        <item m="1" x="1364"/>
        <item m="1" x="593"/>
        <item m="1" x="1237"/>
        <item m="1" x="1101"/>
        <item m="1" x="1079"/>
        <item m="1" x="658"/>
        <item m="1" x="620"/>
        <item m="1" x="1432"/>
        <item m="1" x="373"/>
        <item m="1" x="555"/>
        <item m="1" x="1214"/>
        <item m="1" x="1325"/>
        <item m="1" x="1252"/>
        <item m="1" x="1456"/>
        <item m="1" x="960"/>
        <item m="1" x="587"/>
        <item m="1" x="707"/>
        <item m="1" x="1026"/>
        <item m="1" x="768"/>
        <item m="1" x="1096"/>
        <item m="1" x="709"/>
        <item m="1" x="511"/>
        <item m="1" x="1164"/>
        <item m="1" x="566"/>
        <item m="1" x="446"/>
        <item m="1" x="1298"/>
        <item m="1" x="1445"/>
        <item m="1" x="1146"/>
        <item m="1" x="411"/>
        <item m="1" x="1337"/>
        <item m="1" x="1135"/>
        <item m="1" x="1245"/>
        <item m="1" x="1384"/>
        <item m="1" x="612"/>
        <item m="1" x="804"/>
        <item m="1" x="642"/>
        <item m="1" x="910"/>
        <item m="1" x="834"/>
        <item m="1" x="864"/>
        <item m="1" x="1400"/>
        <item m="1" x="846"/>
        <item m="1" x="1049"/>
        <item m="1" x="581"/>
        <item m="1" x="780"/>
        <item m="1" x="754"/>
        <item m="1" x="1097"/>
        <item m="1" x="1000"/>
        <item m="1" x="1228"/>
        <item m="1" x="750"/>
        <item m="1" x="1386"/>
        <item m="1" x="588"/>
        <item m="1" x="514"/>
        <item m="1" x="770"/>
        <item m="1" x="1311"/>
        <item m="1" x="421"/>
        <item m="1" x="422"/>
        <item m="1" x="718"/>
        <item m="1" x="1391"/>
        <item m="1" x="785"/>
        <item m="1" x="430"/>
        <item m="1" x="590"/>
        <item m="1" x="832"/>
        <item m="1" x="1143"/>
        <item m="1" x="1115"/>
        <item m="1" x="786"/>
        <item m="1" x="367"/>
        <item m="1" x="505"/>
        <item m="1" x="717"/>
        <item m="1" x="605"/>
        <item m="1" x="362"/>
        <item m="1" x="1315"/>
        <item m="1" x="1444"/>
        <item m="1" x="914"/>
        <item m="1" x="1344"/>
        <item m="1" x="1404"/>
        <item m="1" x="427"/>
        <item m="1" x="1442"/>
        <item m="1" x="1180"/>
        <item m="1" x="603"/>
        <item m="1" x="789"/>
        <item m="1" x="693"/>
        <item m="1" x="1055"/>
        <item m="1" x="626"/>
        <item m="1" x="842"/>
        <item m="1" x="1137"/>
        <item m="1" x="1262"/>
        <item m="1" x="765"/>
        <item m="1" x="893"/>
        <item m="1" x="705"/>
        <item m="1" x="631"/>
        <item m="1" x="1142"/>
        <item m="1" x="1257"/>
        <item m="1" x="1419"/>
        <item m="1" x="461"/>
        <item m="1" x="665"/>
        <item m="1" x="1105"/>
        <item m="1" x="506"/>
        <item m="1" x="793"/>
        <item m="1" x="1174"/>
        <item m="1" x="439"/>
        <item m="1" x="649"/>
        <item m="1" x="759"/>
        <item m="1" x="1365"/>
        <item m="1" x="598"/>
        <item m="1" x="868"/>
        <item m="1" x="1421"/>
        <item m="1" x="549"/>
        <item m="1" x="738"/>
        <item m="1" x="926"/>
        <item m="1" x="1263"/>
        <item m="1" x="561"/>
        <item m="1" x="817"/>
        <item m="1" x="659"/>
        <item m="1" x="1155"/>
        <item m="1" x="1341"/>
        <item m="1" x="467"/>
        <item m="1" x="687"/>
        <item m="1" x="1423"/>
        <item m="1" x="1388"/>
        <item m="1" x="488"/>
        <item m="1" x="805"/>
        <item m="1" x="1329"/>
        <item m="1" x="1460"/>
        <item m="1" x="1331"/>
        <item m="1" x="1306"/>
        <item m="1" x="437"/>
        <item m="1" x="613"/>
        <item m="1" x="695"/>
        <item m="1" x="684"/>
        <item m="1" x="911"/>
        <item m="1" x="399"/>
        <item m="1" x="1098"/>
        <item m="1" x="1169"/>
        <item m="1" x="351"/>
        <item m="1" x="1429"/>
        <item m="1" x="1291"/>
        <item m="1" x="1420"/>
        <item m="1" x="1450"/>
        <item m="1" x="1486"/>
        <item m="1" x="1424"/>
        <item m="1" x="788"/>
        <item m="1" x="1148"/>
        <item m="1" x="755"/>
        <item m="1" x="1161"/>
        <item m="1" x="1126"/>
        <item m="1" x="564"/>
        <item m="1" x="602"/>
        <item m="1" x="740"/>
        <item m="1" x="1205"/>
        <item m="1" x="725"/>
        <item m="1" x="471"/>
        <item m="1" x="1470"/>
        <item m="1" x="1220"/>
        <item m="1" x="1053"/>
        <item m="1" x="1085"/>
        <item m="1" x="1134"/>
        <item m="1" x="559"/>
        <item m="1" x="901"/>
        <item m="1" x="1246"/>
        <item m="1" x="397"/>
        <item m="1" x="640"/>
        <item m="1" x="540"/>
        <item m="1" x="537"/>
        <item m="1" x="541"/>
        <item m="1" x="342"/>
        <item m="1" x="563"/>
        <item m="1" x="1360"/>
        <item m="1" x="364"/>
        <item m="1" x="1010"/>
        <item m="1" x="1447"/>
        <item m="1" x="1258"/>
        <item m="1" x="518"/>
        <item m="1" x="1518"/>
        <item m="1" x="447"/>
        <item m="1" x="814"/>
        <item m="1" x="1037"/>
        <item m="1" x="493"/>
        <item m="1" x="946"/>
        <item m="1" x="1106"/>
        <item m="1" x="1374"/>
        <item m="1" x="1276"/>
        <item m="1" x="355"/>
        <item m="1" x="1038"/>
        <item m="1" x="438"/>
        <item m="1" x="674"/>
        <item m="1" x="646"/>
        <item m="1" x="408"/>
        <item m="1" x="1001"/>
        <item m="1" x="1008"/>
        <item m="1" x="1108"/>
        <item m="1" x="857"/>
        <item m="1" x="1357"/>
        <item m="1" x="766"/>
        <item m="1" x="1476"/>
        <item m="1" x="1111"/>
        <item m="1" x="1002"/>
        <item m="1" x="666"/>
        <item m="1" x="1074"/>
        <item m="1" x="1372"/>
        <item m="1" x="1437"/>
        <item m="1" x="1416"/>
        <item m="1" x="1346"/>
        <item m="1" x="1095"/>
        <item m="1" x="1208"/>
        <item m="1" x="721"/>
        <item m="1" x="1170"/>
        <item m="1" x="995"/>
        <item m="1" x="954"/>
        <item m="1" x="952"/>
        <item m="1" x="953"/>
        <item m="1" x="650"/>
        <item m="1" x="694"/>
        <item m="1" x="1307"/>
        <item m="1" x="872"/>
        <item m="1" x="714"/>
        <item m="1" x="756"/>
        <item m="1" x="802"/>
        <item m="1" x="1054"/>
        <item m="1" x="1392"/>
        <item m="1" x="1481"/>
        <item m="1" x="599"/>
        <item m="1" x="550"/>
        <item m="1" x="387"/>
        <item m="1" x="409"/>
        <item m="1" x="706"/>
        <item m="1" x="494"/>
        <item m="1" x="822"/>
        <item m="1" x="1358"/>
        <item m="1" x="699"/>
        <item m="1" x="491"/>
        <item m="1" x="1250"/>
        <item m="1" x="368"/>
        <item m="1" x="1376"/>
        <item m="1" x="1451"/>
        <item m="1" x="1515"/>
        <item m="1" x="1390"/>
        <item m="1" x="633"/>
        <item m="1" x="410"/>
        <item m="1" x="874"/>
        <item m="1" x="958"/>
        <item m="1" x="1154"/>
        <item m="1" x="1122"/>
        <item m="1" x="1158"/>
        <item m="1" x="935"/>
        <item m="1" x="973"/>
        <item m="1" x="1414"/>
        <item m="1" x="1177"/>
        <item m="1" x="1147"/>
        <item m="1" x="1086"/>
        <item m="1" x="1159"/>
        <item m="1" x="360"/>
        <item m="1" x="365"/>
        <item m="1" x="968"/>
        <item m="1" x="1353"/>
        <item m="1" x="923"/>
        <item m="1" x="1493"/>
        <item m="1" x="892"/>
        <item m="1" x="1068"/>
        <item m="1" x="1139"/>
        <item m="1" x="753"/>
        <item m="1" x="585"/>
        <item m="1" x="961"/>
        <item m="1" x="647"/>
        <item m="1" x="1502"/>
        <item m="1" x="1417"/>
        <item m="1" x="1230"/>
        <item m="1" x="487"/>
        <item m="1" x="414"/>
        <item m="1" x="987"/>
        <item m="1" x="1231"/>
        <item m="1" x="1520"/>
        <item m="1" x="866"/>
        <item m="1" x="1467"/>
        <item m="1" x="401"/>
        <item m="1" x="515"/>
        <item m="1" x="827"/>
        <item m="1" x="918"/>
        <item m="1" x="1347"/>
        <item m="1" x="671"/>
        <item m="1" x="1350"/>
        <item m="1" x="767"/>
        <item m="1" x="1339"/>
        <item m="1" x="1503"/>
        <item m="1" x="431"/>
        <item m="1" x="1487"/>
        <item m="1" x="378"/>
        <item m="1" x="1240"/>
        <item m="1" x="858"/>
        <item m="1" x="689"/>
        <item m="1" x="652"/>
        <item m="1" x="796"/>
        <item m="1" x="395"/>
        <item m="1" x="1480"/>
        <item m="1" x="479"/>
        <item m="1" x="500"/>
        <item m="1" x="1373"/>
        <item m="1" x="1452"/>
        <item m="1" x="966"/>
        <item m="1" x="1107"/>
        <item m="1" x="808"/>
        <item m="1" x="921"/>
        <item m="1" x="1070"/>
        <item m="1" x="1187"/>
        <item m="1" x="774"/>
        <item m="1" x="1050"/>
        <item m="1" x="869"/>
        <item m="1" x="1506"/>
        <item m="1" x="359"/>
        <item m="1" x="798"/>
        <item m="1" x="739"/>
        <item m="1" x="700"/>
        <item m="1" x="1494"/>
        <item m="1" x="1312"/>
        <item m="1" x="1443"/>
        <item m="1" x="456"/>
        <item m="1" x="1454"/>
        <item m="1" x="1441"/>
        <item m="1" x="1318"/>
        <item m="1" x="553"/>
        <item m="1" x="922"/>
        <item m="1" x="1015"/>
        <item m="1" x="761"/>
        <item m="1" x="1359"/>
        <item m="1" x="1145"/>
        <item m="1" x="1165"/>
        <item m="1" x="1059"/>
        <item m="1" x="402"/>
        <item m="1" x="1232"/>
        <item m="1" x="1394"/>
        <item m="1" x="799"/>
        <item m="1" x="1513"/>
        <item m="1" x="1007"/>
        <item m="1" x="594"/>
        <item m="1" x="727"/>
        <item m="1" x="763"/>
        <item m="1" x="1422"/>
        <item m="1" x="1406"/>
        <item m="1" x="466"/>
        <item m="1" x="468"/>
        <item m="1" x="382"/>
        <item m="1" x="1342"/>
        <item m="1" x="384"/>
        <item m="1" x="801"/>
        <item m="1" x="701"/>
        <item m="1" x="1157"/>
        <item m="1" x="1100"/>
        <item m="1" x="1449"/>
        <item m="1" x="1381"/>
        <item m="1" x="873"/>
        <item m="1" x="1087"/>
        <item m="1" x="1322"/>
        <item m="1" x="435"/>
        <item m="1" x="867"/>
        <item m="1" x="797"/>
        <item m="1" x="1491"/>
        <item m="1" x="1458"/>
        <item m="1" x="889"/>
        <item m="1" x="495"/>
        <item m="1" x="790"/>
        <item m="1" x="963"/>
        <item m="1" x="417"/>
        <item m="1" x="1253"/>
        <item m="1" x="847"/>
        <item m="1" x="657"/>
        <item m="1" x="751"/>
        <item m="1" x="1197"/>
        <item m="1" x="1496"/>
        <item m="1" x="575"/>
        <item m="1" x="1348"/>
        <item m="1" x="569"/>
        <item m="1" x="1133"/>
        <item m="1" x="905"/>
        <item m="1" x="836"/>
        <item m="1" x="558"/>
        <item m="1" x="625"/>
        <item m="1" x="413"/>
        <item m="1" x="1213"/>
        <item m="1" x="726"/>
        <item m="1" x="450"/>
        <item m="1" x="1064"/>
        <item m="1" x="1379"/>
        <item m="1" x="919"/>
        <item m="1" x="877"/>
        <item m="1" x="348"/>
        <item m="1" x="1484"/>
        <item m="1" x="734"/>
        <item m="1" x="794"/>
        <item m="1" x="1201"/>
        <item m="1" x="1478"/>
        <item m="1" x="1403"/>
        <item m="1" x="1254"/>
        <item m="1" x="1369"/>
        <item m="1" x="530"/>
        <item m="1" x="729"/>
        <item m="1" x="562"/>
        <item m="1" x="354"/>
        <item m="1" x="967"/>
        <item m="1" x="416"/>
        <item m="1" x="638"/>
        <item m="1" x="582"/>
        <item m="1" x="528"/>
        <item m="1" x="1483"/>
        <item m="1" x="579"/>
        <item m="1" x="1181"/>
        <item m="1" x="1393"/>
        <item m="1" x="519"/>
        <item m="1" x="423"/>
        <item m="1" x="1216"/>
        <item m="1" x="1192"/>
        <item m="1" x="1233"/>
        <item m="1" x="1152"/>
        <item m="1" x="496"/>
        <item m="1" x="852"/>
        <item m="1" x="1120"/>
        <item m="1" x="1370"/>
        <item m="1" x="964"/>
        <item m="1" x="1082"/>
        <item m="1" x="1426"/>
        <item m="1" x="838"/>
        <item m="1" x="682"/>
        <item m="1" x="915"/>
        <item m="1" x="862"/>
        <item m="1" x="792"/>
        <item m="1" x="1309"/>
        <item m="1" x="996"/>
        <item m="1" x="1092"/>
        <item m="1" x="343"/>
        <item m="1" x="888"/>
        <item m="1" x="490"/>
        <item m="1" x="757"/>
        <item m="1" x="895"/>
        <item m="1" x="425"/>
        <item m="1" x="542"/>
        <item m="1" x="997"/>
        <item m="1" x="1194"/>
        <item m="1" x="1464"/>
        <item m="1" x="1507"/>
        <item m="1" x="1117"/>
        <item m="1" x="465"/>
        <item m="1" x="393"/>
        <item m="1" x="979"/>
        <item m="1" x="601"/>
        <item m="1" x="875"/>
        <item m="1" x="503"/>
        <item m="1" x="606"/>
        <item m="1" x="1033"/>
        <item m="1" x="1389"/>
        <item m="1" x="1320"/>
        <item m="1" x="736"/>
        <item m="1" x="771"/>
        <item m="1" x="1047"/>
        <item m="1" x="1477"/>
        <item m="1" x="1203"/>
        <item m="1" x="369"/>
        <item m="1" x="1431"/>
        <item m="1" x="477"/>
        <item m="1" x="1123"/>
        <item m="1" x="1168"/>
        <item m="1" x="1171"/>
        <item m="1" x="1511"/>
        <item m="1" x="404"/>
        <item m="1" x="1182"/>
        <item m="1" x="1279"/>
        <item m="1" x="1051"/>
        <item m="1" x="1221"/>
        <item m="1" x="463"/>
        <item m="1" x="855"/>
        <item m="1" x="702"/>
        <item m="1" x="1314"/>
        <item m="1" x="1409"/>
        <item m="1" x="938"/>
        <item m="1" x="1377"/>
        <item m="1" x="1425"/>
        <item m="1" x="778"/>
        <item m="1" x="1281"/>
        <item m="1" x="1144"/>
        <item m="1" x="1427"/>
        <item m="1" x="1471"/>
        <item m="1" x="1209"/>
        <item m="1" x="819"/>
        <item m="1" x="624"/>
        <item m="1" x="1459"/>
        <item m="1" x="1006"/>
        <item m="1" x="980"/>
        <item m="1" x="989"/>
        <item m="1" x="1510"/>
        <item m="1" x="1234"/>
        <item m="1" x="929"/>
        <item m="1" x="1198"/>
        <item m="1" x="1175"/>
        <item m="1" x="791"/>
        <item m="1" x="692"/>
        <item m="1" x="1191"/>
        <item m="1" x="586"/>
        <item m="1" x="543"/>
        <item m="1" x="485"/>
        <item m="1" x="1472"/>
        <item m="1" x="1088"/>
        <item m="1" x="823"/>
        <item m="1" x="904"/>
        <item m="1" x="385"/>
        <item m="1" x="1461"/>
        <item m="1" x="1012"/>
        <item m="1" x="1160"/>
        <item m="1" x="608"/>
        <item m="1" x="1292"/>
        <item m="1" x="795"/>
        <item m="1" x="688"/>
        <item m="1" x="1516"/>
        <item m="1" x="818"/>
        <item m="1" x="1457"/>
        <item m="1" x="1043"/>
        <item m="1" x="719"/>
        <item m="1" x="510"/>
        <item m="1" x="453"/>
        <item m="1" x="747"/>
        <item m="1" x="444"/>
        <item m="1" x="415"/>
        <item m="1" x="432"/>
        <item m="1" x="711"/>
        <item m="1" x="556"/>
        <item m="1" x="863"/>
        <item m="1" x="920"/>
        <item m="1" x="1019"/>
        <item m="1" x="890"/>
        <item m="1" x="1223"/>
        <item m="1" x="1287"/>
        <item m="1" x="499"/>
        <item m="1" x="509"/>
        <item m="1" x="698"/>
        <item m="1" x="840"/>
        <item m="1" x="630"/>
        <item m="1" x="1183"/>
        <item m="1" x="933"/>
        <item m="1" x="850"/>
        <item m="1" x="983"/>
        <item m="1" x="1289"/>
        <item m="1" x="1227"/>
        <item m="1" x="1313"/>
        <item m="1" x="1069"/>
        <item m="1" x="489"/>
        <item m="1" x="1495"/>
        <item m="1" x="908"/>
        <item m="1" x="523"/>
        <item m="1" x="347"/>
        <item m="1" x="1492"/>
        <item m="1" x="976"/>
        <item m="1" x="943"/>
        <item m="1" x="715"/>
        <item m="1" x="595"/>
        <item m="1" x="679"/>
        <item m="1" x="833"/>
        <item m="1" x="1408"/>
        <item m="1" x="1327"/>
        <item m="1" x="703"/>
        <item m="1" x="776"/>
        <item m="1" x="783"/>
        <item m="1" x="1321"/>
        <item m="1" x="924"/>
        <item m="1" x="396"/>
        <item m="1" x="957"/>
        <item m="1" x="1236"/>
        <item m="1" x="1362"/>
        <item m="1" x="1255"/>
        <item m="1" x="1063"/>
        <item m="1" x="1361"/>
        <item m="1" x="375"/>
        <item m="1" x="1278"/>
        <item m="1" x="357"/>
        <item m="1" x="697"/>
        <item m="1" x="361"/>
        <item m="1" x="520"/>
        <item m="1" x="610"/>
        <item m="1" x="616"/>
        <item m="1" x="1034"/>
        <item m="1" x="1288"/>
        <item m="1" x="815"/>
        <item m="1" x="386"/>
        <item m="1" x="592"/>
        <item m="1" x="380"/>
        <item m="1" x="1375"/>
        <item m="1" x="600"/>
        <item m="1" x="936"/>
        <item m="1" x="1395"/>
        <item m="1" x="722"/>
        <item m="1" x="664"/>
        <item m="1" x="1060"/>
        <item m="1" x="617"/>
        <item m="1" x="925"/>
        <item m="1" x="1219"/>
        <item m="1" x="358"/>
        <item m="1" x="871"/>
        <item m="1" x="990"/>
        <item m="1" x="482"/>
        <item m="1" x="824"/>
        <item m="1" x="959"/>
        <item m="1" x="710"/>
        <item m="1" x="748"/>
        <item m="1" x="475"/>
        <item m="1" x="881"/>
        <item m="1" x="345"/>
        <item m="1" x="1017"/>
        <item m="1" x="1410"/>
        <item m="1" x="1131"/>
        <item m="1" x="1125"/>
        <item m="1" x="1024"/>
        <item m="1" x="350"/>
        <item m="1" x="1156"/>
        <item m="1" x="1199"/>
        <item m="1" x="1005"/>
        <item m="1" x="349"/>
        <item m="1" x="1356"/>
        <item m="1" x="1323"/>
        <item m="1" x="353"/>
        <item m="1" x="632"/>
        <item m="1" x="1022"/>
        <item m="1" x="1277"/>
        <item m="1" x="474"/>
        <item m="1" x="370"/>
        <item m="1" x="529"/>
        <item m="1" x="420"/>
        <item m="1" x="828"/>
        <item m="1" x="641"/>
        <item m="1" x="639"/>
        <item m="1" x="810"/>
        <item m="1" x="912"/>
        <item m="1" x="816"/>
        <item m="1" x="1013"/>
        <item m="1" x="865"/>
        <item m="1" x="730"/>
        <item m="1" x="845"/>
        <item m="1" x="1338"/>
        <item m="1" x="1433"/>
        <item m="1" x="690"/>
        <item m="1" x="1413"/>
        <item m="1" x="455"/>
        <item m="1" x="1402"/>
        <item m="1" x="1099"/>
        <item m="1" x="1270"/>
        <item m="1" x="1349"/>
        <item m="1" x="1029"/>
        <item m="1" x="1241"/>
        <item m="1" x="533"/>
        <item m="1" x="516"/>
        <item m="1" x="1138"/>
        <item m="1" x="1110"/>
        <item m="1" x="672"/>
        <item m="1" x="1508"/>
        <item m="1" x="1080"/>
        <item m="1" x="820"/>
        <item m="1" x="894"/>
        <item m="1" x="853"/>
        <item m="1" x="1363"/>
        <item m="1" x="1367"/>
        <item m="1" x="363"/>
        <item m="1" x="1247"/>
        <item m="1" x="1293"/>
        <item m="1" x="412"/>
        <item m="1" x="784"/>
        <item m="1" x="775"/>
        <item m="1" x="1282"/>
        <item m="1" x="981"/>
        <item m="1" x="1185"/>
        <item m="1" x="851"/>
        <item m="1" x="1202"/>
        <item m="1" x="390"/>
        <item m="1" x="513"/>
        <item m="1" x="1482"/>
        <item m="1" x="1102"/>
        <item m="1" x="1474"/>
        <item m="1" x="394"/>
        <item m="1" x="654"/>
        <item m="1" x="470"/>
        <item m="1" x="403"/>
        <item m="1" x="418"/>
        <item m="1" x="970"/>
        <item m="1" x="1003"/>
        <item m="1" x="675"/>
        <item m="1" x="1093"/>
        <item m="1" x="1411"/>
        <item m="1" x="762"/>
        <item m="1" x="841"/>
        <item m="1" x="991"/>
        <item m="1" x="1479"/>
        <item m="1" x="656"/>
        <item m="1" x="668"/>
        <item m="1" x="678"/>
        <item m="1" x="1299"/>
        <item m="1" x="1435"/>
        <item m="1" x="352"/>
        <item m="1" x="1179"/>
        <item m="1" x="1475"/>
        <item m="1" x="576"/>
        <item m="1" x="891"/>
        <item m="1" x="1512"/>
        <item m="1" x="1418"/>
        <item m="1" x="565"/>
        <item m="1" x="677"/>
        <item m="1" x="764"/>
        <item m="1" x="1089"/>
        <item m="1" x="1286"/>
        <item m="1" x="521"/>
        <item m="1" x="992"/>
        <item m="1" x="517"/>
        <item m="1" x="486"/>
        <item m="1" x="434"/>
        <item m="1" x="1405"/>
        <item m="1" x="998"/>
        <item m="1" x="1446"/>
        <item m="1" x="839"/>
        <item m="1" x="1463"/>
        <item m="1" x="1215"/>
        <item m="1" x="504"/>
        <item m="1" x="1319"/>
        <item m="1" x="1333"/>
        <item m="1" x="993"/>
        <item m="1" x="1368"/>
        <item m="1" x="1206"/>
        <item m="1" x="1071"/>
        <item m="1" x="388"/>
        <item m="1" x="1217"/>
        <item m="1" x="949"/>
        <item m="1" x="882"/>
        <item m="1" x="1225"/>
        <item m="1" x="809"/>
        <item m="1" x="443"/>
        <item m="1" x="615"/>
        <item m="1" x="392"/>
        <item m="1" x="741"/>
        <item m="1" x="1119"/>
        <item m="1" x="704"/>
        <item m="1" x="567"/>
        <item m="1" x="782"/>
        <item m="1" x="460"/>
        <item m="1" x="712"/>
        <item m="1" x="583"/>
        <item m="1" x="934"/>
        <item m="1" x="1521"/>
        <item m="1" x="975"/>
        <item m="1" x="571"/>
        <item m="1" x="848"/>
        <item m="1" x="554"/>
        <item m="1" x="607"/>
        <item m="1" x="899"/>
        <item m="1" x="1167"/>
        <item m="1" x="884"/>
        <item m="1" x="1334"/>
        <item m="1" x="896"/>
        <item m="1" x="1130"/>
        <item m="1" x="445"/>
        <item m="1" x="928"/>
        <item m="1" x="568"/>
        <item m="1" x="498"/>
        <item m="1" x="1224"/>
        <item m="1" x="539"/>
        <item m="1" x="1248"/>
        <item m="1" x="440"/>
        <item m="1" x="1065"/>
        <item m="1" x="1072"/>
        <item m="1" x="476"/>
        <item m="1" x="994"/>
        <item m="1" x="372"/>
        <item m="1" x="1195"/>
        <item m="1" x="900"/>
        <item m="1" x="1121"/>
        <item m="1" x="1090"/>
        <item m="1" x="1310"/>
        <item m="1" x="1083"/>
        <item m="1" x="661"/>
        <item m="1" x="1162"/>
        <item m="1" x="1296"/>
        <item m="1" x="986"/>
        <item m="1" x="1118"/>
        <item m="1" x="451"/>
        <item m="1" x="1284"/>
        <item m="1" x="941"/>
        <item m="1" x="806"/>
        <item m="1" x="1190"/>
        <item m="1" x="716"/>
        <item m="1" x="1039"/>
        <item m="1" x="573"/>
        <item m="1" x="669"/>
        <item m="1" x="1066"/>
        <item m="1" x="835"/>
        <item m="1" x="379"/>
        <item m="1" x="713"/>
        <item m="1" x="1193"/>
        <item m="1" x="1295"/>
        <item m="1" x="398"/>
        <item m="1" x="683"/>
        <item m="1" x="618"/>
        <item m="1" x="951"/>
        <item m="1" x="1044"/>
        <item m="1" x="484"/>
        <item m="1" x="1466"/>
        <item m="1" x="449"/>
        <item m="1" x="522"/>
        <item m="1" x="1303"/>
        <item m="1" x="811"/>
        <item m="1" x="825"/>
        <item m="1" x="879"/>
        <item m="1" x="454"/>
        <item m="1" x="733"/>
        <item m="1" x="1128"/>
        <item m="1" x="1040"/>
        <item m="1" x="830"/>
        <item m="1" x="777"/>
        <item m="1" x="407"/>
        <item m="1" x="645"/>
        <item m="1" x="1109"/>
        <item m="1" x="743"/>
        <item m="1" x="906"/>
        <item m="1" x="843"/>
        <item m="1" x="1025"/>
        <item m="1" x="389"/>
        <item m="1" x="870"/>
        <item m="1" x="544"/>
        <item m="1" x="947"/>
        <item m="1" x="1073"/>
        <item m="1" x="1149"/>
        <item m="1" x="1084"/>
        <item m="1" x="1045"/>
        <item m="1" x="971"/>
        <item m="1" x="1382"/>
        <item m="1" x="1274"/>
        <item m="1" x="525"/>
        <item m="1" x="1266"/>
        <item m="1" x="720"/>
        <item m="1" x="1030"/>
        <item m="1" x="436"/>
        <item m="1" x="1009"/>
        <item m="1" x="876"/>
        <item m="1" x="1308"/>
        <item m="1" x="462"/>
        <item m="1" x="1519"/>
        <item m="1" x="501"/>
        <item m="1" x="441"/>
        <item m="1" x="1011"/>
        <item m="1" x="1211"/>
        <item m="1" x="1114"/>
        <item m="1" x="400"/>
        <item m="1" x="552"/>
        <item m="1" x="1340"/>
        <item m="1" x="1280"/>
        <item m="1" x="535"/>
        <item m="1" x="508"/>
        <item m="1" x="803"/>
        <item m="1" x="424"/>
        <item m="1" x="1031"/>
        <item m="1" x="464"/>
        <item m="1" x="634"/>
        <item m="1" x="931"/>
        <item m="1" x="1462"/>
        <item m="1" x="502"/>
        <item m="1" x="772"/>
        <item m="1" x="619"/>
        <item m="1" x="781"/>
        <item m="1" x="1335"/>
        <item m="1" x="1218"/>
        <item m="1" x="680"/>
        <item m="1" x="433"/>
        <item m="1" x="1383"/>
        <item m="1" x="546"/>
        <item m="1" x="1328"/>
        <item m="1" x="885"/>
        <item m="1" x="1269"/>
        <item m="1" x="628"/>
        <item m="1" x="800"/>
        <item m="1" x="1285"/>
        <item m="1" x="1473"/>
        <item m="1" x="1249"/>
        <item m="1" x="648"/>
        <item m="1" x="591"/>
        <item m="1" x="1294"/>
        <item m="1" x="1058"/>
        <item m="1" x="902"/>
        <item m="1" x="1326"/>
        <item m="1" x="374"/>
        <item m="1" x="371"/>
        <item m="1" x="1046"/>
        <item m="1" x="1186"/>
        <item m="1" x="1141"/>
        <item m="1" x="1324"/>
        <item m="1" x="849"/>
        <item m="1" x="596"/>
        <item m="1" x="670"/>
        <item m="1" x="1200"/>
        <item m="1" x="752"/>
        <item m="1" x="982"/>
        <item m="1" x="1397"/>
        <item m="1" x="635"/>
        <item m="1" x="972"/>
        <item m="1" x="356"/>
        <item m="1" x="68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m="1" x="673"/>
        <item m="1" x="1434"/>
        <item m="1" x="376"/>
        <item m="1" x="34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12"/>
    </i>
    <i r="2">
      <x v="8"/>
    </i>
    <i r="1">
      <x v="1516"/>
    </i>
    <i r="2">
      <x v="8"/>
    </i>
    <i r="1">
      <x v="1517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60" totalsRowShown="0" totalsRowDxfId="24">
  <autoFilter ref="A1:C1260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817" totalsRowShown="0">
  <autoFilter ref="A1:S3817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4" totalsRowShown="0">
  <autoFilter ref="A1:B13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5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1252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/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/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879</v>
      </c>
    </row>
    <row r="15" spans="1:2">
      <c r="A15" s="111" t="s">
        <v>369</v>
      </c>
      <c r="B15" s="129">
        <v>855</v>
      </c>
    </row>
    <row r="16" spans="1:2">
      <c r="A16" s="111" t="s">
        <v>370</v>
      </c>
      <c r="B16" s="129">
        <v>2</v>
      </c>
    </row>
    <row r="17" spans="1:2">
      <c r="A17" s="111" t="s">
        <v>398</v>
      </c>
      <c r="B17" s="129">
        <v>13</v>
      </c>
    </row>
    <row r="18" spans="1:2">
      <c r="A18" s="111" t="s">
        <v>377</v>
      </c>
      <c r="B18" s="129">
        <v>9</v>
      </c>
    </row>
    <row r="19" spans="1:2">
      <c r="A19" s="17" t="s">
        <v>569</v>
      </c>
      <c r="B19" s="129">
        <v>1304</v>
      </c>
    </row>
    <row r="20" spans="1:2">
      <c r="A20" s="111" t="s">
        <v>369</v>
      </c>
      <c r="B20" s="129">
        <v>1289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146</v>
      </c>
    </row>
    <row r="24" spans="1:2">
      <c r="A24" s="111" t="s">
        <v>369</v>
      </c>
      <c r="B24" s="129">
        <v>143</v>
      </c>
    </row>
    <row r="25" spans="1:2">
      <c r="A25" s="111" t="s">
        <v>370</v>
      </c>
      <c r="B25" s="129">
        <v>1</v>
      </c>
    </row>
    <row r="26" spans="1:2">
      <c r="A26" s="111" t="s">
        <v>377</v>
      </c>
      <c r="B26" s="129">
        <v>2</v>
      </c>
    </row>
    <row r="27" spans="1:2">
      <c r="A27" s="17" t="s">
        <v>381</v>
      </c>
      <c r="B27" s="129">
        <v>3621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B34" sqref="B3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3</v>
      </c>
      <c r="C5"/>
      <c r="D5"/>
      <c r="E5"/>
    </row>
    <row r="6" spans="1:6">
      <c r="A6" s="111" t="s">
        <v>5711</v>
      </c>
      <c r="B6" s="129">
        <v>1</v>
      </c>
      <c r="C6" s="126"/>
      <c r="D6" s="124"/>
      <c r="E6" s="124"/>
    </row>
    <row r="7" spans="1:6">
      <c r="A7" s="112" t="s">
        <v>370</v>
      </c>
      <c r="B7" s="129">
        <v>1</v>
      </c>
      <c r="C7"/>
      <c r="D7"/>
      <c r="E7"/>
    </row>
    <row r="8" spans="1:6">
      <c r="A8" s="111" t="s">
        <v>5737</v>
      </c>
      <c r="B8" s="129">
        <v>1</v>
      </c>
      <c r="C8" s="56"/>
      <c r="D8" s="124"/>
      <c r="E8" s="124"/>
    </row>
    <row r="9" spans="1:6">
      <c r="A9" s="112" t="s">
        <v>370</v>
      </c>
      <c r="B9" s="129">
        <v>1</v>
      </c>
      <c r="C9"/>
      <c r="D9"/>
    </row>
    <row r="10" spans="1:6">
      <c r="A10" s="111" t="s">
        <v>5740</v>
      </c>
      <c r="B10" s="129">
        <v>1</v>
      </c>
      <c r="C10" s="53"/>
      <c r="D10" s="124"/>
      <c r="E10" s="124"/>
    </row>
    <row r="11" spans="1:6">
      <c r="A11" s="112" t="s">
        <v>370</v>
      </c>
      <c r="B11" s="129">
        <v>1</v>
      </c>
      <c r="C11"/>
      <c r="D11"/>
    </row>
    <row r="12" spans="1:6">
      <c r="A12" s="17" t="s">
        <v>4328</v>
      </c>
      <c r="B12" s="129">
        <v>189</v>
      </c>
      <c r="C12" s="126"/>
      <c r="D12"/>
    </row>
    <row r="13" spans="1:6">
      <c r="A13" s="111" t="s">
        <v>4414</v>
      </c>
      <c r="B13" s="129">
        <v>11</v>
      </c>
      <c r="C13"/>
      <c r="D13"/>
    </row>
    <row r="14" spans="1:6">
      <c r="A14" s="112" t="s">
        <v>369</v>
      </c>
      <c r="B14" s="129">
        <v>10</v>
      </c>
      <c r="C14" s="126"/>
      <c r="D14"/>
    </row>
    <row r="15" spans="1:6">
      <c r="A15" s="112" t="s">
        <v>692</v>
      </c>
      <c r="B15" s="129">
        <v>1</v>
      </c>
      <c r="C15"/>
      <c r="D15" s="124"/>
      <c r="E15" s="124"/>
    </row>
    <row r="16" spans="1:6">
      <c r="A16" s="111" t="s">
        <v>5480</v>
      </c>
      <c r="B16" s="129">
        <v>178</v>
      </c>
      <c r="C16"/>
      <c r="D16"/>
    </row>
    <row r="17" spans="1:5">
      <c r="A17" s="112" t="s">
        <v>369</v>
      </c>
      <c r="B17" s="129">
        <v>176</v>
      </c>
      <c r="C17"/>
      <c r="D17" s="124"/>
      <c r="E17" s="124"/>
    </row>
    <row r="18" spans="1:5">
      <c r="A18" s="112" t="s">
        <v>404</v>
      </c>
      <c r="B18" s="129">
        <v>1</v>
      </c>
      <c r="C18" s="126"/>
      <c r="D18"/>
    </row>
    <row r="19" spans="1:5">
      <c r="A19" s="112" t="s">
        <v>692</v>
      </c>
      <c r="B19" s="129">
        <v>1</v>
      </c>
      <c r="C19" s="47"/>
      <c r="D19"/>
    </row>
    <row r="20" spans="1:5">
      <c r="A20" s="17" t="s">
        <v>381</v>
      </c>
      <c r="B20" s="129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60"/>
  <sheetViews>
    <sheetView topLeftCell="A1235" workbookViewId="0">
      <selection activeCell="C1260" sqref="C1251:C126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</sheetData>
  <conditionalFormatting sqref="A2:A545 A548:A568 A570:A1036 A1038:A1232 A12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817"/>
  <sheetViews>
    <sheetView tabSelected="1" zoomScale="85" zoomScaleNormal="8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177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152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152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152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152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152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152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152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152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152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152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152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148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145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145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145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145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145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145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145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145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145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145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145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145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145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145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145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145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145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145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145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145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145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145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145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145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145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145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145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145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145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145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145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145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145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145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145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145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145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145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145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145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145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144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144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144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144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144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144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144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144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144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144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144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144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144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144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144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144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144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144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144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144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144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144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144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144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144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144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144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144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144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144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144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144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144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144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144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144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144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144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144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144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144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144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144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144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144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144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144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144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144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144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144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144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144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144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144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144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144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144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144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143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143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143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143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143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142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142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140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140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139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136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136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136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136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136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136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136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136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136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136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136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136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136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136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136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136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136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136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136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136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136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135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135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135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135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135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130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130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130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125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125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125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125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125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125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125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125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125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125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125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125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125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125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125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125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125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125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121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121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121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116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115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101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101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100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100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100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90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75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75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75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75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75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75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75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75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75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75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75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75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75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75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75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75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75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75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75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75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72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72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72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72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71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71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71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71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71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71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71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71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71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71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71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71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71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71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71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71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71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71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71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71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71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71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71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71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71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71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71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71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71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71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70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70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70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70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70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70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70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70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70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70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70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70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70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70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70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70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70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70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66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66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66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66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66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66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66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66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66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66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66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66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66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66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66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66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66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66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66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66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66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66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66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66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66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66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66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66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66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66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66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66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66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66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66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66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66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66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66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66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66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66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66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66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66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66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66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66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66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66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66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66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66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66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66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66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66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66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66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66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66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66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66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66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66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66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66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66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66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66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66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66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66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66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66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66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66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66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66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66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66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66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66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66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66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66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66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66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66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66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66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66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60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60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55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55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50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50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50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50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50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50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50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50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50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50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50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50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50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50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50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50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50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50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50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50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50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50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50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50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50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50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50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50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50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50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50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50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50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50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50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50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50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50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50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50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50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50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50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50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50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50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50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50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50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50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50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50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50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50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50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50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50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50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50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50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50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50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50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50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50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50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50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50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50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50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50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50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50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50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50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50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50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50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50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50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50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50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50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50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50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50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50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50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50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50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50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50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50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50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50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50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50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50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50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50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50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50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50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50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50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47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47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47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47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48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45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45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40</v>
      </c>
      <c r="R2488" s="110" t="s">
        <v>1459</v>
      </c>
      <c r="S2488" s="94"/>
    </row>
    <row r="2489" spans="1:19" hidden="1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40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40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40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40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40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40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40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40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40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40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38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38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38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38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38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38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38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38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38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38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38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38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38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38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38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38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38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38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38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38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38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38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38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38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38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38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38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38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38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38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38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38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38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38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38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38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38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38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38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38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38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38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38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38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38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38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38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38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38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38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38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38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38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38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38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38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38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38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38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38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38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38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38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38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38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38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38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38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38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38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38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38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38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38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38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38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38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38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38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38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38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38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38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38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38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38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38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38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38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38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38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38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38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38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38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38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38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38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38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38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38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38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38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38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38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38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38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38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38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38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38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38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38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38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38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38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38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38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38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38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38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38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38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38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38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38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38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38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38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38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38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38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38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38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38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38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38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38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38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38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38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38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38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38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38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38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38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38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38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38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38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38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38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38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38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38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38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38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38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38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38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38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38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38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38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38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38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38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38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38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38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38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38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38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38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38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38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38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38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38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38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38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38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38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38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38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38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38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38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38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38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38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38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38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38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38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38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38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38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38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38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38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38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38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38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38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38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38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38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38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38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38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38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38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38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38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38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38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38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38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38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38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38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38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38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38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38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38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38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38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38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38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38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38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38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38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38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38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38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38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38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38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38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38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38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38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38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38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38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38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38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38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38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38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38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38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38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38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38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38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38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38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38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38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38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38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38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38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38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38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38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38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38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38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38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38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38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38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38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38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38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38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38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38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38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38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38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38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38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38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38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38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38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38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38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38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38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38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38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38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38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38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38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38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38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38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38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38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38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38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38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38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38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38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38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38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38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38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38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38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38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38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38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38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38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38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38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38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38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38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38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38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38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38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38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36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36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36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36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36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36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36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36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36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36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35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35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35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34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34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34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34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34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34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33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33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31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30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30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30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29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29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29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27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27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27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27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27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27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27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24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24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24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24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24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24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24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24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24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24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24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24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24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24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24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24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24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24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24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24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24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24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24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24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24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24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24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24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24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23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23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21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21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21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21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21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21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21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21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21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21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19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19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19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19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19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19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19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19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18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18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18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18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18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18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18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18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18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18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18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18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18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18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18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18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18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16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16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16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16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16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16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16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16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16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16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16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16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16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16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16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16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16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16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16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16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16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16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16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16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16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16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16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16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16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16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16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16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16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16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16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16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16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16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16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16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16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16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16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16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16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16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16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16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16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16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16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16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16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16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16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16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16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16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16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16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16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16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16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16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16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16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16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16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16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16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16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16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16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16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16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16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16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16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16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16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16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16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16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16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16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16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16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16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16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16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16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16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16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16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16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16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16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16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16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16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16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16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16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16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16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16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16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16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16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16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16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16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16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16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16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16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16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16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16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16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16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16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16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16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16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16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16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16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16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16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16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16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16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16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16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16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16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16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16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16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16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16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16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16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16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16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16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16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16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16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16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16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16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16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16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16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16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16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16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16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16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16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16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16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16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16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16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16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16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16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16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16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16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16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16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16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16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16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16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16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16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16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16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16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16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16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16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16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16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16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16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16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16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16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16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16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16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16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16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16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16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16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16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16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16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16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16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16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16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16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16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16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16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16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16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16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16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16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16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16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16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16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16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16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16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16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16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16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16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16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16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16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16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16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16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16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16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16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16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16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16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16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16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16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16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16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16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16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16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16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16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16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16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16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16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16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16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16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16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16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16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16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16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16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16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16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16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16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16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16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16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16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16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16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16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16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16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16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16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16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16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16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16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16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16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16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16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16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16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16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16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16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16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16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16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15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15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15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15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15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15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15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15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15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15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15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15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15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15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15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15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15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15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15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15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15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15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15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15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15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15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15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15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15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15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15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15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15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15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15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15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15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15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15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15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15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15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15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15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15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15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15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15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15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15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15</v>
      </c>
      <c r="R3282" s="115" t="s">
        <v>1459</v>
      </c>
      <c r="S3282" s="125"/>
    </row>
    <row r="3283" spans="1:19" hidden="1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15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15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15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15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15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15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15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15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15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15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15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15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15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15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15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15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15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15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15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15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15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15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15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15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15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15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15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15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15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15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15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15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15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15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15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15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15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15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15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15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15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15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15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15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15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15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15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15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15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15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15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15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15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15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15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15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15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15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15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15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15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15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15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15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15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15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15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15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15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15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15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15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15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15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15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15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15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15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15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15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15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15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15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15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15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15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15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15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15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15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15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15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15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15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15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15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15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15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15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15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15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15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15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15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15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15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15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15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15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15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15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15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15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15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15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15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15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15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15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15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15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15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15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15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15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15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15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15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15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15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15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15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15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15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15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15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15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15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15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15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15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15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15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15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15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15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15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15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15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15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15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12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12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12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12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12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12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12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12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12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12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12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12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12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12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12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12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12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12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12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12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12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12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12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12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12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12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12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12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12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12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12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12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12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12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12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12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12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12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12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12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12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12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12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10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10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10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10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10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10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10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9</v>
      </c>
      <c r="R3486" s="115" t="s">
        <v>1262</v>
      </c>
      <c r="S3486" s="125"/>
    </row>
    <row r="3487" spans="1:19" hidden="1">
      <c r="A3487" t="s">
        <v>5577</v>
      </c>
      <c r="B3487" s="129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9</v>
      </c>
      <c r="R3487" s="115" t="s">
        <v>515</v>
      </c>
      <c r="S3487" s="129"/>
    </row>
    <row r="3488" spans="1:19" hidden="1">
      <c r="A3488" s="128" t="s">
        <v>5577</v>
      </c>
      <c r="B3488" s="129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9</v>
      </c>
      <c r="R3488" s="115" t="s">
        <v>515</v>
      </c>
      <c r="S3488" s="129"/>
    </row>
    <row r="3489" spans="1:19" hidden="1">
      <c r="A3489" t="s">
        <v>5672</v>
      </c>
      <c r="B3489" s="129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</v>
      </c>
      <c r="R3489" s="115" t="s">
        <v>515</v>
      </c>
      <c r="S3489" s="129"/>
    </row>
    <row r="3490" spans="1:19" hidden="1">
      <c r="A3490" s="128" t="s">
        <v>5672</v>
      </c>
      <c r="B3490" s="129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</v>
      </c>
      <c r="R3490" s="115" t="s">
        <v>515</v>
      </c>
      <c r="S3490" s="129"/>
    </row>
    <row r="3491" spans="1:19" hidden="1">
      <c r="A3491" s="128" t="s">
        <v>5672</v>
      </c>
      <c r="B3491" s="129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</v>
      </c>
      <c r="R3491" s="115" t="s">
        <v>515</v>
      </c>
      <c r="S3491" s="129"/>
    </row>
    <row r="3492" spans="1:19" hidden="1">
      <c r="A3492" s="128" t="s">
        <v>5672</v>
      </c>
      <c r="B3492" s="129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</v>
      </c>
      <c r="R3492" s="115" t="s">
        <v>515</v>
      </c>
      <c r="S3492" s="129"/>
    </row>
    <row r="3493" spans="1:19" hidden="1">
      <c r="A3493" s="128" t="s">
        <v>5672</v>
      </c>
      <c r="B3493" s="129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</v>
      </c>
      <c r="R3493" s="115" t="s">
        <v>515</v>
      </c>
      <c r="S3493" s="129"/>
    </row>
    <row r="3494" spans="1:19" hidden="1">
      <c r="A3494" s="128" t="s">
        <v>5672</v>
      </c>
      <c r="B3494" s="129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</v>
      </c>
      <c r="R3494" s="115" t="s">
        <v>515</v>
      </c>
      <c r="S3494" s="129"/>
    </row>
    <row r="3495" spans="1:19" hidden="1">
      <c r="A3495" s="128" t="s">
        <v>5672</v>
      </c>
      <c r="B3495" s="129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</v>
      </c>
      <c r="R3495" s="115" t="s">
        <v>515</v>
      </c>
      <c r="S3495" s="129"/>
    </row>
    <row r="3496" spans="1:19" hidden="1">
      <c r="A3496" s="128" t="s">
        <v>5672</v>
      </c>
      <c r="B3496" s="129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</v>
      </c>
      <c r="R3496" s="115" t="s">
        <v>515</v>
      </c>
      <c r="S3496" s="129"/>
    </row>
    <row r="3497" spans="1:19" hidden="1">
      <c r="A3497" s="128" t="s">
        <v>5672</v>
      </c>
      <c r="B3497" s="129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</v>
      </c>
      <c r="R3497" s="115" t="s">
        <v>515</v>
      </c>
      <c r="S3497" s="129"/>
    </row>
    <row r="3498" spans="1:19" hidden="1">
      <c r="A3498" s="128" t="s">
        <v>5672</v>
      </c>
      <c r="B3498" s="129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</v>
      </c>
      <c r="R3498" s="115" t="s">
        <v>515</v>
      </c>
      <c r="S3498" s="129"/>
    </row>
    <row r="3499" spans="1:19" hidden="1">
      <c r="A3499" s="128" t="s">
        <v>5672</v>
      </c>
      <c r="B3499" s="129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</v>
      </c>
      <c r="R3499" s="115" t="s">
        <v>515</v>
      </c>
      <c r="S3499" s="129"/>
    </row>
    <row r="3500" spans="1:19" hidden="1">
      <c r="A3500" s="128" t="s">
        <v>5672</v>
      </c>
      <c r="B3500" s="129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</v>
      </c>
      <c r="R3500" s="115" t="s">
        <v>515</v>
      </c>
      <c r="S3500" s="129"/>
    </row>
    <row r="3501" spans="1:19" hidden="1">
      <c r="A3501" s="128" t="s">
        <v>5672</v>
      </c>
      <c r="B3501" s="129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</v>
      </c>
      <c r="R3501" s="115" t="s">
        <v>515</v>
      </c>
      <c r="S3501" s="129"/>
    </row>
    <row r="3502" spans="1:19" hidden="1">
      <c r="A3502" s="128" t="s">
        <v>5672</v>
      </c>
      <c r="B3502" s="129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</v>
      </c>
      <c r="R3502" s="115" t="s">
        <v>515</v>
      </c>
      <c r="S3502" s="129"/>
    </row>
    <row r="3503" spans="1:19" hidden="1">
      <c r="A3503" s="128" t="s">
        <v>5672</v>
      </c>
      <c r="B3503" s="129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</v>
      </c>
      <c r="R3503" s="115" t="s">
        <v>515</v>
      </c>
      <c r="S3503" s="129"/>
    </row>
    <row r="3504" spans="1:19" hidden="1">
      <c r="A3504" s="128" t="s">
        <v>5672</v>
      </c>
      <c r="B3504" s="129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</v>
      </c>
      <c r="R3504" s="115" t="s">
        <v>515</v>
      </c>
      <c r="S3504" s="129"/>
    </row>
    <row r="3505" spans="1:19" hidden="1">
      <c r="A3505" s="128" t="s">
        <v>5672</v>
      </c>
      <c r="B3505" s="129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</v>
      </c>
      <c r="R3505" s="115" t="s">
        <v>515</v>
      </c>
      <c r="S3505" s="129"/>
    </row>
    <row r="3506" spans="1:19" hidden="1">
      <c r="A3506" s="128" t="s">
        <v>5672</v>
      </c>
      <c r="B3506" s="129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</v>
      </c>
      <c r="R3506" s="115" t="s">
        <v>515</v>
      </c>
      <c r="S3506" s="129"/>
    </row>
    <row r="3507" spans="1:19" hidden="1">
      <c r="A3507" s="128" t="s">
        <v>5672</v>
      </c>
      <c r="B3507" s="129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</v>
      </c>
      <c r="R3507" s="115" t="s">
        <v>515</v>
      </c>
      <c r="S3507" s="129"/>
    </row>
    <row r="3508" spans="1:19" hidden="1">
      <c r="A3508" s="128" t="s">
        <v>5672</v>
      </c>
      <c r="B3508" s="129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</v>
      </c>
      <c r="R3508" s="115" t="s">
        <v>515</v>
      </c>
      <c r="S3508" s="129"/>
    </row>
    <row r="3509" spans="1:19" hidden="1">
      <c r="A3509" s="128" t="s">
        <v>5672</v>
      </c>
      <c r="B3509" s="129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</v>
      </c>
      <c r="R3509" s="115" t="s">
        <v>515</v>
      </c>
      <c r="S3509" s="129"/>
    </row>
    <row r="3510" spans="1:19" hidden="1">
      <c r="A3510" s="128" t="s">
        <v>5672</v>
      </c>
      <c r="B3510" s="129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</v>
      </c>
      <c r="R3510" s="115" t="s">
        <v>515</v>
      </c>
      <c r="S3510" s="129"/>
    </row>
    <row r="3511" spans="1:19" hidden="1">
      <c r="A3511" s="128" t="s">
        <v>5672</v>
      </c>
      <c r="B3511" s="129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</v>
      </c>
      <c r="R3511" s="115" t="s">
        <v>515</v>
      </c>
      <c r="S3511" s="129"/>
    </row>
    <row r="3512" spans="1:19" hidden="1">
      <c r="A3512" s="128" t="s">
        <v>5672</v>
      </c>
      <c r="B3512" s="129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</v>
      </c>
      <c r="R3512" s="115" t="s">
        <v>515</v>
      </c>
      <c r="S3512" s="129"/>
    </row>
    <row r="3513" spans="1:19" hidden="1">
      <c r="A3513" s="128" t="s">
        <v>5672</v>
      </c>
      <c r="B3513" s="129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</v>
      </c>
      <c r="R3513" s="115" t="s">
        <v>515</v>
      </c>
      <c r="S3513" s="129"/>
    </row>
    <row r="3514" spans="1:19" hidden="1">
      <c r="A3514" s="128" t="s">
        <v>5672</v>
      </c>
      <c r="B3514" s="129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</v>
      </c>
      <c r="R3514" s="115" t="s">
        <v>515</v>
      </c>
      <c r="S3514" s="129"/>
    </row>
    <row r="3515" spans="1:19" hidden="1">
      <c r="A3515" s="128" t="s">
        <v>5672</v>
      </c>
      <c r="B3515" s="129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</v>
      </c>
      <c r="R3515" s="115" t="s">
        <v>515</v>
      </c>
      <c r="S3515" s="129"/>
    </row>
    <row r="3516" spans="1:19" hidden="1">
      <c r="A3516" s="128" t="s">
        <v>5672</v>
      </c>
      <c r="B3516" s="129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</v>
      </c>
      <c r="R3516" s="115" t="s">
        <v>515</v>
      </c>
      <c r="S3516" s="129"/>
    </row>
    <row r="3517" spans="1:19" hidden="1">
      <c r="A3517" s="128" t="s">
        <v>5672</v>
      </c>
      <c r="B3517" s="129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</v>
      </c>
      <c r="R3517" s="115" t="s">
        <v>515</v>
      </c>
      <c r="S3517" s="129"/>
    </row>
    <row r="3518" spans="1:19" hidden="1">
      <c r="A3518" s="128" t="s">
        <v>5672</v>
      </c>
      <c r="B3518" s="129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</v>
      </c>
      <c r="R3518" s="115" t="s">
        <v>515</v>
      </c>
      <c r="S3518" s="129"/>
    </row>
    <row r="3519" spans="1:19" hidden="1">
      <c r="A3519" s="128" t="s">
        <v>5672</v>
      </c>
      <c r="B3519" s="129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</v>
      </c>
      <c r="R3519" s="115" t="s">
        <v>515</v>
      </c>
      <c r="S3519" s="129"/>
    </row>
    <row r="3520" spans="1:19" hidden="1">
      <c r="A3520" s="128" t="s">
        <v>5672</v>
      </c>
      <c r="B3520" s="129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</v>
      </c>
      <c r="R3520" s="115" t="s">
        <v>515</v>
      </c>
      <c r="S3520" s="129"/>
    </row>
    <row r="3521" spans="1:19" hidden="1">
      <c r="A3521" s="128" t="s">
        <v>5672</v>
      </c>
      <c r="B3521" s="129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</v>
      </c>
      <c r="R3521" s="115" t="s">
        <v>515</v>
      </c>
      <c r="S3521" s="129"/>
    </row>
    <row r="3522" spans="1:19" hidden="1">
      <c r="A3522" s="128" t="s">
        <v>5672</v>
      </c>
      <c r="B3522" s="129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</v>
      </c>
      <c r="R3522" s="115" t="s">
        <v>515</v>
      </c>
      <c r="S3522" s="129"/>
    </row>
    <row r="3523" spans="1:19" hidden="1">
      <c r="A3523" s="128" t="s">
        <v>5672</v>
      </c>
      <c r="B3523" s="129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</v>
      </c>
      <c r="R3523" s="115" t="s">
        <v>515</v>
      </c>
      <c r="S3523" s="129"/>
    </row>
    <row r="3524" spans="1:19" hidden="1">
      <c r="A3524" s="128" t="s">
        <v>5672</v>
      </c>
      <c r="B3524" s="129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</v>
      </c>
      <c r="R3524" s="115" t="s">
        <v>515</v>
      </c>
      <c r="S3524" s="129"/>
    </row>
    <row r="3525" spans="1:19" hidden="1">
      <c r="A3525" s="128" t="s">
        <v>5672</v>
      </c>
      <c r="B3525" s="129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</v>
      </c>
      <c r="R3525" s="115" t="s">
        <v>515</v>
      </c>
      <c r="S3525" s="129"/>
    </row>
    <row r="3526" spans="1:19" hidden="1">
      <c r="A3526" s="128" t="s">
        <v>5672</v>
      </c>
      <c r="B3526" s="129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</v>
      </c>
      <c r="R3526" s="115" t="s">
        <v>515</v>
      </c>
      <c r="S3526" s="129"/>
    </row>
    <row r="3527" spans="1:19" hidden="1">
      <c r="A3527" s="128" t="s">
        <v>5672</v>
      </c>
      <c r="B3527" s="129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</v>
      </c>
      <c r="R3527" s="115" t="s">
        <v>515</v>
      </c>
      <c r="S3527" s="129"/>
    </row>
    <row r="3528" spans="1:19" hidden="1">
      <c r="A3528" s="128" t="s">
        <v>5672</v>
      </c>
      <c r="B3528" s="129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</v>
      </c>
      <c r="R3528" s="115" t="s">
        <v>515</v>
      </c>
      <c r="S3528" s="129"/>
    </row>
    <row r="3529" spans="1:19" hidden="1">
      <c r="A3529" s="128" t="s">
        <v>5672</v>
      </c>
      <c r="B3529" s="129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</v>
      </c>
      <c r="R3529" s="115" t="s">
        <v>515</v>
      </c>
      <c r="S3529" s="129"/>
    </row>
    <row r="3530" spans="1:19" hidden="1">
      <c r="A3530" s="128" t="s">
        <v>5672</v>
      </c>
      <c r="B3530" s="129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</v>
      </c>
      <c r="R3530" s="115" t="s">
        <v>515</v>
      </c>
      <c r="S3530" s="129"/>
    </row>
    <row r="3531" spans="1:19" hidden="1">
      <c r="A3531" s="128" t="s">
        <v>5672</v>
      </c>
      <c r="B3531" s="129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</v>
      </c>
      <c r="R3531" s="115" t="s">
        <v>515</v>
      </c>
      <c r="S3531" s="129"/>
    </row>
    <row r="3532" spans="1:19" hidden="1">
      <c r="A3532" s="128" t="s">
        <v>5672</v>
      </c>
      <c r="B3532" s="129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</v>
      </c>
      <c r="R3532" s="115" t="s">
        <v>515</v>
      </c>
      <c r="S3532" s="129"/>
    </row>
    <row r="3533" spans="1:19" hidden="1">
      <c r="A3533" s="128" t="s">
        <v>5672</v>
      </c>
      <c r="B3533" s="129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</v>
      </c>
      <c r="R3533" s="115" t="s">
        <v>515</v>
      </c>
      <c r="S3533" s="129"/>
    </row>
    <row r="3534" spans="1:19" hidden="1">
      <c r="A3534" s="128" t="s">
        <v>5672</v>
      </c>
      <c r="B3534" s="129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</v>
      </c>
      <c r="R3534" s="115" t="s">
        <v>515</v>
      </c>
      <c r="S3534" s="129"/>
    </row>
    <row r="3535" spans="1:19" hidden="1">
      <c r="A3535" s="128" t="s">
        <v>5672</v>
      </c>
      <c r="B3535" s="129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</v>
      </c>
      <c r="R3535" s="115" t="s">
        <v>515</v>
      </c>
      <c r="S3535" s="129"/>
    </row>
    <row r="3536" spans="1:19" hidden="1">
      <c r="A3536" s="128" t="s">
        <v>5672</v>
      </c>
      <c r="B3536" s="129" t="str">
        <f>IFERROR(VLOOKUP(Proc[[#This Row],[App]],Table2[],3,0),"open")</f>
        <v>ok</v>
      </c>
      <c r="C3536" s="128" t="s">
        <v>369</v>
      </c>
      <c r="D3536" t="s">
        <v>5738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</v>
      </c>
      <c r="R3536" s="115" t="s">
        <v>515</v>
      </c>
      <c r="S3536" s="129"/>
    </row>
    <row r="3537" spans="1:19" hidden="1">
      <c r="A3537" s="128" t="s">
        <v>5672</v>
      </c>
      <c r="B3537" s="129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</v>
      </c>
      <c r="R3537" s="115" t="s">
        <v>515</v>
      </c>
      <c r="S3537" s="129"/>
    </row>
    <row r="3538" spans="1:19" hidden="1">
      <c r="A3538" s="128" t="s">
        <v>5672</v>
      </c>
      <c r="B3538" s="129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</v>
      </c>
      <c r="R3538" s="115" t="s">
        <v>515</v>
      </c>
      <c r="S3538" s="129"/>
    </row>
    <row r="3539" spans="1:19" hidden="1">
      <c r="A3539" s="128" t="s">
        <v>5672</v>
      </c>
      <c r="B3539" s="129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</v>
      </c>
      <c r="R3539" s="115" t="s">
        <v>515</v>
      </c>
      <c r="S3539" s="129"/>
    </row>
    <row r="3540" spans="1:19" hidden="1">
      <c r="A3540" s="128" t="s">
        <v>5672</v>
      </c>
      <c r="B3540" s="129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</v>
      </c>
      <c r="R3540" s="115" t="s">
        <v>515</v>
      </c>
      <c r="S3540" s="129"/>
    </row>
    <row r="3541" spans="1:19" hidden="1">
      <c r="A3541" s="128" t="s">
        <v>5672</v>
      </c>
      <c r="B3541" s="129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</v>
      </c>
      <c r="R3541" s="115" t="s">
        <v>515</v>
      </c>
      <c r="S3541" s="129"/>
    </row>
    <row r="3542" spans="1:19" hidden="1">
      <c r="A3542" s="128" t="s">
        <v>5672</v>
      </c>
      <c r="B3542" s="129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</v>
      </c>
      <c r="R3542" s="115" t="s">
        <v>515</v>
      </c>
      <c r="S3542" s="129"/>
    </row>
    <row r="3543" spans="1:19" hidden="1">
      <c r="A3543" s="128" t="s">
        <v>5672</v>
      </c>
      <c r="B3543" s="129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</v>
      </c>
      <c r="R3543" s="115" t="s">
        <v>515</v>
      </c>
      <c r="S3543" s="129"/>
    </row>
    <row r="3544" spans="1:19" hidden="1">
      <c r="A3544" s="128" t="s">
        <v>5672</v>
      </c>
      <c r="B3544" s="129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</v>
      </c>
      <c r="R3544" s="115" t="s">
        <v>515</v>
      </c>
      <c r="S3544" s="129"/>
    </row>
    <row r="3545" spans="1:19" hidden="1">
      <c r="A3545" s="128" t="s">
        <v>5672</v>
      </c>
      <c r="B3545" s="129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</v>
      </c>
      <c r="R3545" s="115" t="s">
        <v>515</v>
      </c>
      <c r="S3545" s="129"/>
    </row>
    <row r="3546" spans="1:19" hidden="1">
      <c r="A3546" s="128" t="s">
        <v>5672</v>
      </c>
      <c r="B3546" s="129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</v>
      </c>
      <c r="R3546" s="115" t="s">
        <v>515</v>
      </c>
      <c r="S3546" s="129"/>
    </row>
    <row r="3547" spans="1:19" hidden="1">
      <c r="A3547" s="128" t="s">
        <v>5672</v>
      </c>
      <c r="B3547" s="129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</v>
      </c>
      <c r="R3547" s="115" t="s">
        <v>515</v>
      </c>
      <c r="S3547" s="129"/>
    </row>
    <row r="3548" spans="1:19" hidden="1">
      <c r="A3548" s="128" t="s">
        <v>5672</v>
      </c>
      <c r="B3548" s="129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</v>
      </c>
      <c r="R3548" s="115" t="s">
        <v>515</v>
      </c>
      <c r="S3548" s="129"/>
    </row>
    <row r="3549" spans="1:19" hidden="1">
      <c r="A3549" s="128" t="s">
        <v>5672</v>
      </c>
      <c r="B3549" s="129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</v>
      </c>
      <c r="R3549" s="115" t="s">
        <v>515</v>
      </c>
      <c r="S3549" s="129"/>
    </row>
    <row r="3550" spans="1:19" hidden="1">
      <c r="A3550" s="128" t="s">
        <v>5672</v>
      </c>
      <c r="B3550" s="129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</v>
      </c>
      <c r="R3550" s="115" t="s">
        <v>515</v>
      </c>
      <c r="S3550" s="129"/>
    </row>
    <row r="3551" spans="1:19" hidden="1">
      <c r="A3551" s="128" t="s">
        <v>5672</v>
      </c>
      <c r="B3551" s="129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</v>
      </c>
      <c r="R3551" s="115" t="s">
        <v>515</v>
      </c>
      <c r="S3551" s="129"/>
    </row>
    <row r="3552" spans="1:19" hidden="1">
      <c r="A3552" s="128" t="s">
        <v>5672</v>
      </c>
      <c r="B3552" s="129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</v>
      </c>
      <c r="R3552" s="115" t="s">
        <v>515</v>
      </c>
      <c r="S3552" s="129"/>
    </row>
    <row r="3553" spans="1:19" hidden="1">
      <c r="A3553" s="128" t="s">
        <v>5672</v>
      </c>
      <c r="B3553" s="129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</v>
      </c>
      <c r="R3553" s="115" t="s">
        <v>515</v>
      </c>
      <c r="S3553" s="129"/>
    </row>
    <row r="3554" spans="1:19" hidden="1">
      <c r="A3554" s="128" t="s">
        <v>5672</v>
      </c>
      <c r="B3554" s="129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</v>
      </c>
      <c r="R3554" s="115" t="s">
        <v>515</v>
      </c>
      <c r="S3554" s="129"/>
    </row>
    <row r="3555" spans="1:19" hidden="1">
      <c r="A3555" s="128" t="s">
        <v>5672</v>
      </c>
      <c r="B3555" s="129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</v>
      </c>
      <c r="R3555" s="115" t="s">
        <v>515</v>
      </c>
      <c r="S3555" s="129"/>
    </row>
    <row r="3556" spans="1:19" hidden="1">
      <c r="A3556" s="128" t="s">
        <v>5672</v>
      </c>
      <c r="B3556" s="129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</v>
      </c>
      <c r="R3556" s="115" t="s">
        <v>515</v>
      </c>
      <c r="S3556" s="129"/>
    </row>
    <row r="3557" spans="1:19" hidden="1">
      <c r="A3557" s="128" t="s">
        <v>5672</v>
      </c>
      <c r="B3557" s="129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</v>
      </c>
      <c r="R3557" s="115" t="s">
        <v>515</v>
      </c>
      <c r="S3557" s="129"/>
    </row>
    <row r="3558" spans="1:19" hidden="1">
      <c r="A3558" s="128" t="s">
        <v>5672</v>
      </c>
      <c r="B3558" s="129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</v>
      </c>
      <c r="R3558" s="115" t="s">
        <v>515</v>
      </c>
      <c r="S3558" s="129"/>
    </row>
    <row r="3559" spans="1:19" hidden="1">
      <c r="A3559" s="128" t="s">
        <v>5672</v>
      </c>
      <c r="B3559" s="129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</v>
      </c>
      <c r="R3559" s="115" t="s">
        <v>515</v>
      </c>
      <c r="S3559" s="129"/>
    </row>
    <row r="3560" spans="1:19" hidden="1">
      <c r="A3560" s="128" t="s">
        <v>5672</v>
      </c>
      <c r="B3560" s="129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</v>
      </c>
      <c r="R3560" s="115" t="s">
        <v>515</v>
      </c>
      <c r="S3560" s="129"/>
    </row>
    <row r="3561" spans="1:19" hidden="1">
      <c r="A3561" s="128" t="s">
        <v>5672</v>
      </c>
      <c r="B3561" s="129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</v>
      </c>
      <c r="R3561" s="115" t="s">
        <v>515</v>
      </c>
      <c r="S3561" s="129"/>
    </row>
    <row r="3562" spans="1:19" hidden="1">
      <c r="A3562" s="128" t="s">
        <v>5672</v>
      </c>
      <c r="B3562" s="129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</v>
      </c>
      <c r="R3562" s="115" t="s">
        <v>515</v>
      </c>
      <c r="S3562" s="129"/>
    </row>
    <row r="3563" spans="1:19" hidden="1">
      <c r="A3563" s="128" t="s">
        <v>5672</v>
      </c>
      <c r="B3563" s="129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</v>
      </c>
      <c r="R3563" s="115" t="s">
        <v>515</v>
      </c>
      <c r="S3563" s="129"/>
    </row>
    <row r="3564" spans="1:19" hidden="1">
      <c r="A3564" s="128" t="s">
        <v>5672</v>
      </c>
      <c r="B3564" s="129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</v>
      </c>
      <c r="R3564" s="115" t="s">
        <v>515</v>
      </c>
      <c r="S3564" s="129"/>
    </row>
    <row r="3565" spans="1:19" hidden="1">
      <c r="A3565" s="128" t="s">
        <v>5672</v>
      </c>
      <c r="B3565" s="129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</v>
      </c>
      <c r="R3565" s="115" t="s">
        <v>515</v>
      </c>
      <c r="S3565" s="129"/>
    </row>
    <row r="3566" spans="1:19" hidden="1">
      <c r="A3566" s="128" t="s">
        <v>5672</v>
      </c>
      <c r="B3566" s="129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</v>
      </c>
      <c r="R3566" s="115" t="s">
        <v>515</v>
      </c>
      <c r="S3566" s="129"/>
    </row>
    <row r="3567" spans="1:19" hidden="1">
      <c r="A3567" s="128" t="s">
        <v>5672</v>
      </c>
      <c r="B3567" s="129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</v>
      </c>
      <c r="R3567" s="115" t="s">
        <v>515</v>
      </c>
      <c r="S3567" s="129"/>
    </row>
    <row r="3568" spans="1:19" hidden="1">
      <c r="A3568" s="128" t="s">
        <v>5672</v>
      </c>
      <c r="B3568" s="129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</v>
      </c>
      <c r="R3568" s="115" t="s">
        <v>515</v>
      </c>
      <c r="S3568" s="129"/>
    </row>
    <row r="3569" spans="1:19" hidden="1">
      <c r="A3569" s="128" t="s">
        <v>5672</v>
      </c>
      <c r="B3569" s="129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</v>
      </c>
      <c r="R3569" s="115" t="s">
        <v>515</v>
      </c>
      <c r="S3569" s="129"/>
    </row>
    <row r="3570" spans="1:19" hidden="1">
      <c r="A3570" s="128" t="s">
        <v>5672</v>
      </c>
      <c r="B3570" s="129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</v>
      </c>
      <c r="R3570" s="115" t="s">
        <v>515</v>
      </c>
      <c r="S3570" s="129"/>
    </row>
    <row r="3571" spans="1:19" hidden="1">
      <c r="A3571" s="128" t="s">
        <v>5672</v>
      </c>
      <c r="B3571" s="129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</v>
      </c>
      <c r="R3571" s="115" t="s">
        <v>515</v>
      </c>
      <c r="S3571" s="129"/>
    </row>
    <row r="3572" spans="1:19" hidden="1">
      <c r="A3572" s="128" t="s">
        <v>5672</v>
      </c>
      <c r="B3572" s="129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</v>
      </c>
      <c r="R3572" s="115" t="s">
        <v>515</v>
      </c>
      <c r="S3572" s="129"/>
    </row>
    <row r="3573" spans="1:19" hidden="1">
      <c r="A3573" s="128" t="s">
        <v>5672</v>
      </c>
      <c r="B3573" s="129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</v>
      </c>
      <c r="R3573" s="115" t="s">
        <v>515</v>
      </c>
      <c r="S3573" s="129"/>
    </row>
    <row r="3574" spans="1:19" hidden="1">
      <c r="A3574" s="128" t="s">
        <v>5672</v>
      </c>
      <c r="B3574" s="129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</v>
      </c>
      <c r="R3574" s="115" t="s">
        <v>515</v>
      </c>
      <c r="S3574" s="129"/>
    </row>
    <row r="3575" spans="1:19" hidden="1">
      <c r="A3575" s="128" t="s">
        <v>5672</v>
      </c>
      <c r="B3575" s="129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</v>
      </c>
      <c r="R3575" s="115" t="s">
        <v>515</v>
      </c>
      <c r="S3575" s="129"/>
    </row>
    <row r="3576" spans="1:19" hidden="1">
      <c r="A3576" s="128" t="s">
        <v>5672</v>
      </c>
      <c r="B3576" s="129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</v>
      </c>
      <c r="R3576" s="115" t="s">
        <v>515</v>
      </c>
      <c r="S3576" s="129"/>
    </row>
    <row r="3577" spans="1:19" hidden="1">
      <c r="A3577" s="128" t="s">
        <v>5672</v>
      </c>
      <c r="B3577" s="129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</v>
      </c>
      <c r="R3577" s="115" t="s">
        <v>515</v>
      </c>
      <c r="S3577" s="129"/>
    </row>
    <row r="3578" spans="1:19" hidden="1">
      <c r="A3578" s="128" t="s">
        <v>5672</v>
      </c>
      <c r="B3578" s="129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</v>
      </c>
      <c r="R3578" s="115" t="s">
        <v>515</v>
      </c>
      <c r="S3578" s="129"/>
    </row>
    <row r="3579" spans="1:19" hidden="1">
      <c r="A3579" s="128" t="s">
        <v>5672</v>
      </c>
      <c r="B3579" s="129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</v>
      </c>
      <c r="R3579" s="115" t="s">
        <v>515</v>
      </c>
      <c r="S3579" s="129"/>
    </row>
    <row r="3580" spans="1:19" hidden="1">
      <c r="A3580" s="128" t="s">
        <v>5672</v>
      </c>
      <c r="B3580" s="129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</v>
      </c>
      <c r="R3580" s="115" t="s">
        <v>515</v>
      </c>
      <c r="S3580" s="129"/>
    </row>
    <row r="3581" spans="1:19" hidden="1">
      <c r="A3581" s="128" t="s">
        <v>5672</v>
      </c>
      <c r="B3581" s="129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</v>
      </c>
      <c r="R3581" s="115" t="s">
        <v>515</v>
      </c>
      <c r="S3581" s="129"/>
    </row>
    <row r="3582" spans="1:19" hidden="1">
      <c r="A3582" t="s">
        <v>5673</v>
      </c>
      <c r="B3582" s="129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</v>
      </c>
      <c r="R3582" s="115" t="s">
        <v>1262</v>
      </c>
      <c r="S3582" s="129"/>
    </row>
    <row r="3583" spans="1:19" hidden="1">
      <c r="A3583" t="s">
        <v>5675</v>
      </c>
      <c r="B3583" s="129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</v>
      </c>
      <c r="R3583" s="130" t="s">
        <v>5685</v>
      </c>
      <c r="S3583" s="129"/>
    </row>
    <row r="3584" spans="1:19" hidden="1">
      <c r="A3584" s="128" t="s">
        <v>5675</v>
      </c>
      <c r="B3584" s="129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</v>
      </c>
      <c r="R3584" s="130" t="s">
        <v>5685</v>
      </c>
      <c r="S3584" s="129"/>
    </row>
    <row r="3585" spans="1:19" hidden="1">
      <c r="A3585" s="128" t="s">
        <v>5675</v>
      </c>
      <c r="B3585" s="129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</v>
      </c>
      <c r="R3585" s="130" t="s">
        <v>5685</v>
      </c>
      <c r="S3585" s="129"/>
    </row>
    <row r="3586" spans="1:19" hidden="1">
      <c r="A3586" s="128" t="s">
        <v>5675</v>
      </c>
      <c r="B3586" s="129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</v>
      </c>
      <c r="R3586" s="130" t="s">
        <v>5685</v>
      </c>
      <c r="S3586" s="129"/>
    </row>
    <row r="3587" spans="1:19" hidden="1">
      <c r="A3587" s="128" t="s">
        <v>5675</v>
      </c>
      <c r="B3587" s="129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</v>
      </c>
      <c r="R3587" s="130" t="s">
        <v>5685</v>
      </c>
      <c r="S3587" s="129"/>
    </row>
    <row r="3588" spans="1:19" hidden="1">
      <c r="A3588" s="128" t="s">
        <v>5675</v>
      </c>
      <c r="B3588" s="129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</v>
      </c>
      <c r="R3588" s="130" t="s">
        <v>5685</v>
      </c>
      <c r="S3588" s="129"/>
    </row>
    <row r="3589" spans="1:19" hidden="1">
      <c r="A3589" t="s">
        <v>5686</v>
      </c>
      <c r="B3589" s="129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</v>
      </c>
      <c r="R3589" s="130" t="s">
        <v>5685</v>
      </c>
      <c r="S3589" s="129"/>
    </row>
    <row r="3590" spans="1:19" hidden="1">
      <c r="A3590" s="128" t="s">
        <v>5686</v>
      </c>
      <c r="B3590" s="129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</v>
      </c>
      <c r="R3590" s="130" t="s">
        <v>5685</v>
      </c>
      <c r="S3590" s="129"/>
    </row>
    <row r="3591" spans="1:19" hidden="1">
      <c r="A3591" s="128" t="s">
        <v>5686</v>
      </c>
      <c r="B3591" s="129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</v>
      </c>
      <c r="R3591" s="130" t="s">
        <v>5685</v>
      </c>
      <c r="S3591" s="129"/>
    </row>
    <row r="3592" spans="1:19" hidden="1">
      <c r="A3592" s="128" t="s">
        <v>5686</v>
      </c>
      <c r="B3592" s="129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</v>
      </c>
      <c r="R3592" s="130" t="s">
        <v>5685</v>
      </c>
      <c r="S3592" s="129"/>
    </row>
    <row r="3593" spans="1:19" hidden="1">
      <c r="A3593" s="128" t="s">
        <v>5686</v>
      </c>
      <c r="B3593" s="129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</v>
      </c>
      <c r="R3593" s="130" t="s">
        <v>5685</v>
      </c>
      <c r="S3593" s="129"/>
    </row>
    <row r="3594" spans="1:19" hidden="1">
      <c r="A3594" s="128" t="s">
        <v>5686</v>
      </c>
      <c r="B3594" s="129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</v>
      </c>
      <c r="R3594" s="130" t="s">
        <v>5685</v>
      </c>
      <c r="S3594" s="129"/>
    </row>
    <row r="3595" spans="1:19" hidden="1">
      <c r="A3595" s="128" t="s">
        <v>5686</v>
      </c>
      <c r="B3595" s="129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</v>
      </c>
      <c r="R3595" s="130" t="s">
        <v>5685</v>
      </c>
      <c r="S3595" s="129"/>
    </row>
    <row r="3596" spans="1:19" hidden="1">
      <c r="A3596" s="128" t="s">
        <v>5686</v>
      </c>
      <c r="B3596" s="129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</v>
      </c>
      <c r="R3596" s="130" t="s">
        <v>5685</v>
      </c>
      <c r="S3596" s="129"/>
    </row>
    <row r="3597" spans="1:19" hidden="1">
      <c r="A3597" s="128" t="s">
        <v>5686</v>
      </c>
      <c r="B3597" s="129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</v>
      </c>
      <c r="R3597" s="130" t="s">
        <v>5685</v>
      </c>
      <c r="S3597" s="129"/>
    </row>
    <row r="3598" spans="1:19" hidden="1">
      <c r="A3598" s="128" t="s">
        <v>5686</v>
      </c>
      <c r="B3598" s="129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</v>
      </c>
      <c r="R3598" s="130" t="s">
        <v>5685</v>
      </c>
      <c r="S3598" s="129"/>
    </row>
    <row r="3599" spans="1:19" hidden="1">
      <c r="A3599" s="128" t="s">
        <v>5686</v>
      </c>
      <c r="B3599" s="129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</v>
      </c>
      <c r="R3599" s="130" t="s">
        <v>5685</v>
      </c>
      <c r="S3599" s="129"/>
    </row>
    <row r="3600" spans="1:19" hidden="1">
      <c r="A3600" s="128" t="s">
        <v>5686</v>
      </c>
      <c r="B3600" s="129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</v>
      </c>
      <c r="R3600" s="130" t="s">
        <v>5685</v>
      </c>
      <c r="S3600" s="129"/>
    </row>
    <row r="3601" spans="1:19" hidden="1">
      <c r="A3601" t="s">
        <v>5699</v>
      </c>
      <c r="B3601" s="129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</v>
      </c>
      <c r="R3601" s="130" t="s">
        <v>5685</v>
      </c>
      <c r="S3601" s="129"/>
    </row>
    <row r="3602" spans="1:19" hidden="1">
      <c r="A3602" t="s">
        <v>5703</v>
      </c>
      <c r="B3602" s="129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</v>
      </c>
      <c r="R3602" s="130" t="s">
        <v>780</v>
      </c>
      <c r="S3602" s="129"/>
    </row>
    <row r="3603" spans="1:19" hidden="1">
      <c r="A3603" s="128" t="s">
        <v>5703</v>
      </c>
      <c r="B3603" s="129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</v>
      </c>
      <c r="R3603" s="130" t="s">
        <v>780</v>
      </c>
      <c r="S3603" s="129"/>
    </row>
    <row r="3604" spans="1:19" hidden="1">
      <c r="A3604" s="128" t="s">
        <v>5703</v>
      </c>
      <c r="B3604" s="129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</v>
      </c>
      <c r="R3604" s="130" t="s">
        <v>780</v>
      </c>
      <c r="S3604" s="129"/>
    </row>
    <row r="3605" spans="1:19" hidden="1">
      <c r="A3605" s="128" t="s">
        <v>5703</v>
      </c>
      <c r="B3605" s="129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</v>
      </c>
      <c r="R3605" s="130" t="s">
        <v>780</v>
      </c>
      <c r="S3605" s="129"/>
    </row>
    <row r="3606" spans="1:19" hidden="1">
      <c r="A3606" s="128" t="s">
        <v>5703</v>
      </c>
      <c r="B3606" s="129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</v>
      </c>
      <c r="R3606" s="130" t="s">
        <v>780</v>
      </c>
      <c r="S3606" s="129"/>
    </row>
    <row r="3607" spans="1:19" hidden="1">
      <c r="A3607" t="s">
        <v>5711</v>
      </c>
      <c r="B3607" s="129" t="str">
        <f>IFERROR(VLOOKUP(Proc[[#This Row],[App]],Table2[],3,0),"open")</f>
        <v>open</v>
      </c>
      <c r="C3607" t="s">
        <v>369</v>
      </c>
      <c r="D3607" t="s">
        <v>5709</v>
      </c>
      <c r="E3607" t="s">
        <v>5710</v>
      </c>
      <c r="F3607" s="129" t="s">
        <v>5710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</v>
      </c>
      <c r="R3607" s="130" t="s">
        <v>5712</v>
      </c>
      <c r="S3607" s="129"/>
    </row>
    <row r="3608" spans="1:19" hidden="1">
      <c r="A3608" t="s">
        <v>5713</v>
      </c>
      <c r="B3608" s="129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</v>
      </c>
      <c r="R3608" s="130" t="s">
        <v>738</v>
      </c>
      <c r="S3608" s="129"/>
    </row>
    <row r="3609" spans="1:19" hidden="1">
      <c r="A3609" s="128" t="s">
        <v>5713</v>
      </c>
      <c r="B3609" s="129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</v>
      </c>
      <c r="R3609" s="130" t="s">
        <v>738</v>
      </c>
      <c r="S3609" s="129"/>
    </row>
    <row r="3610" spans="1:19" hidden="1">
      <c r="A3610" s="128" t="s">
        <v>5713</v>
      </c>
      <c r="B3610" s="129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</v>
      </c>
      <c r="R3610" s="130" t="s">
        <v>738</v>
      </c>
      <c r="S3610" s="129"/>
    </row>
    <row r="3611" spans="1:19" hidden="1">
      <c r="A3611" s="128" t="s">
        <v>5713</v>
      </c>
      <c r="B3611" s="129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</v>
      </c>
      <c r="R3611" s="130" t="s">
        <v>738</v>
      </c>
      <c r="S3611" s="129"/>
    </row>
    <row r="3612" spans="1:19" hidden="1">
      <c r="A3612" s="128" t="s">
        <v>5713</v>
      </c>
      <c r="B3612" s="129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</v>
      </c>
      <c r="R3612" s="130" t="s">
        <v>738</v>
      </c>
      <c r="S3612" s="129"/>
    </row>
    <row r="3613" spans="1:19" hidden="1">
      <c r="A3613" s="128" t="s">
        <v>5713</v>
      </c>
      <c r="B3613" s="129" t="str">
        <f>IFERROR(VLOOKUP(Proc[[#This Row],[App]],Table2[],3,0),"open")</f>
        <v>ok</v>
      </c>
      <c r="C3613" s="135" t="s">
        <v>369</v>
      </c>
      <c r="D3613" t="s">
        <v>5741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</v>
      </c>
      <c r="R3613" s="130" t="s">
        <v>738</v>
      </c>
      <c r="S3613" s="129"/>
    </row>
    <row r="3614" spans="1:19" hidden="1">
      <c r="A3614" s="128" t="s">
        <v>5713</v>
      </c>
      <c r="B3614" s="129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</v>
      </c>
      <c r="R3614" s="130" t="s">
        <v>738</v>
      </c>
      <c r="S3614" s="129"/>
    </row>
    <row r="3615" spans="1:19" hidden="1">
      <c r="A3615" s="128" t="s">
        <v>5713</v>
      </c>
      <c r="B3615" s="129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</v>
      </c>
      <c r="R3615" s="130" t="s">
        <v>738</v>
      </c>
      <c r="S3615" s="129"/>
    </row>
    <row r="3616" spans="1:19" hidden="1">
      <c r="A3616" s="128" t="s">
        <v>5713</v>
      </c>
      <c r="B3616" s="129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</v>
      </c>
      <c r="R3616" s="130" t="s">
        <v>738</v>
      </c>
      <c r="S3616" s="129"/>
    </row>
    <row r="3617" spans="1:19" hidden="1">
      <c r="A3617" s="128" t="s">
        <v>5713</v>
      </c>
      <c r="B3617" s="129" t="str">
        <f>IFERROR(VLOOKUP(Proc[[#This Row],[App]],Table2[],3,0),"open")</f>
        <v>ok</v>
      </c>
      <c r="C3617" s="135" t="s">
        <v>369</v>
      </c>
      <c r="D3617" t="s">
        <v>5742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</v>
      </c>
      <c r="R3617" s="130" t="s">
        <v>738</v>
      </c>
      <c r="S3617" s="129"/>
    </row>
    <row r="3618" spans="1:19" hidden="1">
      <c r="A3618" s="128" t="s">
        <v>5713</v>
      </c>
      <c r="B3618" s="129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</v>
      </c>
      <c r="R3618" s="130" t="s">
        <v>738</v>
      </c>
      <c r="S3618" s="129"/>
    </row>
    <row r="3619" spans="1:19" hidden="1">
      <c r="A3619" s="128" t="s">
        <v>5713</v>
      </c>
      <c r="B3619" s="129" t="str">
        <f>IFERROR(VLOOKUP(Proc[[#This Row],[App]],Table2[],3,0),"open")</f>
        <v>ok</v>
      </c>
      <c r="C3619" s="135" t="s">
        <v>369</v>
      </c>
      <c r="D3619" t="s">
        <v>5743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</v>
      </c>
      <c r="R3619" s="130" t="s">
        <v>738</v>
      </c>
      <c r="S3619" s="129"/>
    </row>
    <row r="3620" spans="1:19" hidden="1">
      <c r="A3620" t="s">
        <v>5724</v>
      </c>
      <c r="B3620" s="129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on track</v>
      </c>
      <c r="Q3620" s="3">
        <f ca="1">IF(Proc[[#This Row],[DateClosed]]="",ABS(NETWORKDAYS(Proc[[#This Row],[DateOpened]],TODAY()))-1,ABS(NETWORKDAYS(Proc[[#This Row],[DateOpened]],Proc[[#This Row],[DateClosed]]))-1)</f>
        <v>5</v>
      </c>
      <c r="R3620" s="130" t="s">
        <v>738</v>
      </c>
      <c r="S3620" s="129"/>
    </row>
    <row r="3621" spans="1:19" hidden="1">
      <c r="A3621" s="132" t="s">
        <v>5724</v>
      </c>
      <c r="B3621" s="129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on track</v>
      </c>
      <c r="Q3621" s="3">
        <f ca="1">IF(Proc[[#This Row],[DateClosed]]="",ABS(NETWORKDAYS(Proc[[#This Row],[DateOpened]],TODAY()))-1,ABS(NETWORKDAYS(Proc[[#This Row],[DateOpened]],Proc[[#This Row],[DateClosed]]))-1)</f>
        <v>5</v>
      </c>
      <c r="R3621" s="130" t="s">
        <v>738</v>
      </c>
      <c r="S3621" s="129"/>
    </row>
    <row r="3622" spans="1:19" hidden="1">
      <c r="A3622" s="132" t="s">
        <v>5724</v>
      </c>
      <c r="B3622" s="129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on track</v>
      </c>
      <c r="Q3622" s="3">
        <f ca="1">IF(Proc[[#This Row],[DateClosed]]="",ABS(NETWORKDAYS(Proc[[#This Row],[DateOpened]],TODAY()))-1,ABS(NETWORKDAYS(Proc[[#This Row],[DateOpened]],Proc[[#This Row],[DateClosed]]))-1)</f>
        <v>5</v>
      </c>
      <c r="R3622" s="130" t="s">
        <v>738</v>
      </c>
      <c r="S3622" s="129"/>
    </row>
    <row r="3623" spans="1:19" hidden="1">
      <c r="A3623" s="132" t="s">
        <v>5724</v>
      </c>
      <c r="B3623" s="129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on track</v>
      </c>
      <c r="Q3623" s="3">
        <f ca="1">IF(Proc[[#This Row],[DateClosed]]="",ABS(NETWORKDAYS(Proc[[#This Row],[DateOpened]],TODAY()))-1,ABS(NETWORKDAYS(Proc[[#This Row],[DateOpened]],Proc[[#This Row],[DateClosed]]))-1)</f>
        <v>5</v>
      </c>
      <c r="R3623" s="130" t="s">
        <v>738</v>
      </c>
      <c r="S3623" s="129"/>
    </row>
    <row r="3624" spans="1:19" hidden="1">
      <c r="A3624" s="132" t="s">
        <v>5724</v>
      </c>
      <c r="B3624" s="129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on track</v>
      </c>
      <c r="Q3624" s="3">
        <f ca="1">IF(Proc[[#This Row],[DateClosed]]="",ABS(NETWORKDAYS(Proc[[#This Row],[DateOpened]],TODAY()))-1,ABS(NETWORKDAYS(Proc[[#This Row],[DateOpened]],Proc[[#This Row],[DateClosed]]))-1)</f>
        <v>5</v>
      </c>
      <c r="R3624" s="130" t="s">
        <v>738</v>
      </c>
      <c r="S3624" s="129"/>
    </row>
    <row r="3625" spans="1:19" hidden="1">
      <c r="A3625" s="132" t="s">
        <v>5724</v>
      </c>
      <c r="B3625" s="129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on track</v>
      </c>
      <c r="Q3625" s="3">
        <f ca="1">IF(Proc[[#This Row],[DateClosed]]="",ABS(NETWORKDAYS(Proc[[#This Row],[DateOpened]],TODAY()))-1,ABS(NETWORKDAYS(Proc[[#This Row],[DateOpened]],Proc[[#This Row],[DateClosed]]))-1)</f>
        <v>5</v>
      </c>
      <c r="R3625" s="130" t="s">
        <v>738</v>
      </c>
      <c r="S3625" s="129"/>
    </row>
    <row r="3626" spans="1:19" hidden="1">
      <c r="A3626" s="132" t="s">
        <v>5724</v>
      </c>
      <c r="B3626" s="129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on track</v>
      </c>
      <c r="Q3626" s="3">
        <f ca="1">IF(Proc[[#This Row],[DateClosed]]="",ABS(NETWORKDAYS(Proc[[#This Row],[DateOpened]],TODAY()))-1,ABS(NETWORKDAYS(Proc[[#This Row],[DateOpened]],Proc[[#This Row],[DateClosed]]))-1)</f>
        <v>5</v>
      </c>
      <c r="R3626" s="130" t="s">
        <v>738</v>
      </c>
      <c r="S3626" s="129"/>
    </row>
    <row r="3627" spans="1:19" hidden="1">
      <c r="A3627" s="132" t="s">
        <v>5724</v>
      </c>
      <c r="B3627" s="129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on track</v>
      </c>
      <c r="Q3627" s="3">
        <f ca="1">IF(Proc[[#This Row],[DateClosed]]="",ABS(NETWORKDAYS(Proc[[#This Row],[DateOpened]],TODAY()))-1,ABS(NETWORKDAYS(Proc[[#This Row],[DateOpened]],Proc[[#This Row],[DateClosed]]))-1)</f>
        <v>5</v>
      </c>
      <c r="R3627" s="130" t="s">
        <v>738</v>
      </c>
      <c r="S3627" s="129"/>
    </row>
    <row r="3628" spans="1:19" hidden="1">
      <c r="A3628" t="s">
        <v>5734</v>
      </c>
      <c r="B3628" s="129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on track</v>
      </c>
      <c r="Q3628" s="3">
        <f ca="1">IF(Proc[[#This Row],[DateClosed]]="",ABS(NETWORKDAYS(Proc[[#This Row],[DateOpened]],TODAY()))-1,ABS(NETWORKDAYS(Proc[[#This Row],[DateOpened]],Proc[[#This Row],[DateClosed]]))-1)</f>
        <v>5</v>
      </c>
      <c r="R3628" s="130" t="s">
        <v>489</v>
      </c>
      <c r="S3628" s="129"/>
    </row>
    <row r="3629" spans="1:19" hidden="1">
      <c r="A3629" s="133" t="s">
        <v>5734</v>
      </c>
      <c r="B3629" s="129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on track</v>
      </c>
      <c r="Q3629" s="3">
        <f ca="1">IF(Proc[[#This Row],[DateClosed]]="",ABS(NETWORKDAYS(Proc[[#This Row],[DateOpened]],TODAY()))-1,ABS(NETWORKDAYS(Proc[[#This Row],[DateOpened]],Proc[[#This Row],[DateClosed]]))-1)</f>
        <v>5</v>
      </c>
      <c r="R3629" s="130" t="s">
        <v>489</v>
      </c>
      <c r="S3629" s="129"/>
    </row>
    <row r="3630" spans="1:19" hidden="1">
      <c r="A3630" t="s">
        <v>5737</v>
      </c>
      <c r="B3630" s="129" t="str">
        <f>IFERROR(VLOOKUP(Proc[[#This Row],[App]],Table2[],3,0),"open")</f>
        <v>open</v>
      </c>
      <c r="C3630" s="135" t="s">
        <v>369</v>
      </c>
      <c r="D3630" t="s">
        <v>5578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on track</v>
      </c>
      <c r="Q3630" s="3">
        <f ca="1">IF(Proc[[#This Row],[DateClosed]]="",ABS(NETWORKDAYS(Proc[[#This Row],[DateOpened]],TODAY()))-1,ABS(NETWORKDAYS(Proc[[#This Row],[DateOpened]],Proc[[#This Row],[DateClosed]]))-1)</f>
        <v>5</v>
      </c>
      <c r="R3630" s="130" t="s">
        <v>1262</v>
      </c>
      <c r="S3630" s="129"/>
    </row>
    <row r="3631" spans="1:19" hidden="1">
      <c r="A3631" t="s">
        <v>5740</v>
      </c>
      <c r="B3631" s="129" t="str">
        <f>IFERROR(VLOOKUP(Proc[[#This Row],[App]],Table2[],3,0),"open")</f>
        <v>open</v>
      </c>
      <c r="C3631" s="135" t="s">
        <v>369</v>
      </c>
      <c r="D3631" s="135" t="s">
        <v>5739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on track</v>
      </c>
      <c r="Q3631" s="3">
        <f ca="1">IF(Proc[[#This Row],[DateClosed]]="",ABS(NETWORKDAYS(Proc[[#This Row],[DateOpened]],TODAY()))-1,ABS(NETWORKDAYS(Proc[[#This Row],[DateOpened]],Proc[[#This Row],[DateClosed]]))-1)</f>
        <v>5</v>
      </c>
      <c r="R3631" s="130" t="s">
        <v>972</v>
      </c>
      <c r="S3631" s="129"/>
    </row>
    <row r="3632" spans="1:19" hidden="1">
      <c r="A3632" t="s">
        <v>5744</v>
      </c>
      <c r="B3632" s="129" t="str">
        <f>IFERROR(VLOOKUP(Proc[[#This Row],[App]],Table2[],3,0),"open")</f>
        <v>open</v>
      </c>
      <c r="C3632" s="135" t="s">
        <v>369</v>
      </c>
      <c r="D3632" t="s">
        <v>5745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on track</v>
      </c>
      <c r="Q3632" s="3">
        <f ca="1">IF(Proc[[#This Row],[DateClosed]]="",ABS(NETWORKDAYS(Proc[[#This Row],[DateOpened]],TODAY()))-1,ABS(NETWORKDAYS(Proc[[#This Row],[DateOpened]],Proc[[#This Row],[DateClosed]]))-1)</f>
        <v>2</v>
      </c>
      <c r="R3632" s="130" t="s">
        <v>489</v>
      </c>
      <c r="S3632" s="129"/>
    </row>
    <row r="3633" spans="1:19" hidden="1">
      <c r="A3633" s="135" t="s">
        <v>5744</v>
      </c>
      <c r="B3633" s="129" t="str">
        <f>IFERROR(VLOOKUP(Proc[[#This Row],[App]],Table2[],3,0),"open")</f>
        <v>open</v>
      </c>
      <c r="C3633" s="135" t="s">
        <v>369</v>
      </c>
      <c r="D3633" t="s">
        <v>5746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on track</v>
      </c>
      <c r="Q3633" s="3">
        <f ca="1">IF(Proc[[#This Row],[DateClosed]]="",ABS(NETWORKDAYS(Proc[[#This Row],[DateOpened]],TODAY()))-1,ABS(NETWORKDAYS(Proc[[#This Row],[DateOpened]],Proc[[#This Row],[DateClosed]]))-1)</f>
        <v>2</v>
      </c>
      <c r="R3633" s="130" t="s">
        <v>489</v>
      </c>
      <c r="S3633" s="129"/>
    </row>
    <row r="3634" spans="1:19" hidden="1">
      <c r="A3634" s="135" t="s">
        <v>5744</v>
      </c>
      <c r="B3634" s="129" t="str">
        <f>IFERROR(VLOOKUP(Proc[[#This Row],[App]],Table2[],3,0),"open")</f>
        <v>open</v>
      </c>
      <c r="C3634" s="135" t="s">
        <v>369</v>
      </c>
      <c r="D3634" t="s">
        <v>5747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on track</v>
      </c>
      <c r="Q3634" s="3">
        <f ca="1">IF(Proc[[#This Row],[DateClosed]]="",ABS(NETWORKDAYS(Proc[[#This Row],[DateOpened]],TODAY()))-1,ABS(NETWORKDAYS(Proc[[#This Row],[DateOpened]],Proc[[#This Row],[DateClosed]]))-1)</f>
        <v>2</v>
      </c>
      <c r="R3634" s="130" t="s">
        <v>489</v>
      </c>
      <c r="S3634" s="129"/>
    </row>
    <row r="3635" spans="1:19" hidden="1">
      <c r="A3635" s="135" t="s">
        <v>5744</v>
      </c>
      <c r="B3635" s="129" t="str">
        <f>IFERROR(VLOOKUP(Proc[[#This Row],[App]],Table2[],3,0),"open")</f>
        <v>open</v>
      </c>
      <c r="C3635" s="135" t="s">
        <v>369</v>
      </c>
      <c r="D3635" t="s">
        <v>5748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on track</v>
      </c>
      <c r="Q3635" s="3">
        <f ca="1">IF(Proc[[#This Row],[DateClosed]]="",ABS(NETWORKDAYS(Proc[[#This Row],[DateOpened]],TODAY()))-1,ABS(NETWORKDAYS(Proc[[#This Row],[DateOpened]],Proc[[#This Row],[DateClosed]]))-1)</f>
        <v>2</v>
      </c>
      <c r="R3635" s="130" t="s">
        <v>489</v>
      </c>
      <c r="S3635" s="129"/>
    </row>
    <row r="3636" spans="1:19" hidden="1">
      <c r="A3636" s="135" t="s">
        <v>5744</v>
      </c>
      <c r="B3636" s="129" t="str">
        <f>IFERROR(VLOOKUP(Proc[[#This Row],[App]],Table2[],3,0),"open")</f>
        <v>open</v>
      </c>
      <c r="C3636" s="135" t="s">
        <v>369</v>
      </c>
      <c r="D3636" t="s">
        <v>5749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on track</v>
      </c>
      <c r="Q3636" s="3">
        <f ca="1">IF(Proc[[#This Row],[DateClosed]]="",ABS(NETWORKDAYS(Proc[[#This Row],[DateOpened]],TODAY()))-1,ABS(NETWORKDAYS(Proc[[#This Row],[DateOpened]],Proc[[#This Row],[DateClosed]]))-1)</f>
        <v>2</v>
      </c>
      <c r="R3636" s="130" t="s">
        <v>489</v>
      </c>
      <c r="S3636" s="129"/>
    </row>
    <row r="3637" spans="1:19" hidden="1">
      <c r="A3637" s="135" t="s">
        <v>5744</v>
      </c>
      <c r="B3637" s="129" t="str">
        <f>IFERROR(VLOOKUP(Proc[[#This Row],[App]],Table2[],3,0),"open")</f>
        <v>open</v>
      </c>
      <c r="C3637" s="135" t="s">
        <v>369</v>
      </c>
      <c r="D3637" t="s">
        <v>5750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on track</v>
      </c>
      <c r="Q3637" s="3">
        <f ca="1">IF(Proc[[#This Row],[DateClosed]]="",ABS(NETWORKDAYS(Proc[[#This Row],[DateOpened]],TODAY()))-1,ABS(NETWORKDAYS(Proc[[#This Row],[DateOpened]],Proc[[#This Row],[DateClosed]]))-1)</f>
        <v>2</v>
      </c>
      <c r="R3637" s="130" t="s">
        <v>489</v>
      </c>
      <c r="S3637" s="129"/>
    </row>
    <row r="3638" spans="1:19" hidden="1">
      <c r="A3638" s="135" t="s">
        <v>5744</v>
      </c>
      <c r="B3638" s="129" t="str">
        <f>IFERROR(VLOOKUP(Proc[[#This Row],[App]],Table2[],3,0),"open")</f>
        <v>open</v>
      </c>
      <c r="C3638" s="135" t="s">
        <v>369</v>
      </c>
      <c r="D3638" t="s">
        <v>5751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on track</v>
      </c>
      <c r="Q3638" s="3">
        <f ca="1">IF(Proc[[#This Row],[DateClosed]]="",ABS(NETWORKDAYS(Proc[[#This Row],[DateOpened]],TODAY()))-1,ABS(NETWORKDAYS(Proc[[#This Row],[DateOpened]],Proc[[#This Row],[DateClosed]]))-1)</f>
        <v>2</v>
      </c>
      <c r="R3638" s="130" t="s">
        <v>489</v>
      </c>
      <c r="S3638" s="129"/>
    </row>
    <row r="3639" spans="1:19" hidden="1">
      <c r="A3639" s="135" t="s">
        <v>5744</v>
      </c>
      <c r="B3639" s="129" t="str">
        <f>IFERROR(VLOOKUP(Proc[[#This Row],[App]],Table2[],3,0),"open")</f>
        <v>open</v>
      </c>
      <c r="C3639" s="135" t="s">
        <v>369</v>
      </c>
      <c r="D3639" t="s">
        <v>5752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on track</v>
      </c>
      <c r="Q3639" s="3">
        <f ca="1">IF(Proc[[#This Row],[DateClosed]]="",ABS(NETWORKDAYS(Proc[[#This Row],[DateOpened]],TODAY()))-1,ABS(NETWORKDAYS(Proc[[#This Row],[DateOpened]],Proc[[#This Row],[DateClosed]]))-1)</f>
        <v>2</v>
      </c>
      <c r="R3639" s="130" t="s">
        <v>489</v>
      </c>
      <c r="S3639" s="129"/>
    </row>
    <row r="3640" spans="1:19" hidden="1">
      <c r="A3640" s="135" t="s">
        <v>5744</v>
      </c>
      <c r="B3640" s="129" t="str">
        <f>IFERROR(VLOOKUP(Proc[[#This Row],[App]],Table2[],3,0),"open")</f>
        <v>open</v>
      </c>
      <c r="C3640" s="135" t="s">
        <v>369</v>
      </c>
      <c r="D3640" t="s">
        <v>5753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on track</v>
      </c>
      <c r="Q3640" s="3">
        <f ca="1">IF(Proc[[#This Row],[DateClosed]]="",ABS(NETWORKDAYS(Proc[[#This Row],[DateOpened]],TODAY()))-1,ABS(NETWORKDAYS(Proc[[#This Row],[DateOpened]],Proc[[#This Row],[DateClosed]]))-1)</f>
        <v>2</v>
      </c>
      <c r="R3640" s="130" t="s">
        <v>489</v>
      </c>
      <c r="S3640" s="129"/>
    </row>
    <row r="3641" spans="1:19" hidden="1">
      <c r="A3641" s="135" t="s">
        <v>5744</v>
      </c>
      <c r="B3641" s="129" t="str">
        <f>IFERROR(VLOOKUP(Proc[[#This Row],[App]],Table2[],3,0),"open")</f>
        <v>open</v>
      </c>
      <c r="C3641" s="135" t="s">
        <v>369</v>
      </c>
      <c r="D3641" t="s">
        <v>5754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on track</v>
      </c>
      <c r="Q3641" s="3">
        <f ca="1">IF(Proc[[#This Row],[DateClosed]]="",ABS(NETWORKDAYS(Proc[[#This Row],[DateOpened]],TODAY()))-1,ABS(NETWORKDAYS(Proc[[#This Row],[DateOpened]],Proc[[#This Row],[DateClosed]]))-1)</f>
        <v>2</v>
      </c>
      <c r="R3641" s="130" t="s">
        <v>489</v>
      </c>
      <c r="S3641" s="129"/>
    </row>
    <row r="3642" spans="1:19" hidden="1">
      <c r="A3642" s="135" t="s">
        <v>5744</v>
      </c>
      <c r="B3642" s="129" t="str">
        <f>IFERROR(VLOOKUP(Proc[[#This Row],[App]],Table2[],3,0),"open")</f>
        <v>open</v>
      </c>
      <c r="C3642" s="135" t="s">
        <v>369</v>
      </c>
      <c r="D3642" t="s">
        <v>5755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on track</v>
      </c>
      <c r="Q3642" s="3">
        <f ca="1">IF(Proc[[#This Row],[DateClosed]]="",ABS(NETWORKDAYS(Proc[[#This Row],[DateOpened]],TODAY()))-1,ABS(NETWORKDAYS(Proc[[#This Row],[DateOpened]],Proc[[#This Row],[DateClosed]]))-1)</f>
        <v>2</v>
      </c>
      <c r="R3642" s="130" t="s">
        <v>489</v>
      </c>
      <c r="S3642" s="129"/>
    </row>
    <row r="3643" spans="1:19" hidden="1">
      <c r="A3643" s="135" t="s">
        <v>5744</v>
      </c>
      <c r="B3643" s="129" t="str">
        <f>IFERROR(VLOOKUP(Proc[[#This Row],[App]],Table2[],3,0),"open")</f>
        <v>open</v>
      </c>
      <c r="C3643" s="135" t="s">
        <v>369</v>
      </c>
      <c r="D3643" t="s">
        <v>5756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on track</v>
      </c>
      <c r="Q3643" s="3">
        <f ca="1">IF(Proc[[#This Row],[DateClosed]]="",ABS(NETWORKDAYS(Proc[[#This Row],[DateOpened]],TODAY()))-1,ABS(NETWORKDAYS(Proc[[#This Row],[DateOpened]],Proc[[#This Row],[DateClosed]]))-1)</f>
        <v>2</v>
      </c>
      <c r="R3643" s="130" t="s">
        <v>489</v>
      </c>
      <c r="S3643" s="129"/>
    </row>
    <row r="3644" spans="1:19" hidden="1">
      <c r="A3644" s="135" t="s">
        <v>5744</v>
      </c>
      <c r="B3644" s="129" t="str">
        <f>IFERROR(VLOOKUP(Proc[[#This Row],[App]],Table2[],3,0),"open")</f>
        <v>open</v>
      </c>
      <c r="C3644" s="135" t="s">
        <v>369</v>
      </c>
      <c r="D3644" t="s">
        <v>5757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on track</v>
      </c>
      <c r="Q3644" s="3">
        <f ca="1">IF(Proc[[#This Row],[DateClosed]]="",ABS(NETWORKDAYS(Proc[[#This Row],[DateOpened]],TODAY()))-1,ABS(NETWORKDAYS(Proc[[#This Row],[DateOpened]],Proc[[#This Row],[DateClosed]]))-1)</f>
        <v>2</v>
      </c>
      <c r="R3644" s="130" t="s">
        <v>489</v>
      </c>
      <c r="S3644" s="129"/>
    </row>
    <row r="3645" spans="1:19" hidden="1">
      <c r="A3645" s="135" t="s">
        <v>5744</v>
      </c>
      <c r="B3645" s="129" t="str">
        <f>IFERROR(VLOOKUP(Proc[[#This Row],[App]],Table2[],3,0),"open")</f>
        <v>open</v>
      </c>
      <c r="C3645" s="135" t="s">
        <v>369</v>
      </c>
      <c r="D3645" t="s">
        <v>5758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on track</v>
      </c>
      <c r="Q3645" s="3">
        <f ca="1">IF(Proc[[#This Row],[DateClosed]]="",ABS(NETWORKDAYS(Proc[[#This Row],[DateOpened]],TODAY()))-1,ABS(NETWORKDAYS(Proc[[#This Row],[DateOpened]],Proc[[#This Row],[DateClosed]]))-1)</f>
        <v>2</v>
      </c>
      <c r="R3645" s="130" t="s">
        <v>489</v>
      </c>
      <c r="S3645" s="129"/>
    </row>
    <row r="3646" spans="1:19" hidden="1">
      <c r="A3646" s="135" t="s">
        <v>5744</v>
      </c>
      <c r="B3646" s="129" t="str">
        <f>IFERROR(VLOOKUP(Proc[[#This Row],[App]],Table2[],3,0),"open")</f>
        <v>open</v>
      </c>
      <c r="C3646" s="135" t="s">
        <v>369</v>
      </c>
      <c r="D3646" t="s">
        <v>5759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on track</v>
      </c>
      <c r="Q3646" s="3">
        <f ca="1">IF(Proc[[#This Row],[DateClosed]]="",ABS(NETWORKDAYS(Proc[[#This Row],[DateOpened]],TODAY()))-1,ABS(NETWORKDAYS(Proc[[#This Row],[DateOpened]],Proc[[#This Row],[DateClosed]]))-1)</f>
        <v>2</v>
      </c>
      <c r="R3646" s="130" t="s">
        <v>489</v>
      </c>
      <c r="S3646" s="129"/>
    </row>
    <row r="3647" spans="1:19" hidden="1">
      <c r="A3647" s="135" t="s">
        <v>5744</v>
      </c>
      <c r="B3647" s="129" t="str">
        <f>IFERROR(VLOOKUP(Proc[[#This Row],[App]],Table2[],3,0),"open")</f>
        <v>open</v>
      </c>
      <c r="C3647" s="135" t="s">
        <v>369</v>
      </c>
      <c r="D3647" t="s">
        <v>5760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on track</v>
      </c>
      <c r="Q3647" s="3">
        <f ca="1">IF(Proc[[#This Row],[DateClosed]]="",ABS(NETWORKDAYS(Proc[[#This Row],[DateOpened]],TODAY()))-1,ABS(NETWORKDAYS(Proc[[#This Row],[DateOpened]],Proc[[#This Row],[DateClosed]]))-1)</f>
        <v>2</v>
      </c>
      <c r="R3647" s="130" t="s">
        <v>489</v>
      </c>
      <c r="S3647" s="129"/>
    </row>
    <row r="3648" spans="1:19" hidden="1">
      <c r="A3648" s="135" t="s">
        <v>5744</v>
      </c>
      <c r="B3648" s="129" t="str">
        <f>IFERROR(VLOOKUP(Proc[[#This Row],[App]],Table2[],3,0),"open")</f>
        <v>open</v>
      </c>
      <c r="C3648" s="135" t="s">
        <v>369</v>
      </c>
      <c r="D3648" t="s">
        <v>5761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on track</v>
      </c>
      <c r="Q3648" s="3">
        <f ca="1">IF(Proc[[#This Row],[DateClosed]]="",ABS(NETWORKDAYS(Proc[[#This Row],[DateOpened]],TODAY()))-1,ABS(NETWORKDAYS(Proc[[#This Row],[DateOpened]],Proc[[#This Row],[DateClosed]]))-1)</f>
        <v>2</v>
      </c>
      <c r="R3648" s="130" t="s">
        <v>489</v>
      </c>
      <c r="S3648" s="129"/>
    </row>
    <row r="3649" spans="1:19" hidden="1">
      <c r="A3649" s="135" t="s">
        <v>5744</v>
      </c>
      <c r="B3649" s="129" t="str">
        <f>IFERROR(VLOOKUP(Proc[[#This Row],[App]],Table2[],3,0),"open")</f>
        <v>open</v>
      </c>
      <c r="C3649" s="135" t="s">
        <v>369</v>
      </c>
      <c r="D3649" t="s">
        <v>5762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on track</v>
      </c>
      <c r="Q3649" s="3">
        <f ca="1">IF(Proc[[#This Row],[DateClosed]]="",ABS(NETWORKDAYS(Proc[[#This Row],[DateOpened]],TODAY()))-1,ABS(NETWORKDAYS(Proc[[#This Row],[DateOpened]],Proc[[#This Row],[DateClosed]]))-1)</f>
        <v>2</v>
      </c>
      <c r="R3649" s="130" t="s">
        <v>489</v>
      </c>
      <c r="S3649" s="129"/>
    </row>
    <row r="3650" spans="1:19" hidden="1">
      <c r="A3650" t="s">
        <v>5776</v>
      </c>
      <c r="B3650" s="129" t="str">
        <f>IFERROR(VLOOKUP(Proc[[#This Row],[App]],Table2[],3,0),"open")</f>
        <v>open</v>
      </c>
      <c r="C3650" s="135" t="s">
        <v>692</v>
      </c>
      <c r="D3650" t="s">
        <v>5763</v>
      </c>
      <c r="E3650" t="s">
        <v>5774</v>
      </c>
      <c r="F3650" s="129"/>
      <c r="G3650" s="135" t="s">
        <v>406</v>
      </c>
      <c r="H3650" s="129" t="str">
        <f>IF(Proc[[#This Row],[type]]="LFF (MDG-F)",MID(Proc[[#This Row],[Obj]],13,10),"")</f>
        <v>DE10TM4000</v>
      </c>
      <c r="I3650" t="s">
        <v>5777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on track</v>
      </c>
      <c r="Q3650" s="3">
        <f ca="1">IF(Proc[[#This Row],[DateClosed]]="",ABS(NETWORKDAYS(Proc[[#This Row],[DateOpened]],TODAY()))-1,ABS(NETWORKDAYS(Proc[[#This Row],[DateOpened]],Proc[[#This Row],[DateClosed]]))-1)</f>
        <v>2</v>
      </c>
      <c r="R3650" s="130" t="s">
        <v>746</v>
      </c>
      <c r="S3650" s="129"/>
    </row>
    <row r="3651" spans="1:19">
      <c r="A3651" s="135" t="s">
        <v>5776</v>
      </c>
      <c r="B3651" s="129" t="str">
        <f>IFERROR(VLOOKUP(Proc[[#This Row],[App]],Table2[],3,0),"open")</f>
        <v>open</v>
      </c>
      <c r="C3651" s="135" t="s">
        <v>375</v>
      </c>
      <c r="D3651" t="s">
        <v>5764</v>
      </c>
      <c r="E3651" t="s">
        <v>5774</v>
      </c>
      <c r="F3651" s="129" t="s">
        <v>5949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0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on track</v>
      </c>
      <c r="Q3651" s="3">
        <f ca="1">IF(Proc[[#This Row],[DateClosed]]="",ABS(NETWORKDAYS(Proc[[#This Row],[DateOpened]],TODAY()))-1,ABS(NETWORKDAYS(Proc[[#This Row],[DateOpened]],Proc[[#This Row],[DateClosed]]))-1)</f>
        <v>2</v>
      </c>
      <c r="R3651" s="130" t="s">
        <v>746</v>
      </c>
      <c r="S3651" s="129"/>
    </row>
    <row r="3652" spans="1:19">
      <c r="A3652" s="135" t="s">
        <v>5776</v>
      </c>
      <c r="B3652" s="129" t="str">
        <f>IFERROR(VLOOKUP(Proc[[#This Row],[App]],Table2[],3,0),"open")</f>
        <v>open</v>
      </c>
      <c r="C3652" s="135" t="s">
        <v>375</v>
      </c>
      <c r="D3652" t="s">
        <v>5765</v>
      </c>
      <c r="E3652" t="s">
        <v>5774</v>
      </c>
      <c r="F3652" s="129" t="s">
        <v>5949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0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on track</v>
      </c>
      <c r="Q3652" s="3">
        <f ca="1">IF(Proc[[#This Row],[DateClosed]]="",ABS(NETWORKDAYS(Proc[[#This Row],[DateOpened]],TODAY()))-1,ABS(NETWORKDAYS(Proc[[#This Row],[DateOpened]],Proc[[#This Row],[DateClosed]]))-1)</f>
        <v>2</v>
      </c>
      <c r="R3652" s="130" t="s">
        <v>746</v>
      </c>
      <c r="S3652" s="129"/>
    </row>
    <row r="3653" spans="1:19">
      <c r="A3653" s="135" t="s">
        <v>5776</v>
      </c>
      <c r="B3653" s="129" t="str">
        <f>IFERROR(VLOOKUP(Proc[[#This Row],[App]],Table2[],3,0),"open")</f>
        <v>open</v>
      </c>
      <c r="C3653" s="135" t="s">
        <v>375</v>
      </c>
      <c r="D3653" t="s">
        <v>5766</v>
      </c>
      <c r="E3653" t="s">
        <v>5774</v>
      </c>
      <c r="F3653" s="129" t="s">
        <v>5949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0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on track</v>
      </c>
      <c r="Q3653" s="3">
        <f ca="1">IF(Proc[[#This Row],[DateClosed]]="",ABS(NETWORKDAYS(Proc[[#This Row],[DateOpened]],TODAY()))-1,ABS(NETWORKDAYS(Proc[[#This Row],[DateOpened]],Proc[[#This Row],[DateClosed]]))-1)</f>
        <v>2</v>
      </c>
      <c r="R3653" s="130" t="s">
        <v>746</v>
      </c>
      <c r="S3653" s="129"/>
    </row>
    <row r="3654" spans="1:19">
      <c r="A3654" s="135" t="s">
        <v>5776</v>
      </c>
      <c r="B3654" s="129" t="str">
        <f>IFERROR(VLOOKUP(Proc[[#This Row],[App]],Table2[],3,0),"open")</f>
        <v>open</v>
      </c>
      <c r="C3654" s="135" t="s">
        <v>375</v>
      </c>
      <c r="D3654" t="s">
        <v>5767</v>
      </c>
      <c r="E3654" t="s">
        <v>5774</v>
      </c>
      <c r="F3654" s="129" t="s">
        <v>5949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0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on track</v>
      </c>
      <c r="Q3654" s="3">
        <f ca="1">IF(Proc[[#This Row],[DateClosed]]="",ABS(NETWORKDAYS(Proc[[#This Row],[DateOpened]],TODAY()))-1,ABS(NETWORKDAYS(Proc[[#This Row],[DateOpened]],Proc[[#This Row],[DateClosed]]))-1)</f>
        <v>2</v>
      </c>
      <c r="R3654" s="130" t="s">
        <v>746</v>
      </c>
      <c r="S3654" s="129"/>
    </row>
    <row r="3655" spans="1:19">
      <c r="A3655" s="135" t="s">
        <v>5776</v>
      </c>
      <c r="B3655" s="129" t="str">
        <f>IFERROR(VLOOKUP(Proc[[#This Row],[App]],Table2[],3,0),"open")</f>
        <v>open</v>
      </c>
      <c r="C3655" s="135" t="s">
        <v>375</v>
      </c>
      <c r="D3655" t="s">
        <v>5768</v>
      </c>
      <c r="E3655" t="s">
        <v>5774</v>
      </c>
      <c r="F3655" s="129" t="s">
        <v>5949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0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on track</v>
      </c>
      <c r="Q3655" s="3">
        <f ca="1">IF(Proc[[#This Row],[DateClosed]]="",ABS(NETWORKDAYS(Proc[[#This Row],[DateOpened]],TODAY()))-1,ABS(NETWORKDAYS(Proc[[#This Row],[DateOpened]],Proc[[#This Row],[DateClosed]]))-1)</f>
        <v>2</v>
      </c>
      <c r="R3655" s="130" t="s">
        <v>746</v>
      </c>
      <c r="S3655" s="129"/>
    </row>
    <row r="3656" spans="1:19">
      <c r="A3656" s="135" t="s">
        <v>5776</v>
      </c>
      <c r="B3656" s="129" t="str">
        <f>IFERROR(VLOOKUP(Proc[[#This Row],[App]],Table2[],3,0),"open")</f>
        <v>open</v>
      </c>
      <c r="C3656" s="135" t="s">
        <v>375</v>
      </c>
      <c r="D3656" t="s">
        <v>5769</v>
      </c>
      <c r="E3656" t="s">
        <v>5774</v>
      </c>
      <c r="F3656" s="129" t="s">
        <v>5949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0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on track</v>
      </c>
      <c r="Q3656" s="3">
        <f ca="1">IF(Proc[[#This Row],[DateClosed]]="",ABS(NETWORKDAYS(Proc[[#This Row],[DateOpened]],TODAY()))-1,ABS(NETWORKDAYS(Proc[[#This Row],[DateOpened]],Proc[[#This Row],[DateClosed]]))-1)</f>
        <v>2</v>
      </c>
      <c r="R3656" s="130" t="s">
        <v>746</v>
      </c>
      <c r="S3656" s="129"/>
    </row>
    <row r="3657" spans="1:19">
      <c r="A3657" s="135" t="s">
        <v>5776</v>
      </c>
      <c r="B3657" s="129" t="str">
        <f>IFERROR(VLOOKUP(Proc[[#This Row],[App]],Table2[],3,0),"open")</f>
        <v>open</v>
      </c>
      <c r="C3657" s="135" t="s">
        <v>375</v>
      </c>
      <c r="D3657" t="s">
        <v>5770</v>
      </c>
      <c r="E3657" t="s">
        <v>5774</v>
      </c>
      <c r="F3657" s="129" t="s">
        <v>5949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0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on track</v>
      </c>
      <c r="Q3657" s="3">
        <f ca="1">IF(Proc[[#This Row],[DateClosed]]="",ABS(NETWORKDAYS(Proc[[#This Row],[DateOpened]],TODAY()))-1,ABS(NETWORKDAYS(Proc[[#This Row],[DateOpened]],Proc[[#This Row],[DateClosed]]))-1)</f>
        <v>2</v>
      </c>
      <c r="R3657" s="130" t="s">
        <v>746</v>
      </c>
      <c r="S3657" s="129"/>
    </row>
    <row r="3658" spans="1:19" hidden="1">
      <c r="A3658" s="135" t="s">
        <v>5776</v>
      </c>
      <c r="B3658" s="129" t="str">
        <f>IFERROR(VLOOKUP(Proc[[#This Row],[App]],Table2[],3,0),"open")</f>
        <v>open</v>
      </c>
      <c r="C3658" s="135" t="s">
        <v>369</v>
      </c>
      <c r="D3658" t="s">
        <v>5771</v>
      </c>
      <c r="E3658" t="s">
        <v>5775</v>
      </c>
      <c r="F3658" s="129" t="s">
        <v>5775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on track</v>
      </c>
      <c r="Q3658" s="3">
        <f ca="1">IF(Proc[[#This Row],[DateClosed]]="",ABS(NETWORKDAYS(Proc[[#This Row],[DateOpened]],TODAY()))-1,ABS(NETWORKDAYS(Proc[[#This Row],[DateOpened]],Proc[[#This Row],[DateClosed]]))-1)</f>
        <v>2</v>
      </c>
      <c r="R3658" s="130" t="s">
        <v>746</v>
      </c>
      <c r="S3658" s="129"/>
    </row>
    <row r="3659" spans="1:19" hidden="1">
      <c r="A3659" s="135" t="s">
        <v>5776</v>
      </c>
      <c r="B3659" s="129" t="str">
        <f>IFERROR(VLOOKUP(Proc[[#This Row],[App]],Table2[],3,0),"open")</f>
        <v>open</v>
      </c>
      <c r="C3659" s="135" t="s">
        <v>369</v>
      </c>
      <c r="D3659" t="s">
        <v>5772</v>
      </c>
      <c r="E3659" t="s">
        <v>5775</v>
      </c>
      <c r="F3659" s="129" t="s">
        <v>5775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on track</v>
      </c>
      <c r="Q3659" s="3">
        <f ca="1">IF(Proc[[#This Row],[DateClosed]]="",ABS(NETWORKDAYS(Proc[[#This Row],[DateOpened]],TODAY()))-1,ABS(NETWORKDAYS(Proc[[#This Row],[DateOpened]],Proc[[#This Row],[DateClosed]]))-1)</f>
        <v>2</v>
      </c>
      <c r="R3659" s="130" t="s">
        <v>746</v>
      </c>
      <c r="S3659" s="129"/>
    </row>
    <row r="3660" spans="1:19" hidden="1">
      <c r="A3660" s="135" t="s">
        <v>5776</v>
      </c>
      <c r="B3660" s="129" t="str">
        <f>IFERROR(VLOOKUP(Proc[[#This Row],[App]],Table2[],3,0),"open")</f>
        <v>open</v>
      </c>
      <c r="C3660" s="135" t="s">
        <v>369</v>
      </c>
      <c r="D3660" t="s">
        <v>5773</v>
      </c>
      <c r="E3660" t="s">
        <v>5775</v>
      </c>
      <c r="F3660" s="129" t="s">
        <v>5775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on track</v>
      </c>
      <c r="Q3660" s="3">
        <f ca="1">IF(Proc[[#This Row],[DateClosed]]="",ABS(NETWORKDAYS(Proc[[#This Row],[DateOpened]],TODAY()))-1,ABS(NETWORKDAYS(Proc[[#This Row],[DateOpened]],Proc[[#This Row],[DateClosed]]))-1)</f>
        <v>2</v>
      </c>
      <c r="R3660" s="130" t="s">
        <v>746</v>
      </c>
      <c r="S3660" s="129"/>
    </row>
    <row r="3661" spans="1:19">
      <c r="A3661" t="s">
        <v>5778</v>
      </c>
      <c r="B3661" s="129" t="str">
        <f>IFERROR(VLOOKUP(Proc[[#This Row],[App]],Table2[],3,0),"open")</f>
        <v>open</v>
      </c>
      <c r="C3661" s="135" t="s">
        <v>370</v>
      </c>
      <c r="D3661" t="s">
        <v>5779</v>
      </c>
      <c r="E3661" t="s">
        <v>5553</v>
      </c>
      <c r="F3661" s="129" t="s">
        <v>5950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0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on track</v>
      </c>
      <c r="Q3661" s="3">
        <f ca="1">IF(Proc[[#This Row],[DateClosed]]="",ABS(NETWORKDAYS(Proc[[#This Row],[DateOpened]],TODAY()))-1,ABS(NETWORKDAYS(Proc[[#This Row],[DateOpened]],Proc[[#This Row],[DateClosed]]))-1)</f>
        <v>1</v>
      </c>
      <c r="R3661" s="130" t="s">
        <v>489</v>
      </c>
      <c r="S3661" s="129"/>
    </row>
    <row r="3662" spans="1:19">
      <c r="A3662" s="135" t="s">
        <v>5778</v>
      </c>
      <c r="B3662" s="129" t="str">
        <f>IFERROR(VLOOKUP(Proc[[#This Row],[App]],Table2[],3,0),"open")</f>
        <v>open</v>
      </c>
      <c r="C3662" s="135" t="s">
        <v>370</v>
      </c>
      <c r="D3662" t="s">
        <v>5780</v>
      </c>
      <c r="E3662" t="s">
        <v>5806</v>
      </c>
      <c r="F3662" s="129" t="s">
        <v>1716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0</v>
      </c>
      <c r="K3662" s="129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on track</v>
      </c>
      <c r="Q3662" s="3">
        <f ca="1">IF(Proc[[#This Row],[DateClosed]]="",ABS(NETWORKDAYS(Proc[[#This Row],[DateOpened]],TODAY()))-1,ABS(NETWORKDAYS(Proc[[#This Row],[DateOpened]],Proc[[#This Row],[DateClosed]]))-1)</f>
        <v>1</v>
      </c>
      <c r="R3662" s="131" t="s">
        <v>489</v>
      </c>
      <c r="S3662" s="129"/>
    </row>
    <row r="3663" spans="1:19">
      <c r="A3663" s="135" t="s">
        <v>5778</v>
      </c>
      <c r="B3663" s="129" t="str">
        <f>IFERROR(VLOOKUP(Proc[[#This Row],[App]],Table2[],3,0),"open")</f>
        <v>open</v>
      </c>
      <c r="C3663" s="135" t="s">
        <v>370</v>
      </c>
      <c r="D3663" t="s">
        <v>5781</v>
      </c>
      <c r="E3663" t="s">
        <v>5807</v>
      </c>
      <c r="F3663" s="129" t="s">
        <v>5951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0</v>
      </c>
      <c r="K3663" s="129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on track</v>
      </c>
      <c r="Q3663" s="3">
        <f ca="1">IF(Proc[[#This Row],[DateClosed]]="",ABS(NETWORKDAYS(Proc[[#This Row],[DateOpened]],TODAY()))-1,ABS(NETWORKDAYS(Proc[[#This Row],[DateOpened]],Proc[[#This Row],[DateClosed]]))-1)</f>
        <v>1</v>
      </c>
      <c r="R3663" s="131" t="s">
        <v>489</v>
      </c>
      <c r="S3663" s="129"/>
    </row>
    <row r="3664" spans="1:19">
      <c r="A3664" s="135" t="s">
        <v>5778</v>
      </c>
      <c r="B3664" s="129" t="str">
        <f>IFERROR(VLOOKUP(Proc[[#This Row],[App]],Table2[],3,0),"open")</f>
        <v>open</v>
      </c>
      <c r="C3664" s="135" t="s">
        <v>370</v>
      </c>
      <c r="D3664" t="s">
        <v>5782</v>
      </c>
      <c r="E3664" t="s">
        <v>5807</v>
      </c>
      <c r="F3664" s="129" t="s">
        <v>5951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0</v>
      </c>
      <c r="K3664" s="129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on track</v>
      </c>
      <c r="Q3664" s="3">
        <f ca="1">IF(Proc[[#This Row],[DateClosed]]="",ABS(NETWORKDAYS(Proc[[#This Row],[DateOpened]],TODAY()))-1,ABS(NETWORKDAYS(Proc[[#This Row],[DateOpened]],Proc[[#This Row],[DateClosed]]))-1)</f>
        <v>1</v>
      </c>
      <c r="R3664" s="131" t="s">
        <v>489</v>
      </c>
      <c r="S3664" s="129"/>
    </row>
    <row r="3665" spans="1:19">
      <c r="A3665" s="135" t="s">
        <v>5778</v>
      </c>
      <c r="B3665" s="129" t="str">
        <f>IFERROR(VLOOKUP(Proc[[#This Row],[App]],Table2[],3,0),"open")</f>
        <v>open</v>
      </c>
      <c r="C3665" s="135" t="s">
        <v>370</v>
      </c>
      <c r="D3665" t="s">
        <v>5783</v>
      </c>
      <c r="E3665" t="s">
        <v>5807</v>
      </c>
      <c r="F3665" s="129" t="s">
        <v>5952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0</v>
      </c>
      <c r="K3665" s="129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on track</v>
      </c>
      <c r="Q3665" s="3">
        <f ca="1">IF(Proc[[#This Row],[DateClosed]]="",ABS(NETWORKDAYS(Proc[[#This Row],[DateOpened]],TODAY()))-1,ABS(NETWORKDAYS(Proc[[#This Row],[DateOpened]],Proc[[#This Row],[DateClosed]]))-1)</f>
        <v>1</v>
      </c>
      <c r="R3665" s="131" t="s">
        <v>489</v>
      </c>
      <c r="S3665" s="129"/>
    </row>
    <row r="3666" spans="1:19">
      <c r="A3666" s="135" t="s">
        <v>5778</v>
      </c>
      <c r="B3666" s="129" t="str">
        <f>IFERROR(VLOOKUP(Proc[[#This Row],[App]],Table2[],3,0),"open")</f>
        <v>open</v>
      </c>
      <c r="C3666" s="135" t="s">
        <v>370</v>
      </c>
      <c r="D3666" t="s">
        <v>5784</v>
      </c>
      <c r="E3666" t="s">
        <v>5808</v>
      </c>
      <c r="F3666" s="129" t="s">
        <v>5953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0</v>
      </c>
      <c r="K3666" s="129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on track</v>
      </c>
      <c r="Q3666" s="3">
        <f ca="1">IF(Proc[[#This Row],[DateClosed]]="",ABS(NETWORKDAYS(Proc[[#This Row],[DateOpened]],TODAY()))-1,ABS(NETWORKDAYS(Proc[[#This Row],[DateOpened]],Proc[[#This Row],[DateClosed]]))-1)</f>
        <v>1</v>
      </c>
      <c r="R3666" s="131" t="s">
        <v>489</v>
      </c>
      <c r="S3666" s="129"/>
    </row>
    <row r="3667" spans="1:19">
      <c r="A3667" s="135" t="s">
        <v>5778</v>
      </c>
      <c r="B3667" s="129" t="str">
        <f>IFERROR(VLOOKUP(Proc[[#This Row],[App]],Table2[],3,0),"open")</f>
        <v>open</v>
      </c>
      <c r="C3667" s="135" t="s">
        <v>370</v>
      </c>
      <c r="D3667" t="s">
        <v>5785</v>
      </c>
      <c r="E3667" t="s">
        <v>5808</v>
      </c>
      <c r="F3667" s="129" t="s">
        <v>5953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0</v>
      </c>
      <c r="K3667" s="129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on track</v>
      </c>
      <c r="Q3667" s="3">
        <f ca="1">IF(Proc[[#This Row],[DateClosed]]="",ABS(NETWORKDAYS(Proc[[#This Row],[DateOpened]],TODAY()))-1,ABS(NETWORKDAYS(Proc[[#This Row],[DateOpened]],Proc[[#This Row],[DateClosed]]))-1)</f>
        <v>1</v>
      </c>
      <c r="R3667" s="131" t="s">
        <v>489</v>
      </c>
      <c r="S3667" s="129"/>
    </row>
    <row r="3668" spans="1:19">
      <c r="A3668" s="135" t="s">
        <v>5778</v>
      </c>
      <c r="B3668" s="129" t="str">
        <f>IFERROR(VLOOKUP(Proc[[#This Row],[App]],Table2[],3,0),"open")</f>
        <v>open</v>
      </c>
      <c r="C3668" s="135" t="s">
        <v>370</v>
      </c>
      <c r="D3668" t="s">
        <v>5786</v>
      </c>
      <c r="E3668" t="s">
        <v>5809</v>
      </c>
      <c r="F3668" s="129" t="s">
        <v>5953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0</v>
      </c>
      <c r="K3668" s="129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on track</v>
      </c>
      <c r="Q3668" s="3">
        <f ca="1">IF(Proc[[#This Row],[DateClosed]]="",ABS(NETWORKDAYS(Proc[[#This Row],[DateOpened]],TODAY()))-1,ABS(NETWORKDAYS(Proc[[#This Row],[DateOpened]],Proc[[#This Row],[DateClosed]]))-1)</f>
        <v>1</v>
      </c>
      <c r="R3668" s="131" t="s">
        <v>489</v>
      </c>
      <c r="S3668" s="129"/>
    </row>
    <row r="3669" spans="1:19">
      <c r="A3669" s="135" t="s">
        <v>5778</v>
      </c>
      <c r="B3669" s="129" t="str">
        <f>IFERROR(VLOOKUP(Proc[[#This Row],[App]],Table2[],3,0),"open")</f>
        <v>open</v>
      </c>
      <c r="C3669" s="135" t="s">
        <v>370</v>
      </c>
      <c r="D3669" t="s">
        <v>5787</v>
      </c>
      <c r="E3669" t="s">
        <v>5809</v>
      </c>
      <c r="F3669" s="129" t="s">
        <v>5953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0</v>
      </c>
      <c r="K3669" s="129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on track</v>
      </c>
      <c r="Q3669" s="3">
        <f ca="1">IF(Proc[[#This Row],[DateClosed]]="",ABS(NETWORKDAYS(Proc[[#This Row],[DateOpened]],TODAY()))-1,ABS(NETWORKDAYS(Proc[[#This Row],[DateOpened]],Proc[[#This Row],[DateClosed]]))-1)</f>
        <v>1</v>
      </c>
      <c r="R3669" s="131" t="s">
        <v>489</v>
      </c>
      <c r="S3669" s="129"/>
    </row>
    <row r="3670" spans="1:19">
      <c r="A3670" s="135" t="s">
        <v>5778</v>
      </c>
      <c r="B3670" s="129" t="str">
        <f>IFERROR(VLOOKUP(Proc[[#This Row],[App]],Table2[],3,0),"open")</f>
        <v>open</v>
      </c>
      <c r="C3670" s="135" t="s">
        <v>370</v>
      </c>
      <c r="D3670" t="s">
        <v>5788</v>
      </c>
      <c r="E3670" t="s">
        <v>5810</v>
      </c>
      <c r="F3670" s="129" t="s">
        <v>5954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0</v>
      </c>
      <c r="K3670" s="129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on track</v>
      </c>
      <c r="Q3670" s="3">
        <f ca="1">IF(Proc[[#This Row],[DateClosed]]="",ABS(NETWORKDAYS(Proc[[#This Row],[DateOpened]],TODAY()))-1,ABS(NETWORKDAYS(Proc[[#This Row],[DateOpened]],Proc[[#This Row],[DateClosed]]))-1)</f>
        <v>1</v>
      </c>
      <c r="R3670" s="131" t="s">
        <v>489</v>
      </c>
      <c r="S3670" s="129"/>
    </row>
    <row r="3671" spans="1:19">
      <c r="A3671" s="135" t="s">
        <v>5778</v>
      </c>
      <c r="B3671" s="129" t="str">
        <f>IFERROR(VLOOKUP(Proc[[#This Row],[App]],Table2[],3,0),"open")</f>
        <v>open</v>
      </c>
      <c r="C3671" s="135" t="s">
        <v>370</v>
      </c>
      <c r="D3671" t="s">
        <v>5789</v>
      </c>
      <c r="E3671" t="s">
        <v>5811</v>
      </c>
      <c r="F3671" s="129" t="s">
        <v>4932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0</v>
      </c>
      <c r="K3671" s="129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on track</v>
      </c>
      <c r="Q3671" s="3">
        <f ca="1">IF(Proc[[#This Row],[DateClosed]]="",ABS(NETWORKDAYS(Proc[[#This Row],[DateOpened]],TODAY()))-1,ABS(NETWORKDAYS(Proc[[#This Row],[DateOpened]],Proc[[#This Row],[DateClosed]]))-1)</f>
        <v>1</v>
      </c>
      <c r="R3671" s="131" t="s">
        <v>489</v>
      </c>
      <c r="S3671" s="129"/>
    </row>
    <row r="3672" spans="1:19">
      <c r="A3672" s="135" t="s">
        <v>5778</v>
      </c>
      <c r="B3672" s="129" t="str">
        <f>IFERROR(VLOOKUP(Proc[[#This Row],[App]],Table2[],3,0),"open")</f>
        <v>open</v>
      </c>
      <c r="C3672" s="135" t="s">
        <v>370</v>
      </c>
      <c r="D3672" t="s">
        <v>5790</v>
      </c>
      <c r="E3672" t="s">
        <v>4386</v>
      </c>
      <c r="F3672" s="129" t="s">
        <v>4932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0</v>
      </c>
      <c r="K3672" s="129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on track</v>
      </c>
      <c r="Q3672" s="3">
        <f ca="1">IF(Proc[[#This Row],[DateClosed]]="",ABS(NETWORKDAYS(Proc[[#This Row],[DateOpened]],TODAY()))-1,ABS(NETWORKDAYS(Proc[[#This Row],[DateOpened]],Proc[[#This Row],[DateClosed]]))-1)</f>
        <v>1</v>
      </c>
      <c r="R3672" s="131" t="s">
        <v>489</v>
      </c>
      <c r="S3672" s="129"/>
    </row>
    <row r="3673" spans="1:19">
      <c r="A3673" s="135" t="s">
        <v>5778</v>
      </c>
      <c r="B3673" s="129" t="str">
        <f>IFERROR(VLOOKUP(Proc[[#This Row],[App]],Table2[],3,0),"open")</f>
        <v>open</v>
      </c>
      <c r="C3673" s="135" t="s">
        <v>370</v>
      </c>
      <c r="D3673" t="s">
        <v>3091</v>
      </c>
      <c r="E3673" t="s">
        <v>5812</v>
      </c>
      <c r="F3673" s="129" t="s">
        <v>2411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0</v>
      </c>
      <c r="K3673" s="129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on track</v>
      </c>
      <c r="Q3673" s="3">
        <f ca="1">IF(Proc[[#This Row],[DateClosed]]="",ABS(NETWORKDAYS(Proc[[#This Row],[DateOpened]],TODAY()))-1,ABS(NETWORKDAYS(Proc[[#This Row],[DateOpened]],Proc[[#This Row],[DateClosed]]))-1)</f>
        <v>1</v>
      </c>
      <c r="R3673" s="131" t="s">
        <v>489</v>
      </c>
      <c r="S3673" s="129"/>
    </row>
    <row r="3674" spans="1:19">
      <c r="A3674" s="135" t="s">
        <v>5778</v>
      </c>
      <c r="B3674" s="129" t="str">
        <f>IFERROR(VLOOKUP(Proc[[#This Row],[App]],Table2[],3,0),"open")</f>
        <v>open</v>
      </c>
      <c r="C3674" s="135" t="s">
        <v>370</v>
      </c>
      <c r="D3674" t="s">
        <v>5791</v>
      </c>
      <c r="E3674" t="s">
        <v>5813</v>
      </c>
      <c r="F3674" s="129" t="s">
        <v>5955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0</v>
      </c>
      <c r="K3674" s="129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on track</v>
      </c>
      <c r="Q3674" s="3">
        <f ca="1">IF(Proc[[#This Row],[DateClosed]]="",ABS(NETWORKDAYS(Proc[[#This Row],[DateOpened]],TODAY()))-1,ABS(NETWORKDAYS(Proc[[#This Row],[DateOpened]],Proc[[#This Row],[DateClosed]]))-1)</f>
        <v>1</v>
      </c>
      <c r="R3674" s="131" t="s">
        <v>489</v>
      </c>
      <c r="S3674" s="129"/>
    </row>
    <row r="3675" spans="1:19">
      <c r="A3675" s="135" t="s">
        <v>5778</v>
      </c>
      <c r="B3675" s="129" t="str">
        <f>IFERROR(VLOOKUP(Proc[[#This Row],[App]],Table2[],3,0),"open")</f>
        <v>open</v>
      </c>
      <c r="C3675" s="135" t="s">
        <v>370</v>
      </c>
      <c r="D3675" t="s">
        <v>5792</v>
      </c>
      <c r="E3675" t="s">
        <v>3545</v>
      </c>
      <c r="F3675" s="129" t="s">
        <v>5956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0</v>
      </c>
      <c r="K3675" s="129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on track</v>
      </c>
      <c r="Q3675" s="3">
        <f ca="1">IF(Proc[[#This Row],[DateClosed]]="",ABS(NETWORKDAYS(Proc[[#This Row],[DateOpened]],TODAY()))-1,ABS(NETWORKDAYS(Proc[[#This Row],[DateOpened]],Proc[[#This Row],[DateClosed]]))-1)</f>
        <v>1</v>
      </c>
      <c r="R3675" s="131" t="s">
        <v>489</v>
      </c>
      <c r="S3675" s="129"/>
    </row>
    <row r="3676" spans="1:19">
      <c r="A3676" s="135" t="s">
        <v>5778</v>
      </c>
      <c r="B3676" s="129" t="str">
        <f>IFERROR(VLOOKUP(Proc[[#This Row],[App]],Table2[],3,0),"open")</f>
        <v>open</v>
      </c>
      <c r="C3676" s="135" t="s">
        <v>370</v>
      </c>
      <c r="D3676" t="s">
        <v>5793</v>
      </c>
      <c r="E3676" t="s">
        <v>3545</v>
      </c>
      <c r="F3676" s="129" t="s">
        <v>5956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0</v>
      </c>
      <c r="K3676" s="129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on track</v>
      </c>
      <c r="Q3676" s="3">
        <f ca="1">IF(Proc[[#This Row],[DateClosed]]="",ABS(NETWORKDAYS(Proc[[#This Row],[DateOpened]],TODAY()))-1,ABS(NETWORKDAYS(Proc[[#This Row],[DateOpened]],Proc[[#This Row],[DateClosed]]))-1)</f>
        <v>1</v>
      </c>
      <c r="R3676" s="131" t="s">
        <v>489</v>
      </c>
      <c r="S3676" s="129"/>
    </row>
    <row r="3677" spans="1:19">
      <c r="A3677" s="135" t="s">
        <v>5778</v>
      </c>
      <c r="B3677" s="129" t="str">
        <f>IFERROR(VLOOKUP(Proc[[#This Row],[App]],Table2[],3,0),"open")</f>
        <v>open</v>
      </c>
      <c r="C3677" s="135" t="s">
        <v>370</v>
      </c>
      <c r="D3677" t="s">
        <v>5794</v>
      </c>
      <c r="E3677" t="s">
        <v>3545</v>
      </c>
      <c r="F3677" s="129" t="s">
        <v>5956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0</v>
      </c>
      <c r="K3677" s="129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on track</v>
      </c>
      <c r="Q3677" s="3">
        <f ca="1">IF(Proc[[#This Row],[DateClosed]]="",ABS(NETWORKDAYS(Proc[[#This Row],[DateOpened]],TODAY()))-1,ABS(NETWORKDAYS(Proc[[#This Row],[DateOpened]],Proc[[#This Row],[DateClosed]]))-1)</f>
        <v>1</v>
      </c>
      <c r="R3677" s="131" t="s">
        <v>489</v>
      </c>
      <c r="S3677" s="129"/>
    </row>
    <row r="3678" spans="1:19">
      <c r="A3678" s="135" t="s">
        <v>5778</v>
      </c>
      <c r="B3678" s="129" t="str">
        <f>IFERROR(VLOOKUP(Proc[[#This Row],[App]],Table2[],3,0),"open")</f>
        <v>open</v>
      </c>
      <c r="C3678" s="135" t="s">
        <v>370</v>
      </c>
      <c r="D3678" t="s">
        <v>5795</v>
      </c>
      <c r="E3678" t="s">
        <v>5814</v>
      </c>
      <c r="F3678" s="129" t="s">
        <v>5956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0</v>
      </c>
      <c r="K3678" s="129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on track</v>
      </c>
      <c r="Q3678" s="3">
        <f ca="1">IF(Proc[[#This Row],[DateClosed]]="",ABS(NETWORKDAYS(Proc[[#This Row],[DateOpened]],TODAY()))-1,ABS(NETWORKDAYS(Proc[[#This Row],[DateOpened]],Proc[[#This Row],[DateClosed]]))-1)</f>
        <v>1</v>
      </c>
      <c r="R3678" s="131" t="s">
        <v>489</v>
      </c>
      <c r="S3678" s="129"/>
    </row>
    <row r="3679" spans="1:19">
      <c r="A3679" s="135" t="s">
        <v>5778</v>
      </c>
      <c r="B3679" s="129" t="str">
        <f>IFERROR(VLOOKUP(Proc[[#This Row],[App]],Table2[],3,0),"open")</f>
        <v>open</v>
      </c>
      <c r="C3679" s="135" t="s">
        <v>370</v>
      </c>
      <c r="D3679" t="s">
        <v>5796</v>
      </c>
      <c r="E3679" t="s">
        <v>5814</v>
      </c>
      <c r="F3679" s="129" t="s">
        <v>5956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0</v>
      </c>
      <c r="K3679" s="129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on track</v>
      </c>
      <c r="Q3679" s="3">
        <f ca="1">IF(Proc[[#This Row],[DateClosed]]="",ABS(NETWORKDAYS(Proc[[#This Row],[DateOpened]],TODAY()))-1,ABS(NETWORKDAYS(Proc[[#This Row],[DateOpened]],Proc[[#This Row],[DateClosed]]))-1)</f>
        <v>1</v>
      </c>
      <c r="R3679" s="131" t="s">
        <v>489</v>
      </c>
      <c r="S3679" s="129"/>
    </row>
    <row r="3680" spans="1:19">
      <c r="A3680" s="135" t="s">
        <v>5778</v>
      </c>
      <c r="B3680" s="129" t="str">
        <f>IFERROR(VLOOKUP(Proc[[#This Row],[App]],Table2[],3,0),"open")</f>
        <v>open</v>
      </c>
      <c r="C3680" s="135" t="s">
        <v>370</v>
      </c>
      <c r="D3680" t="s">
        <v>3481</v>
      </c>
      <c r="E3680" t="s">
        <v>3545</v>
      </c>
      <c r="F3680" s="129" t="s">
        <v>3531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0</v>
      </c>
      <c r="K3680" s="129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on track</v>
      </c>
      <c r="Q3680" s="3">
        <f ca="1">IF(Proc[[#This Row],[DateClosed]]="",ABS(NETWORKDAYS(Proc[[#This Row],[DateOpened]],TODAY()))-1,ABS(NETWORKDAYS(Proc[[#This Row],[DateOpened]],Proc[[#This Row],[DateClosed]]))-1)</f>
        <v>1</v>
      </c>
      <c r="R3680" s="131" t="s">
        <v>489</v>
      </c>
      <c r="S3680" s="129"/>
    </row>
    <row r="3681" spans="1:19">
      <c r="A3681" s="135" t="s">
        <v>5778</v>
      </c>
      <c r="B3681" s="129" t="str">
        <f>IFERROR(VLOOKUP(Proc[[#This Row],[App]],Table2[],3,0),"open")</f>
        <v>open</v>
      </c>
      <c r="C3681" s="135" t="s">
        <v>370</v>
      </c>
      <c r="D3681" t="s">
        <v>3490</v>
      </c>
      <c r="E3681" t="s">
        <v>3528</v>
      </c>
      <c r="F3681" s="129" t="s">
        <v>3531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0</v>
      </c>
      <c r="K3681" s="129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on track</v>
      </c>
      <c r="Q3681" s="3">
        <f ca="1">IF(Proc[[#This Row],[DateClosed]]="",ABS(NETWORKDAYS(Proc[[#This Row],[DateOpened]],TODAY()))-1,ABS(NETWORKDAYS(Proc[[#This Row],[DateOpened]],Proc[[#This Row],[DateClosed]]))-1)</f>
        <v>1</v>
      </c>
      <c r="R3681" s="131" t="s">
        <v>489</v>
      </c>
      <c r="S3681" s="129"/>
    </row>
    <row r="3682" spans="1:19">
      <c r="A3682" s="135" t="s">
        <v>5778</v>
      </c>
      <c r="B3682" s="129" t="str">
        <f>IFERROR(VLOOKUP(Proc[[#This Row],[App]],Table2[],3,0),"open")</f>
        <v>open</v>
      </c>
      <c r="C3682" s="135" t="s">
        <v>370</v>
      </c>
      <c r="D3682" t="s">
        <v>5797</v>
      </c>
      <c r="E3682" t="s">
        <v>3545</v>
      </c>
      <c r="F3682" s="129" t="s">
        <v>3531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0</v>
      </c>
      <c r="K3682" s="129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on track</v>
      </c>
      <c r="Q3682" s="3">
        <f ca="1">IF(Proc[[#This Row],[DateClosed]]="",ABS(NETWORKDAYS(Proc[[#This Row],[DateOpened]],TODAY()))-1,ABS(NETWORKDAYS(Proc[[#This Row],[DateOpened]],Proc[[#This Row],[DateClosed]]))-1)</f>
        <v>1</v>
      </c>
      <c r="R3682" s="131" t="s">
        <v>489</v>
      </c>
      <c r="S3682" s="129"/>
    </row>
    <row r="3683" spans="1:19">
      <c r="A3683" s="135" t="s">
        <v>5778</v>
      </c>
      <c r="B3683" s="129" t="str">
        <f>IFERROR(VLOOKUP(Proc[[#This Row],[App]],Table2[],3,0),"open")</f>
        <v>open</v>
      </c>
      <c r="C3683" s="135" t="s">
        <v>370</v>
      </c>
      <c r="D3683" t="s">
        <v>5798</v>
      </c>
      <c r="E3683" t="s">
        <v>3528</v>
      </c>
      <c r="F3683" s="129" t="s">
        <v>3531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0</v>
      </c>
      <c r="K3683" s="129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on track</v>
      </c>
      <c r="Q3683" s="3">
        <f ca="1">IF(Proc[[#This Row],[DateClosed]]="",ABS(NETWORKDAYS(Proc[[#This Row],[DateOpened]],TODAY()))-1,ABS(NETWORKDAYS(Proc[[#This Row],[DateOpened]],Proc[[#This Row],[DateClosed]]))-1)</f>
        <v>1</v>
      </c>
      <c r="R3683" s="131" t="s">
        <v>489</v>
      </c>
      <c r="S3683" s="129"/>
    </row>
    <row r="3684" spans="1:19">
      <c r="A3684" s="135" t="s">
        <v>5778</v>
      </c>
      <c r="B3684" s="129" t="str">
        <f>IFERROR(VLOOKUP(Proc[[#This Row],[App]],Table2[],3,0),"open")</f>
        <v>open</v>
      </c>
      <c r="C3684" s="135" t="s">
        <v>370</v>
      </c>
      <c r="D3684" t="s">
        <v>5799</v>
      </c>
      <c r="E3684" t="s">
        <v>3528</v>
      </c>
      <c r="F3684" s="129" t="s">
        <v>3531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0</v>
      </c>
      <c r="K3684" s="129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on track</v>
      </c>
      <c r="Q3684" s="3">
        <f ca="1">IF(Proc[[#This Row],[DateClosed]]="",ABS(NETWORKDAYS(Proc[[#This Row],[DateOpened]],TODAY()))-1,ABS(NETWORKDAYS(Proc[[#This Row],[DateOpened]],Proc[[#This Row],[DateClosed]]))-1)</f>
        <v>1</v>
      </c>
      <c r="R3684" s="131" t="s">
        <v>489</v>
      </c>
      <c r="S3684" s="129"/>
    </row>
    <row r="3685" spans="1:19">
      <c r="A3685" s="135" t="s">
        <v>5778</v>
      </c>
      <c r="B3685" s="129" t="str">
        <f>IFERROR(VLOOKUP(Proc[[#This Row],[App]],Table2[],3,0),"open")</f>
        <v>open</v>
      </c>
      <c r="C3685" s="135" t="s">
        <v>370</v>
      </c>
      <c r="D3685" t="s">
        <v>5800</v>
      </c>
      <c r="E3685" t="s">
        <v>5815</v>
      </c>
      <c r="F3685" s="129" t="s">
        <v>3531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0</v>
      </c>
      <c r="K3685" s="129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on track</v>
      </c>
      <c r="Q3685" s="3">
        <f ca="1">IF(Proc[[#This Row],[DateClosed]]="",ABS(NETWORKDAYS(Proc[[#This Row],[DateOpened]],TODAY()))-1,ABS(NETWORKDAYS(Proc[[#This Row],[DateOpened]],Proc[[#This Row],[DateClosed]]))-1)</f>
        <v>1</v>
      </c>
      <c r="R3685" s="131" t="s">
        <v>489</v>
      </c>
      <c r="S3685" s="129"/>
    </row>
    <row r="3686" spans="1:19">
      <c r="A3686" s="135" t="s">
        <v>5778</v>
      </c>
      <c r="B3686" s="129" t="str">
        <f>IFERROR(VLOOKUP(Proc[[#This Row],[App]],Table2[],3,0),"open")</f>
        <v>open</v>
      </c>
      <c r="C3686" s="135" t="s">
        <v>370</v>
      </c>
      <c r="D3686" t="s">
        <v>5801</v>
      </c>
      <c r="E3686" t="s">
        <v>5816</v>
      </c>
      <c r="F3686" s="129" t="s">
        <v>5957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0</v>
      </c>
      <c r="K3686" s="129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on track</v>
      </c>
      <c r="Q3686" s="3">
        <f ca="1">IF(Proc[[#This Row],[DateClosed]]="",ABS(NETWORKDAYS(Proc[[#This Row],[DateOpened]],TODAY()))-1,ABS(NETWORKDAYS(Proc[[#This Row],[DateOpened]],Proc[[#This Row],[DateClosed]]))-1)</f>
        <v>1</v>
      </c>
      <c r="R3686" s="131" t="s">
        <v>489</v>
      </c>
      <c r="S3686" s="129"/>
    </row>
    <row r="3687" spans="1:19">
      <c r="A3687" s="135" t="s">
        <v>5778</v>
      </c>
      <c r="B3687" s="129" t="str">
        <f>IFERROR(VLOOKUP(Proc[[#This Row],[App]],Table2[],3,0),"open")</f>
        <v>open</v>
      </c>
      <c r="C3687" s="135" t="s">
        <v>370</v>
      </c>
      <c r="D3687" t="s">
        <v>5802</v>
      </c>
      <c r="E3687" t="s">
        <v>5816</v>
      </c>
      <c r="F3687" s="129" t="s">
        <v>5958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0</v>
      </c>
      <c r="K3687" s="129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on track</v>
      </c>
      <c r="Q3687" s="3">
        <f ca="1">IF(Proc[[#This Row],[DateClosed]]="",ABS(NETWORKDAYS(Proc[[#This Row],[DateOpened]],TODAY()))-1,ABS(NETWORKDAYS(Proc[[#This Row],[DateOpened]],Proc[[#This Row],[DateClosed]]))-1)</f>
        <v>1</v>
      </c>
      <c r="R3687" s="131" t="s">
        <v>489</v>
      </c>
      <c r="S3687" s="129"/>
    </row>
    <row r="3688" spans="1:19">
      <c r="A3688" s="135" t="s">
        <v>5778</v>
      </c>
      <c r="B3688" s="129" t="str">
        <f>IFERROR(VLOOKUP(Proc[[#This Row],[App]],Table2[],3,0),"open")</f>
        <v>open</v>
      </c>
      <c r="C3688" s="135" t="s">
        <v>370</v>
      </c>
      <c r="D3688" t="s">
        <v>5803</v>
      </c>
      <c r="E3688" t="s">
        <v>5817</v>
      </c>
      <c r="F3688" s="129" t="s">
        <v>1974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0</v>
      </c>
      <c r="K3688" s="129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on track</v>
      </c>
      <c r="Q3688" s="3">
        <f ca="1">IF(Proc[[#This Row],[DateClosed]]="",ABS(NETWORKDAYS(Proc[[#This Row],[DateOpened]],TODAY()))-1,ABS(NETWORKDAYS(Proc[[#This Row],[DateOpened]],Proc[[#This Row],[DateClosed]]))-1)</f>
        <v>1</v>
      </c>
      <c r="R3688" s="131" t="s">
        <v>489</v>
      </c>
      <c r="S3688" s="129"/>
    </row>
    <row r="3689" spans="1:19">
      <c r="A3689" s="135" t="s">
        <v>5778</v>
      </c>
      <c r="B3689" s="129" t="str">
        <f>IFERROR(VLOOKUP(Proc[[#This Row],[App]],Table2[],3,0),"open")</f>
        <v>open</v>
      </c>
      <c r="C3689" s="135" t="s">
        <v>370</v>
      </c>
      <c r="D3689" t="s">
        <v>5804</v>
      </c>
      <c r="E3689" t="s">
        <v>1236</v>
      </c>
      <c r="F3689" s="129" t="s">
        <v>5959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0</v>
      </c>
      <c r="K3689" s="129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on track</v>
      </c>
      <c r="Q3689" s="3">
        <f ca="1">IF(Proc[[#This Row],[DateClosed]]="",ABS(NETWORKDAYS(Proc[[#This Row],[DateOpened]],TODAY()))-1,ABS(NETWORKDAYS(Proc[[#This Row],[DateOpened]],Proc[[#This Row],[DateClosed]]))-1)</f>
        <v>1</v>
      </c>
      <c r="R3689" s="131" t="s">
        <v>489</v>
      </c>
      <c r="S3689" s="129"/>
    </row>
    <row r="3690" spans="1:19">
      <c r="A3690" s="135" t="s">
        <v>5778</v>
      </c>
      <c r="B3690" s="129" t="str">
        <f>IFERROR(VLOOKUP(Proc[[#This Row],[App]],Table2[],3,0),"open")</f>
        <v>open</v>
      </c>
      <c r="C3690" s="135" t="s">
        <v>370</v>
      </c>
      <c r="D3690" t="s">
        <v>2061</v>
      </c>
      <c r="E3690" t="s">
        <v>5818</v>
      </c>
      <c r="F3690" s="129" t="s">
        <v>2063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0</v>
      </c>
      <c r="K3690" s="129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on track</v>
      </c>
      <c r="Q3690" s="3">
        <f ca="1">IF(Proc[[#This Row],[DateClosed]]="",ABS(NETWORKDAYS(Proc[[#This Row],[DateOpened]],TODAY()))-1,ABS(NETWORKDAYS(Proc[[#This Row],[DateOpened]],Proc[[#This Row],[DateClosed]]))-1)</f>
        <v>1</v>
      </c>
      <c r="R3690" s="131" t="s">
        <v>489</v>
      </c>
      <c r="S3690" s="129"/>
    </row>
    <row r="3691" spans="1:19" hidden="1">
      <c r="A3691" s="135" t="s">
        <v>5778</v>
      </c>
      <c r="B3691" s="129" t="str">
        <f>IFERROR(VLOOKUP(Proc[[#This Row],[App]],Table2[],3,0),"open")</f>
        <v>open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29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on track</v>
      </c>
      <c r="Q3691" s="3">
        <f ca="1">IF(Proc[[#This Row],[DateClosed]]="",ABS(NETWORKDAYS(Proc[[#This Row],[DateOpened]],TODAY()))-1,ABS(NETWORKDAYS(Proc[[#This Row],[DateOpened]],Proc[[#This Row],[DateClosed]]))-1)</f>
        <v>1</v>
      </c>
      <c r="R3691" s="131" t="s">
        <v>489</v>
      </c>
      <c r="S3691" s="129"/>
    </row>
    <row r="3692" spans="1:19">
      <c r="A3692" s="135" t="s">
        <v>5778</v>
      </c>
      <c r="B3692" s="129" t="str">
        <f>IFERROR(VLOOKUP(Proc[[#This Row],[App]],Table2[],3,0),"open")</f>
        <v>open</v>
      </c>
      <c r="C3692" s="135" t="s">
        <v>375</v>
      </c>
      <c r="D3692" t="s">
        <v>5805</v>
      </c>
      <c r="E3692" t="s">
        <v>3557</v>
      </c>
      <c r="F3692" s="129" t="s">
        <v>2063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0</v>
      </c>
      <c r="K3692" s="129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on track</v>
      </c>
      <c r="Q3692" s="3">
        <f ca="1">IF(Proc[[#This Row],[DateClosed]]="",ABS(NETWORKDAYS(Proc[[#This Row],[DateOpened]],TODAY()))-1,ABS(NETWORKDAYS(Proc[[#This Row],[DateOpened]],Proc[[#This Row],[DateClosed]]))-1)</f>
        <v>1</v>
      </c>
      <c r="R3692" s="131" t="s">
        <v>489</v>
      </c>
      <c r="S3692" s="129"/>
    </row>
    <row r="3693" spans="1:19">
      <c r="A3693" s="135" t="s">
        <v>5778</v>
      </c>
      <c r="B3693" s="129" t="str">
        <f>IFERROR(VLOOKUP(Proc[[#This Row],[App]],Table2[],3,0),"open")</f>
        <v>open</v>
      </c>
      <c r="C3693" s="135" t="s">
        <v>375</v>
      </c>
      <c r="D3693" t="s">
        <v>2057</v>
      </c>
      <c r="E3693" t="s">
        <v>3557</v>
      </c>
      <c r="F3693" s="129" t="s">
        <v>2063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0</v>
      </c>
      <c r="K3693" s="129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on track</v>
      </c>
      <c r="Q3693" s="3">
        <f ca="1">IF(Proc[[#This Row],[DateClosed]]="",ABS(NETWORKDAYS(Proc[[#This Row],[DateOpened]],TODAY()))-1,ABS(NETWORKDAYS(Proc[[#This Row],[DateOpened]],Proc[[#This Row],[DateClosed]]))-1)</f>
        <v>1</v>
      </c>
      <c r="R3693" s="131" t="s">
        <v>489</v>
      </c>
      <c r="S3693" s="129"/>
    </row>
    <row r="3694" spans="1:19">
      <c r="A3694" s="135" t="s">
        <v>5778</v>
      </c>
      <c r="B3694" s="129" t="str">
        <f>IFERROR(VLOOKUP(Proc[[#This Row],[App]],Table2[],3,0),"open")</f>
        <v>open</v>
      </c>
      <c r="C3694" s="135" t="s">
        <v>370</v>
      </c>
      <c r="D3694" t="s">
        <v>2060</v>
      </c>
      <c r="E3694" t="s">
        <v>3557</v>
      </c>
      <c r="F3694" s="129" t="s">
        <v>2063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0</v>
      </c>
      <c r="K3694" s="129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on track</v>
      </c>
      <c r="Q3694" s="3">
        <f ca="1">IF(Proc[[#This Row],[DateClosed]]="",ABS(NETWORKDAYS(Proc[[#This Row],[DateOpened]],TODAY()))-1,ABS(NETWORKDAYS(Proc[[#This Row],[DateOpened]],Proc[[#This Row],[DateClosed]]))-1)</f>
        <v>1</v>
      </c>
      <c r="R3694" s="131" t="s">
        <v>489</v>
      </c>
      <c r="S3694" s="129"/>
    </row>
    <row r="3695" spans="1:19">
      <c r="A3695" s="135" t="s">
        <v>5778</v>
      </c>
      <c r="B3695" s="129" t="str">
        <f>IFERROR(VLOOKUP(Proc[[#This Row],[App]],Table2[],3,0),"open")</f>
        <v>open</v>
      </c>
      <c r="C3695" s="135" t="s">
        <v>370</v>
      </c>
      <c r="D3695" t="s">
        <v>2058</v>
      </c>
      <c r="E3695" t="s">
        <v>3557</v>
      </c>
      <c r="F3695" s="129" t="s">
        <v>2063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0</v>
      </c>
      <c r="K3695" s="129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on track</v>
      </c>
      <c r="Q3695" s="3">
        <f ca="1">IF(Proc[[#This Row],[DateClosed]]="",ABS(NETWORKDAYS(Proc[[#This Row],[DateOpened]],TODAY()))-1,ABS(NETWORKDAYS(Proc[[#This Row],[DateOpened]],Proc[[#This Row],[DateClosed]]))-1)</f>
        <v>1</v>
      </c>
      <c r="R3695" s="131" t="s">
        <v>489</v>
      </c>
      <c r="S3695" s="129"/>
    </row>
    <row r="3696" spans="1:19">
      <c r="A3696" t="s">
        <v>5819</v>
      </c>
      <c r="B3696" s="129" t="s">
        <v>925</v>
      </c>
      <c r="C3696" s="135" t="s">
        <v>375</v>
      </c>
      <c r="D3696" t="s">
        <v>5820</v>
      </c>
      <c r="E3696" t="s">
        <v>5852</v>
      </c>
      <c r="F3696" s="129" t="s">
        <v>5960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0</v>
      </c>
      <c r="K3696" s="129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on track</v>
      </c>
      <c r="Q3696" s="3">
        <f ca="1">IF(Proc[[#This Row],[DateClosed]]="",ABS(NETWORKDAYS(Proc[[#This Row],[DateOpened]],TODAY()))-1,ABS(NETWORKDAYS(Proc[[#This Row],[DateOpened]],Proc[[#This Row],[DateClosed]]))-1)</f>
        <v>0</v>
      </c>
      <c r="R3696" s="131" t="s">
        <v>489</v>
      </c>
      <c r="S3696" s="129"/>
    </row>
    <row r="3697" spans="1:19">
      <c r="A3697" s="135" t="s">
        <v>5819</v>
      </c>
      <c r="B3697" s="129" t="s">
        <v>925</v>
      </c>
      <c r="C3697" s="135" t="s">
        <v>370</v>
      </c>
      <c r="D3697" t="s">
        <v>5821</v>
      </c>
      <c r="E3697" t="s">
        <v>5852</v>
      </c>
      <c r="F3697" s="129" t="s">
        <v>5960</v>
      </c>
      <c r="G3697" s="135" t="s">
        <v>400</v>
      </c>
      <c r="H3697" s="129"/>
      <c r="J3697" s="129" t="b">
        <f>Proc[[#This Row],[Requested]]=Proc[[#This Row],[CurrentParent]]</f>
        <v>0</v>
      </c>
      <c r="K3697" s="129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on track</v>
      </c>
      <c r="Q3697" s="3">
        <f ca="1">IF(Proc[[#This Row],[DateClosed]]="",ABS(NETWORKDAYS(Proc[[#This Row],[DateOpened]],TODAY()))-1,ABS(NETWORKDAYS(Proc[[#This Row],[DateOpened]],Proc[[#This Row],[DateClosed]]))-1)</f>
        <v>0</v>
      </c>
      <c r="R3697" s="131" t="s">
        <v>489</v>
      </c>
      <c r="S3697" s="129"/>
    </row>
    <row r="3698" spans="1:19">
      <c r="A3698" s="135" t="s">
        <v>5819</v>
      </c>
      <c r="B3698" s="129" t="s">
        <v>925</v>
      </c>
      <c r="C3698" s="135" t="s">
        <v>370</v>
      </c>
      <c r="D3698" t="s">
        <v>5822</v>
      </c>
      <c r="E3698" t="s">
        <v>5853</v>
      </c>
      <c r="F3698" s="129" t="s">
        <v>5960</v>
      </c>
      <c r="G3698" s="135" t="s">
        <v>400</v>
      </c>
      <c r="H3698" s="129"/>
      <c r="J3698" s="129" t="b">
        <f>Proc[[#This Row],[Requested]]=Proc[[#This Row],[CurrentParent]]</f>
        <v>0</v>
      </c>
      <c r="K3698" s="129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on track</v>
      </c>
      <c r="Q3698" s="3">
        <f ca="1">IF(Proc[[#This Row],[DateClosed]]="",ABS(NETWORKDAYS(Proc[[#This Row],[DateOpened]],TODAY()))-1,ABS(NETWORKDAYS(Proc[[#This Row],[DateOpened]],Proc[[#This Row],[DateClosed]]))-1)</f>
        <v>0</v>
      </c>
      <c r="R3698" s="131" t="s">
        <v>489</v>
      </c>
      <c r="S3698" s="129"/>
    </row>
    <row r="3699" spans="1:19">
      <c r="A3699" s="135" t="s">
        <v>5819</v>
      </c>
      <c r="B3699" s="129" t="s">
        <v>925</v>
      </c>
      <c r="C3699" s="135" t="s">
        <v>370</v>
      </c>
      <c r="D3699" t="s">
        <v>5823</v>
      </c>
      <c r="E3699" t="s">
        <v>5854</v>
      </c>
      <c r="F3699" s="129" t="s">
        <v>5961</v>
      </c>
      <c r="G3699" s="135" t="s">
        <v>400</v>
      </c>
      <c r="H3699" s="129"/>
      <c r="J3699" s="129" t="b">
        <f>Proc[[#This Row],[Requested]]=Proc[[#This Row],[CurrentParent]]</f>
        <v>0</v>
      </c>
      <c r="K3699" s="129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on track</v>
      </c>
      <c r="Q3699" s="3">
        <f ca="1">IF(Proc[[#This Row],[DateClosed]]="",ABS(NETWORKDAYS(Proc[[#This Row],[DateOpened]],TODAY()))-1,ABS(NETWORKDAYS(Proc[[#This Row],[DateOpened]],Proc[[#This Row],[DateClosed]]))-1)</f>
        <v>0</v>
      </c>
      <c r="R3699" s="131" t="s">
        <v>489</v>
      </c>
      <c r="S3699" s="129"/>
    </row>
    <row r="3700" spans="1:19">
      <c r="A3700" s="135" t="s">
        <v>5819</v>
      </c>
      <c r="B3700" s="129" t="s">
        <v>925</v>
      </c>
      <c r="C3700" s="135" t="s">
        <v>370</v>
      </c>
      <c r="D3700" t="s">
        <v>5824</v>
      </c>
      <c r="E3700" t="s">
        <v>5854</v>
      </c>
      <c r="F3700" s="129" t="s">
        <v>5961</v>
      </c>
      <c r="G3700" s="135" t="s">
        <v>400</v>
      </c>
      <c r="H3700" s="129"/>
      <c r="J3700" s="129" t="b">
        <f>Proc[[#This Row],[Requested]]=Proc[[#This Row],[CurrentParent]]</f>
        <v>0</v>
      </c>
      <c r="K3700" s="129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on track</v>
      </c>
      <c r="Q3700" s="3">
        <f ca="1">IF(Proc[[#This Row],[DateClosed]]="",ABS(NETWORKDAYS(Proc[[#This Row],[DateOpened]],TODAY()))-1,ABS(NETWORKDAYS(Proc[[#This Row],[DateOpened]],Proc[[#This Row],[DateClosed]]))-1)</f>
        <v>0</v>
      </c>
      <c r="R3700" s="131" t="s">
        <v>489</v>
      </c>
      <c r="S3700" s="129"/>
    </row>
    <row r="3701" spans="1:19">
      <c r="A3701" s="135" t="s">
        <v>5819</v>
      </c>
      <c r="B3701" s="129" t="s">
        <v>925</v>
      </c>
      <c r="C3701" s="135" t="s">
        <v>370</v>
      </c>
      <c r="D3701" t="s">
        <v>5825</v>
      </c>
      <c r="E3701" t="s">
        <v>5854</v>
      </c>
      <c r="F3701" s="129" t="s">
        <v>5961</v>
      </c>
      <c r="G3701" s="135" t="s">
        <v>400</v>
      </c>
      <c r="H3701" s="129"/>
      <c r="J3701" s="129" t="b">
        <f>Proc[[#This Row],[Requested]]=Proc[[#This Row],[CurrentParent]]</f>
        <v>0</v>
      </c>
      <c r="K3701" s="129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on track</v>
      </c>
      <c r="Q3701" s="3">
        <f ca="1">IF(Proc[[#This Row],[DateClosed]]="",ABS(NETWORKDAYS(Proc[[#This Row],[DateOpened]],TODAY()))-1,ABS(NETWORKDAYS(Proc[[#This Row],[DateOpened]],Proc[[#This Row],[DateClosed]]))-1)</f>
        <v>0</v>
      </c>
      <c r="R3701" s="131" t="s">
        <v>489</v>
      </c>
      <c r="S3701" s="129"/>
    </row>
    <row r="3702" spans="1:19">
      <c r="A3702" s="135" t="s">
        <v>5819</v>
      </c>
      <c r="B3702" s="129" t="s">
        <v>925</v>
      </c>
      <c r="C3702" s="135" t="s">
        <v>370</v>
      </c>
      <c r="D3702" t="s">
        <v>5826</v>
      </c>
      <c r="E3702" t="s">
        <v>5854</v>
      </c>
      <c r="F3702" s="129" t="s">
        <v>5961</v>
      </c>
      <c r="G3702" s="135" t="s">
        <v>400</v>
      </c>
      <c r="H3702" s="129"/>
      <c r="J3702" s="129" t="b">
        <f>Proc[[#This Row],[Requested]]=Proc[[#This Row],[CurrentParent]]</f>
        <v>0</v>
      </c>
      <c r="K3702" s="129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on track</v>
      </c>
      <c r="Q3702" s="3">
        <f ca="1">IF(Proc[[#This Row],[DateClosed]]="",ABS(NETWORKDAYS(Proc[[#This Row],[DateOpened]],TODAY()))-1,ABS(NETWORKDAYS(Proc[[#This Row],[DateOpened]],Proc[[#This Row],[DateClosed]]))-1)</f>
        <v>0</v>
      </c>
      <c r="R3702" s="131" t="s">
        <v>489</v>
      </c>
      <c r="S3702" s="129"/>
    </row>
    <row r="3703" spans="1:19">
      <c r="A3703" s="135" t="s">
        <v>5819</v>
      </c>
      <c r="B3703" s="129" t="s">
        <v>925</v>
      </c>
      <c r="C3703" s="135" t="s">
        <v>370</v>
      </c>
      <c r="D3703" t="s">
        <v>5827</v>
      </c>
      <c r="E3703" t="s">
        <v>5854</v>
      </c>
      <c r="F3703" s="129" t="s">
        <v>5961</v>
      </c>
      <c r="G3703" s="135" t="s">
        <v>400</v>
      </c>
      <c r="H3703" s="129"/>
      <c r="J3703" s="129" t="b">
        <f>Proc[[#This Row],[Requested]]=Proc[[#This Row],[CurrentParent]]</f>
        <v>0</v>
      </c>
      <c r="K3703" s="129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on track</v>
      </c>
      <c r="Q3703" s="3">
        <f ca="1">IF(Proc[[#This Row],[DateClosed]]="",ABS(NETWORKDAYS(Proc[[#This Row],[DateOpened]],TODAY()))-1,ABS(NETWORKDAYS(Proc[[#This Row],[DateOpened]],Proc[[#This Row],[DateClosed]]))-1)</f>
        <v>0</v>
      </c>
      <c r="R3703" s="131" t="s">
        <v>489</v>
      </c>
      <c r="S3703" s="129"/>
    </row>
    <row r="3704" spans="1:19">
      <c r="A3704" s="135" t="s">
        <v>5819</v>
      </c>
      <c r="B3704" s="129" t="s">
        <v>925</v>
      </c>
      <c r="C3704" s="135" t="s">
        <v>370</v>
      </c>
      <c r="D3704" t="s">
        <v>5828</v>
      </c>
      <c r="E3704" t="s">
        <v>5854</v>
      </c>
      <c r="F3704" s="129" t="s">
        <v>5961</v>
      </c>
      <c r="G3704" s="135" t="s">
        <v>400</v>
      </c>
      <c r="H3704" s="129"/>
      <c r="J3704" s="129" t="b">
        <f>Proc[[#This Row],[Requested]]=Proc[[#This Row],[CurrentParent]]</f>
        <v>0</v>
      </c>
      <c r="K3704" s="129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on track</v>
      </c>
      <c r="Q3704" s="3">
        <f ca="1">IF(Proc[[#This Row],[DateClosed]]="",ABS(NETWORKDAYS(Proc[[#This Row],[DateOpened]],TODAY()))-1,ABS(NETWORKDAYS(Proc[[#This Row],[DateOpened]],Proc[[#This Row],[DateClosed]]))-1)</f>
        <v>0</v>
      </c>
      <c r="R3704" s="131" t="s">
        <v>489</v>
      </c>
      <c r="S3704" s="129"/>
    </row>
    <row r="3705" spans="1:19">
      <c r="A3705" s="135" t="s">
        <v>5819</v>
      </c>
      <c r="B3705" s="129" t="s">
        <v>925</v>
      </c>
      <c r="C3705" s="135" t="s">
        <v>370</v>
      </c>
      <c r="D3705" t="s">
        <v>5829</v>
      </c>
      <c r="E3705" t="s">
        <v>5854</v>
      </c>
      <c r="F3705" s="129" t="s">
        <v>5961</v>
      </c>
      <c r="G3705" s="135" t="s">
        <v>400</v>
      </c>
      <c r="H3705" s="129"/>
      <c r="J3705" s="129" t="b">
        <f>Proc[[#This Row],[Requested]]=Proc[[#This Row],[CurrentParent]]</f>
        <v>0</v>
      </c>
      <c r="K3705" s="129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on track</v>
      </c>
      <c r="Q3705" s="3">
        <f ca="1">IF(Proc[[#This Row],[DateClosed]]="",ABS(NETWORKDAYS(Proc[[#This Row],[DateOpened]],TODAY()))-1,ABS(NETWORKDAYS(Proc[[#This Row],[DateOpened]],Proc[[#This Row],[DateClosed]]))-1)</f>
        <v>0</v>
      </c>
      <c r="R3705" s="131" t="s">
        <v>489</v>
      </c>
      <c r="S3705" s="129"/>
    </row>
    <row r="3706" spans="1:19">
      <c r="A3706" s="135" t="s">
        <v>5819</v>
      </c>
      <c r="B3706" s="129" t="s">
        <v>925</v>
      </c>
      <c r="C3706" s="135" t="s">
        <v>370</v>
      </c>
      <c r="D3706" t="s">
        <v>5830</v>
      </c>
      <c r="E3706" t="s">
        <v>5854</v>
      </c>
      <c r="F3706" s="129" t="s">
        <v>5961</v>
      </c>
      <c r="G3706" s="135" t="s">
        <v>400</v>
      </c>
      <c r="H3706" s="129"/>
      <c r="J3706" s="129" t="b">
        <f>Proc[[#This Row],[Requested]]=Proc[[#This Row],[CurrentParent]]</f>
        <v>0</v>
      </c>
      <c r="K3706" s="129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on track</v>
      </c>
      <c r="Q3706" s="3">
        <f ca="1">IF(Proc[[#This Row],[DateClosed]]="",ABS(NETWORKDAYS(Proc[[#This Row],[DateOpened]],TODAY()))-1,ABS(NETWORKDAYS(Proc[[#This Row],[DateOpened]],Proc[[#This Row],[DateClosed]]))-1)</f>
        <v>0</v>
      </c>
      <c r="R3706" s="131" t="s">
        <v>489</v>
      </c>
      <c r="S3706" s="129"/>
    </row>
    <row r="3707" spans="1:19">
      <c r="A3707" s="135" t="s">
        <v>5819</v>
      </c>
      <c r="B3707" s="129" t="s">
        <v>925</v>
      </c>
      <c r="C3707" s="135" t="s">
        <v>370</v>
      </c>
      <c r="D3707" t="s">
        <v>5831</v>
      </c>
      <c r="E3707" t="s">
        <v>5854</v>
      </c>
      <c r="F3707" s="129" t="s">
        <v>5961</v>
      </c>
      <c r="G3707" s="135" t="s">
        <v>400</v>
      </c>
      <c r="H3707" s="129"/>
      <c r="J3707" s="129" t="b">
        <f>Proc[[#This Row],[Requested]]=Proc[[#This Row],[CurrentParent]]</f>
        <v>0</v>
      </c>
      <c r="K3707" s="129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on track</v>
      </c>
      <c r="Q3707" s="3">
        <f ca="1">IF(Proc[[#This Row],[DateClosed]]="",ABS(NETWORKDAYS(Proc[[#This Row],[DateOpened]],TODAY()))-1,ABS(NETWORKDAYS(Proc[[#This Row],[DateOpened]],Proc[[#This Row],[DateClosed]]))-1)</f>
        <v>0</v>
      </c>
      <c r="R3707" s="131" t="s">
        <v>489</v>
      </c>
      <c r="S3707" s="129"/>
    </row>
    <row r="3708" spans="1:19">
      <c r="A3708" s="135" t="s">
        <v>5819</v>
      </c>
      <c r="B3708" s="129" t="s">
        <v>925</v>
      </c>
      <c r="C3708" s="135" t="s">
        <v>370</v>
      </c>
      <c r="D3708" t="s">
        <v>5832</v>
      </c>
      <c r="E3708" t="s">
        <v>5854</v>
      </c>
      <c r="F3708" s="129" t="s">
        <v>5961</v>
      </c>
      <c r="G3708" s="135" t="s">
        <v>400</v>
      </c>
      <c r="H3708" s="129"/>
      <c r="J3708" s="129" t="b">
        <f>Proc[[#This Row],[Requested]]=Proc[[#This Row],[CurrentParent]]</f>
        <v>0</v>
      </c>
      <c r="K3708" s="129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on track</v>
      </c>
      <c r="Q3708" s="3">
        <f ca="1">IF(Proc[[#This Row],[DateClosed]]="",ABS(NETWORKDAYS(Proc[[#This Row],[DateOpened]],TODAY()))-1,ABS(NETWORKDAYS(Proc[[#This Row],[DateOpened]],Proc[[#This Row],[DateClosed]]))-1)</f>
        <v>0</v>
      </c>
      <c r="R3708" s="131" t="s">
        <v>489</v>
      </c>
      <c r="S3708" s="129"/>
    </row>
    <row r="3709" spans="1:19">
      <c r="A3709" s="135" t="s">
        <v>5819</v>
      </c>
      <c r="B3709" s="129" t="s">
        <v>925</v>
      </c>
      <c r="C3709" s="135" t="s">
        <v>370</v>
      </c>
      <c r="D3709" t="s">
        <v>5833</v>
      </c>
      <c r="E3709" t="s">
        <v>5854</v>
      </c>
      <c r="F3709" s="129" t="s">
        <v>5961</v>
      </c>
      <c r="G3709" s="135" t="s">
        <v>400</v>
      </c>
      <c r="H3709" s="129"/>
      <c r="J3709" s="129" t="b">
        <f>Proc[[#This Row],[Requested]]=Proc[[#This Row],[CurrentParent]]</f>
        <v>0</v>
      </c>
      <c r="K3709" s="129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on track</v>
      </c>
      <c r="Q3709" s="3">
        <f ca="1">IF(Proc[[#This Row],[DateClosed]]="",ABS(NETWORKDAYS(Proc[[#This Row],[DateOpened]],TODAY()))-1,ABS(NETWORKDAYS(Proc[[#This Row],[DateOpened]],Proc[[#This Row],[DateClosed]]))-1)</f>
        <v>0</v>
      </c>
      <c r="R3709" s="131" t="s">
        <v>489</v>
      </c>
      <c r="S3709" s="129"/>
    </row>
    <row r="3710" spans="1:19">
      <c r="A3710" s="135" t="s">
        <v>5819</v>
      </c>
      <c r="B3710" s="129" t="s">
        <v>925</v>
      </c>
      <c r="C3710" s="135" t="s">
        <v>370</v>
      </c>
      <c r="D3710" t="s">
        <v>5834</v>
      </c>
      <c r="E3710" t="s">
        <v>5854</v>
      </c>
      <c r="F3710" s="129" t="s">
        <v>5961</v>
      </c>
      <c r="G3710" s="135" t="s">
        <v>400</v>
      </c>
      <c r="H3710" s="129"/>
      <c r="J3710" s="129" t="b">
        <f>Proc[[#This Row],[Requested]]=Proc[[#This Row],[CurrentParent]]</f>
        <v>0</v>
      </c>
      <c r="K3710" s="129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on track</v>
      </c>
      <c r="Q3710" s="3">
        <f ca="1">IF(Proc[[#This Row],[DateClosed]]="",ABS(NETWORKDAYS(Proc[[#This Row],[DateOpened]],TODAY()))-1,ABS(NETWORKDAYS(Proc[[#This Row],[DateOpened]],Proc[[#This Row],[DateClosed]]))-1)</f>
        <v>0</v>
      </c>
      <c r="R3710" s="131" t="s">
        <v>489</v>
      </c>
      <c r="S3710" s="129"/>
    </row>
    <row r="3711" spans="1:19">
      <c r="A3711" s="135" t="s">
        <v>5819</v>
      </c>
      <c r="B3711" s="129" t="s">
        <v>925</v>
      </c>
      <c r="C3711" s="135" t="s">
        <v>370</v>
      </c>
      <c r="D3711" t="s">
        <v>5835</v>
      </c>
      <c r="E3711" t="s">
        <v>5854</v>
      </c>
      <c r="F3711" s="129" t="s">
        <v>5961</v>
      </c>
      <c r="G3711" s="135" t="s">
        <v>400</v>
      </c>
      <c r="H3711" s="129"/>
      <c r="J3711" s="129" t="b">
        <f>Proc[[#This Row],[Requested]]=Proc[[#This Row],[CurrentParent]]</f>
        <v>0</v>
      </c>
      <c r="K3711" s="129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on track</v>
      </c>
      <c r="Q3711" s="3">
        <f ca="1">IF(Proc[[#This Row],[DateClosed]]="",ABS(NETWORKDAYS(Proc[[#This Row],[DateOpened]],TODAY()))-1,ABS(NETWORKDAYS(Proc[[#This Row],[DateOpened]],Proc[[#This Row],[DateClosed]]))-1)</f>
        <v>0</v>
      </c>
      <c r="R3711" s="131" t="s">
        <v>489</v>
      </c>
      <c r="S3711" s="129"/>
    </row>
    <row r="3712" spans="1:19">
      <c r="A3712" s="135" t="s">
        <v>5819</v>
      </c>
      <c r="B3712" s="129" t="s">
        <v>925</v>
      </c>
      <c r="C3712" s="135" t="s">
        <v>370</v>
      </c>
      <c r="D3712" t="s">
        <v>5836</v>
      </c>
      <c r="E3712" t="s">
        <v>5854</v>
      </c>
      <c r="F3712" s="129" t="s">
        <v>5961</v>
      </c>
      <c r="G3712" s="135" t="s">
        <v>400</v>
      </c>
      <c r="H3712" s="129"/>
      <c r="J3712" s="129" t="b">
        <f>Proc[[#This Row],[Requested]]=Proc[[#This Row],[CurrentParent]]</f>
        <v>0</v>
      </c>
      <c r="K3712" s="129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on track</v>
      </c>
      <c r="Q3712" s="3">
        <f ca="1">IF(Proc[[#This Row],[DateClosed]]="",ABS(NETWORKDAYS(Proc[[#This Row],[DateOpened]],TODAY()))-1,ABS(NETWORKDAYS(Proc[[#This Row],[DateOpened]],Proc[[#This Row],[DateClosed]]))-1)</f>
        <v>0</v>
      </c>
      <c r="R3712" s="131" t="s">
        <v>489</v>
      </c>
      <c r="S3712" s="129"/>
    </row>
    <row r="3713" spans="1:19">
      <c r="A3713" s="135" t="s">
        <v>5819</v>
      </c>
      <c r="B3713" s="129" t="s">
        <v>925</v>
      </c>
      <c r="C3713" s="135" t="s">
        <v>370</v>
      </c>
      <c r="D3713" t="s">
        <v>5828</v>
      </c>
      <c r="E3713" t="s">
        <v>5854</v>
      </c>
      <c r="F3713" s="129" t="s">
        <v>5961</v>
      </c>
      <c r="G3713" s="135" t="s">
        <v>400</v>
      </c>
      <c r="H3713" s="129"/>
      <c r="J3713" s="129" t="b">
        <f>Proc[[#This Row],[Requested]]=Proc[[#This Row],[CurrentParent]]</f>
        <v>0</v>
      </c>
      <c r="K3713" s="129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on track</v>
      </c>
      <c r="Q3713" s="3">
        <f ca="1">IF(Proc[[#This Row],[DateClosed]]="",ABS(NETWORKDAYS(Proc[[#This Row],[DateOpened]],TODAY()))-1,ABS(NETWORKDAYS(Proc[[#This Row],[DateOpened]],Proc[[#This Row],[DateClosed]]))-1)</f>
        <v>0</v>
      </c>
      <c r="R3713" s="131" t="s">
        <v>489</v>
      </c>
      <c r="S3713" s="129"/>
    </row>
    <row r="3714" spans="1:19">
      <c r="A3714" s="135" t="s">
        <v>5819</v>
      </c>
      <c r="B3714" s="129" t="s">
        <v>925</v>
      </c>
      <c r="C3714" s="135" t="s">
        <v>370</v>
      </c>
      <c r="D3714" t="s">
        <v>5837</v>
      </c>
      <c r="E3714" t="s">
        <v>5854</v>
      </c>
      <c r="F3714" s="129" t="s">
        <v>5962</v>
      </c>
      <c r="G3714" s="135" t="s">
        <v>400</v>
      </c>
      <c r="H3714" s="129"/>
      <c r="J3714" s="129" t="b">
        <f>Proc[[#This Row],[Requested]]=Proc[[#This Row],[CurrentParent]]</f>
        <v>0</v>
      </c>
      <c r="K3714" s="129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on track</v>
      </c>
      <c r="Q3714" s="3">
        <f ca="1">IF(Proc[[#This Row],[DateClosed]]="",ABS(NETWORKDAYS(Proc[[#This Row],[DateOpened]],TODAY()))-1,ABS(NETWORKDAYS(Proc[[#This Row],[DateOpened]],Proc[[#This Row],[DateClosed]]))-1)</f>
        <v>0</v>
      </c>
      <c r="R3714" s="131" t="s">
        <v>489</v>
      </c>
      <c r="S3714" s="129"/>
    </row>
    <row r="3715" spans="1:19">
      <c r="A3715" s="135" t="s">
        <v>5819</v>
      </c>
      <c r="B3715" s="129" t="s">
        <v>925</v>
      </c>
      <c r="C3715" s="135" t="s">
        <v>370</v>
      </c>
      <c r="D3715" t="s">
        <v>5838</v>
      </c>
      <c r="E3715" t="s">
        <v>5854</v>
      </c>
      <c r="F3715" s="129" t="s">
        <v>5963</v>
      </c>
      <c r="G3715" s="135" t="s">
        <v>400</v>
      </c>
      <c r="H3715" s="129"/>
      <c r="J3715" s="129" t="b">
        <f>Proc[[#This Row],[Requested]]=Proc[[#This Row],[CurrentParent]]</f>
        <v>0</v>
      </c>
      <c r="K3715" s="129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on track</v>
      </c>
      <c r="Q3715" s="3">
        <f ca="1">IF(Proc[[#This Row],[DateClosed]]="",ABS(NETWORKDAYS(Proc[[#This Row],[DateOpened]],TODAY()))-1,ABS(NETWORKDAYS(Proc[[#This Row],[DateOpened]],Proc[[#This Row],[DateClosed]]))-1)</f>
        <v>0</v>
      </c>
      <c r="R3715" s="131" t="s">
        <v>489</v>
      </c>
      <c r="S3715" s="129"/>
    </row>
    <row r="3716" spans="1:19">
      <c r="A3716" s="135" t="s">
        <v>5819</v>
      </c>
      <c r="B3716" s="129" t="s">
        <v>925</v>
      </c>
      <c r="C3716" s="135" t="s">
        <v>370</v>
      </c>
      <c r="D3716" t="s">
        <v>5839</v>
      </c>
      <c r="E3716" t="s">
        <v>5855</v>
      </c>
      <c r="F3716" s="129" t="s">
        <v>5961</v>
      </c>
      <c r="G3716" s="135" t="s">
        <v>400</v>
      </c>
      <c r="H3716" s="129"/>
      <c r="J3716" s="129" t="b">
        <f>Proc[[#This Row],[Requested]]=Proc[[#This Row],[CurrentParent]]</f>
        <v>0</v>
      </c>
      <c r="K3716" s="129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on track</v>
      </c>
      <c r="Q3716" s="3">
        <f ca="1">IF(Proc[[#This Row],[DateClosed]]="",ABS(NETWORKDAYS(Proc[[#This Row],[DateOpened]],TODAY()))-1,ABS(NETWORKDAYS(Proc[[#This Row],[DateOpened]],Proc[[#This Row],[DateClosed]]))-1)</f>
        <v>0</v>
      </c>
      <c r="R3716" s="131" t="s">
        <v>489</v>
      </c>
      <c r="S3716" s="129"/>
    </row>
    <row r="3717" spans="1:19">
      <c r="A3717" s="135" t="s">
        <v>5819</v>
      </c>
      <c r="B3717" s="129" t="s">
        <v>925</v>
      </c>
      <c r="C3717" s="135" t="s">
        <v>370</v>
      </c>
      <c r="D3717" t="s">
        <v>5840</v>
      </c>
      <c r="E3717" t="s">
        <v>5856</v>
      </c>
      <c r="F3717" s="129" t="s">
        <v>5961</v>
      </c>
      <c r="G3717" s="135" t="s">
        <v>400</v>
      </c>
      <c r="H3717" s="129"/>
      <c r="J3717" s="129" t="b">
        <f>Proc[[#This Row],[Requested]]=Proc[[#This Row],[CurrentParent]]</f>
        <v>0</v>
      </c>
      <c r="K3717" s="129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on track</v>
      </c>
      <c r="Q3717" s="3">
        <f ca="1">IF(Proc[[#This Row],[DateClosed]]="",ABS(NETWORKDAYS(Proc[[#This Row],[DateOpened]],TODAY()))-1,ABS(NETWORKDAYS(Proc[[#This Row],[DateOpened]],Proc[[#This Row],[DateClosed]]))-1)</f>
        <v>0</v>
      </c>
      <c r="R3717" s="131" t="s">
        <v>489</v>
      </c>
      <c r="S3717" s="129"/>
    </row>
    <row r="3718" spans="1:19">
      <c r="A3718" s="135" t="s">
        <v>5819</v>
      </c>
      <c r="B3718" s="129" t="s">
        <v>925</v>
      </c>
      <c r="C3718" s="135" t="s">
        <v>370</v>
      </c>
      <c r="D3718" t="s">
        <v>5841</v>
      </c>
      <c r="E3718" t="s">
        <v>5854</v>
      </c>
      <c r="F3718" s="129" t="s">
        <v>5961</v>
      </c>
      <c r="G3718" s="135" t="s">
        <v>400</v>
      </c>
      <c r="H3718" s="129"/>
      <c r="J3718" s="129" t="b">
        <f>Proc[[#This Row],[Requested]]=Proc[[#This Row],[CurrentParent]]</f>
        <v>0</v>
      </c>
      <c r="K3718" s="129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on track</v>
      </c>
      <c r="Q3718" s="3">
        <f ca="1">IF(Proc[[#This Row],[DateClosed]]="",ABS(NETWORKDAYS(Proc[[#This Row],[DateOpened]],TODAY()))-1,ABS(NETWORKDAYS(Proc[[#This Row],[DateOpened]],Proc[[#This Row],[DateClosed]]))-1)</f>
        <v>0</v>
      </c>
      <c r="R3718" s="131" t="s">
        <v>489</v>
      </c>
      <c r="S3718" s="129"/>
    </row>
    <row r="3719" spans="1:19">
      <c r="A3719" s="135" t="s">
        <v>5819</v>
      </c>
      <c r="B3719" s="129" t="s">
        <v>925</v>
      </c>
      <c r="C3719" s="135" t="s">
        <v>370</v>
      </c>
      <c r="D3719" t="s">
        <v>5842</v>
      </c>
      <c r="E3719" t="s">
        <v>5854</v>
      </c>
      <c r="F3719" s="129" t="s">
        <v>5961</v>
      </c>
      <c r="G3719" s="135" t="s">
        <v>400</v>
      </c>
      <c r="H3719" s="129"/>
      <c r="J3719" s="129" t="b">
        <f>Proc[[#This Row],[Requested]]=Proc[[#This Row],[CurrentParent]]</f>
        <v>0</v>
      </c>
      <c r="K3719" s="129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on track</v>
      </c>
      <c r="Q3719" s="3">
        <f ca="1">IF(Proc[[#This Row],[DateClosed]]="",ABS(NETWORKDAYS(Proc[[#This Row],[DateOpened]],TODAY()))-1,ABS(NETWORKDAYS(Proc[[#This Row],[DateOpened]],Proc[[#This Row],[DateClosed]]))-1)</f>
        <v>0</v>
      </c>
      <c r="R3719" s="131" t="s">
        <v>489</v>
      </c>
      <c r="S3719" s="129"/>
    </row>
    <row r="3720" spans="1:19">
      <c r="A3720" s="135" t="s">
        <v>5819</v>
      </c>
      <c r="B3720" s="129" t="s">
        <v>925</v>
      </c>
      <c r="C3720" s="135" t="s">
        <v>370</v>
      </c>
      <c r="D3720" t="s">
        <v>5832</v>
      </c>
      <c r="E3720" t="s">
        <v>5854</v>
      </c>
      <c r="F3720" s="129" t="s">
        <v>5961</v>
      </c>
      <c r="G3720" s="135" t="s">
        <v>400</v>
      </c>
      <c r="H3720" s="129"/>
      <c r="J3720" s="129" t="b">
        <f>Proc[[#This Row],[Requested]]=Proc[[#This Row],[CurrentParent]]</f>
        <v>0</v>
      </c>
      <c r="K3720" s="129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on track</v>
      </c>
      <c r="Q3720" s="3">
        <f ca="1">IF(Proc[[#This Row],[DateClosed]]="",ABS(NETWORKDAYS(Proc[[#This Row],[DateOpened]],TODAY()))-1,ABS(NETWORKDAYS(Proc[[#This Row],[DateOpened]],Proc[[#This Row],[DateClosed]]))-1)</f>
        <v>0</v>
      </c>
      <c r="R3720" s="131" t="s">
        <v>489</v>
      </c>
      <c r="S3720" s="129"/>
    </row>
    <row r="3721" spans="1:19">
      <c r="A3721" s="135" t="s">
        <v>5819</v>
      </c>
      <c r="B3721" s="129" t="s">
        <v>925</v>
      </c>
      <c r="C3721" s="135" t="s">
        <v>375</v>
      </c>
      <c r="D3721" t="s">
        <v>5843</v>
      </c>
      <c r="E3721" t="s">
        <v>5854</v>
      </c>
      <c r="F3721" s="129" t="s">
        <v>5961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0</v>
      </c>
      <c r="K3721" s="129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on track</v>
      </c>
      <c r="Q3721" s="3">
        <f ca="1">IF(Proc[[#This Row],[DateClosed]]="",ABS(NETWORKDAYS(Proc[[#This Row],[DateOpened]],TODAY()))-1,ABS(NETWORKDAYS(Proc[[#This Row],[DateOpened]],Proc[[#This Row],[DateClosed]]))-1)</f>
        <v>0</v>
      </c>
      <c r="R3721" s="131" t="s">
        <v>489</v>
      </c>
      <c r="S3721" s="129"/>
    </row>
    <row r="3722" spans="1:19">
      <c r="A3722" s="135" t="s">
        <v>5819</v>
      </c>
      <c r="B3722" s="129" t="s">
        <v>925</v>
      </c>
      <c r="C3722" s="135" t="s">
        <v>370</v>
      </c>
      <c r="D3722" t="s">
        <v>5844</v>
      </c>
      <c r="E3722" t="s">
        <v>5854</v>
      </c>
      <c r="F3722" s="129" t="s">
        <v>5961</v>
      </c>
      <c r="G3722" s="135" t="s">
        <v>400</v>
      </c>
      <c r="H3722" s="129"/>
      <c r="J3722" s="129" t="b">
        <f>Proc[[#This Row],[Requested]]=Proc[[#This Row],[CurrentParent]]</f>
        <v>0</v>
      </c>
      <c r="K3722" s="129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on track</v>
      </c>
      <c r="Q3722" s="3">
        <f ca="1">IF(Proc[[#This Row],[DateClosed]]="",ABS(NETWORKDAYS(Proc[[#This Row],[DateOpened]],TODAY()))-1,ABS(NETWORKDAYS(Proc[[#This Row],[DateOpened]],Proc[[#This Row],[DateClosed]]))-1)</f>
        <v>0</v>
      </c>
      <c r="R3722" s="131" t="s">
        <v>489</v>
      </c>
      <c r="S3722" s="129"/>
    </row>
    <row r="3723" spans="1:19">
      <c r="A3723" s="135" t="s">
        <v>5819</v>
      </c>
      <c r="B3723" s="129" t="s">
        <v>925</v>
      </c>
      <c r="C3723" s="135" t="s">
        <v>370</v>
      </c>
      <c r="D3723" t="s">
        <v>5834</v>
      </c>
      <c r="E3723" t="s">
        <v>5854</v>
      </c>
      <c r="F3723" s="129" t="s">
        <v>5961</v>
      </c>
      <c r="G3723" s="135" t="s">
        <v>400</v>
      </c>
      <c r="H3723" s="129"/>
      <c r="J3723" s="129" t="b">
        <f>Proc[[#This Row],[Requested]]=Proc[[#This Row],[CurrentParent]]</f>
        <v>0</v>
      </c>
      <c r="K3723" s="129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on track</v>
      </c>
      <c r="Q3723" s="3">
        <f ca="1">IF(Proc[[#This Row],[DateClosed]]="",ABS(NETWORKDAYS(Proc[[#This Row],[DateOpened]],TODAY()))-1,ABS(NETWORKDAYS(Proc[[#This Row],[DateOpened]],Proc[[#This Row],[DateClosed]]))-1)</f>
        <v>0</v>
      </c>
      <c r="R3723" s="131" t="s">
        <v>489</v>
      </c>
      <c r="S3723" s="129"/>
    </row>
    <row r="3724" spans="1:19">
      <c r="A3724" s="135" t="s">
        <v>5819</v>
      </c>
      <c r="B3724" s="129" t="s">
        <v>925</v>
      </c>
      <c r="C3724" s="135" t="s">
        <v>370</v>
      </c>
      <c r="D3724" t="s">
        <v>5845</v>
      </c>
      <c r="E3724" t="s">
        <v>5854</v>
      </c>
      <c r="F3724" s="129" t="s">
        <v>5961</v>
      </c>
      <c r="G3724" s="135" t="s">
        <v>400</v>
      </c>
      <c r="H3724" s="129"/>
      <c r="J3724" s="129" t="b">
        <f>Proc[[#This Row],[Requested]]=Proc[[#This Row],[CurrentParent]]</f>
        <v>0</v>
      </c>
      <c r="K3724" s="129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on track</v>
      </c>
      <c r="Q3724" s="3">
        <f ca="1">IF(Proc[[#This Row],[DateClosed]]="",ABS(NETWORKDAYS(Proc[[#This Row],[DateOpened]],TODAY()))-1,ABS(NETWORKDAYS(Proc[[#This Row],[DateOpened]],Proc[[#This Row],[DateClosed]]))-1)</f>
        <v>0</v>
      </c>
      <c r="R3724" s="131" t="s">
        <v>489</v>
      </c>
      <c r="S3724" s="129"/>
    </row>
    <row r="3725" spans="1:19">
      <c r="A3725" s="135" t="s">
        <v>5819</v>
      </c>
      <c r="B3725" s="129" t="s">
        <v>925</v>
      </c>
      <c r="C3725" s="135" t="s">
        <v>370</v>
      </c>
      <c r="D3725" t="s">
        <v>5824</v>
      </c>
      <c r="E3725" t="s">
        <v>5854</v>
      </c>
      <c r="F3725" s="129" t="s">
        <v>5961</v>
      </c>
      <c r="G3725" s="135" t="s">
        <v>400</v>
      </c>
      <c r="H3725" s="129"/>
      <c r="J3725" s="129" t="b">
        <f>Proc[[#This Row],[Requested]]=Proc[[#This Row],[CurrentParent]]</f>
        <v>0</v>
      </c>
      <c r="K3725" s="129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on track</v>
      </c>
      <c r="Q3725" s="3">
        <f ca="1">IF(Proc[[#This Row],[DateClosed]]="",ABS(NETWORKDAYS(Proc[[#This Row],[DateOpened]],TODAY()))-1,ABS(NETWORKDAYS(Proc[[#This Row],[DateOpened]],Proc[[#This Row],[DateClosed]]))-1)</f>
        <v>0</v>
      </c>
      <c r="R3725" s="131" t="s">
        <v>489</v>
      </c>
      <c r="S3725" s="129"/>
    </row>
    <row r="3726" spans="1:19">
      <c r="A3726" s="135" t="s">
        <v>5819</v>
      </c>
      <c r="B3726" s="129" t="s">
        <v>925</v>
      </c>
      <c r="C3726" s="135" t="s">
        <v>370</v>
      </c>
      <c r="D3726" t="s">
        <v>5846</v>
      </c>
      <c r="E3726" t="s">
        <v>5854</v>
      </c>
      <c r="F3726" s="129" t="s">
        <v>5858</v>
      </c>
      <c r="G3726" s="135" t="s">
        <v>400</v>
      </c>
      <c r="H3726" s="129"/>
      <c r="J3726" s="129" t="b">
        <f>Proc[[#This Row],[Requested]]=Proc[[#This Row],[CurrentParent]]</f>
        <v>0</v>
      </c>
      <c r="K3726" s="129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on track</v>
      </c>
      <c r="Q3726" s="3">
        <f ca="1">IF(Proc[[#This Row],[DateClosed]]="",ABS(NETWORKDAYS(Proc[[#This Row],[DateOpened]],TODAY()))-1,ABS(NETWORKDAYS(Proc[[#This Row],[DateOpened]],Proc[[#This Row],[DateClosed]]))-1)</f>
        <v>0</v>
      </c>
      <c r="R3726" s="131" t="s">
        <v>489</v>
      </c>
      <c r="S3726" s="129"/>
    </row>
    <row r="3727" spans="1:19">
      <c r="A3727" s="135" t="s">
        <v>5819</v>
      </c>
      <c r="B3727" s="129" t="s">
        <v>925</v>
      </c>
      <c r="C3727" s="135" t="s">
        <v>370</v>
      </c>
      <c r="D3727" t="s">
        <v>5847</v>
      </c>
      <c r="E3727" t="s">
        <v>5854</v>
      </c>
      <c r="F3727" s="129" t="s">
        <v>1143</v>
      </c>
      <c r="G3727" s="135" t="s">
        <v>400</v>
      </c>
      <c r="H3727" s="129"/>
      <c r="J3727" s="129" t="b">
        <f>Proc[[#This Row],[Requested]]=Proc[[#This Row],[CurrentParent]]</f>
        <v>0</v>
      </c>
      <c r="K3727" s="129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on track</v>
      </c>
      <c r="Q3727" s="3">
        <f ca="1">IF(Proc[[#This Row],[DateClosed]]="",ABS(NETWORKDAYS(Proc[[#This Row],[DateOpened]],TODAY()))-1,ABS(NETWORKDAYS(Proc[[#This Row],[DateOpened]],Proc[[#This Row],[DateClosed]]))-1)</f>
        <v>0</v>
      </c>
      <c r="R3727" s="131" t="s">
        <v>489</v>
      </c>
      <c r="S3727" s="129"/>
    </row>
    <row r="3728" spans="1:19">
      <c r="A3728" s="135" t="s">
        <v>5819</v>
      </c>
      <c r="B3728" s="129" t="s">
        <v>925</v>
      </c>
      <c r="C3728" s="135" t="s">
        <v>370</v>
      </c>
      <c r="D3728" t="s">
        <v>5848</v>
      </c>
      <c r="E3728" t="s">
        <v>5857</v>
      </c>
      <c r="F3728" s="129" t="s">
        <v>5960</v>
      </c>
      <c r="G3728" s="135" t="s">
        <v>400</v>
      </c>
      <c r="H3728" s="129"/>
      <c r="J3728" s="129" t="b">
        <f>Proc[[#This Row],[Requested]]=Proc[[#This Row],[CurrentParent]]</f>
        <v>0</v>
      </c>
      <c r="K3728" s="129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on track</v>
      </c>
      <c r="Q3728" s="3">
        <f ca="1">IF(Proc[[#This Row],[DateClosed]]="",ABS(NETWORKDAYS(Proc[[#This Row],[DateOpened]],TODAY()))-1,ABS(NETWORKDAYS(Proc[[#This Row],[DateOpened]],Proc[[#This Row],[DateClosed]]))-1)</f>
        <v>0</v>
      </c>
      <c r="R3728" s="131" t="s">
        <v>489</v>
      </c>
      <c r="S3728" s="129"/>
    </row>
    <row r="3729" spans="1:19">
      <c r="A3729" s="135" t="s">
        <v>5819</v>
      </c>
      <c r="B3729" s="129" t="s">
        <v>925</v>
      </c>
      <c r="C3729" s="135" t="s">
        <v>370</v>
      </c>
      <c r="D3729" t="s">
        <v>5849</v>
      </c>
      <c r="E3729" t="s">
        <v>5854</v>
      </c>
      <c r="F3729" s="129" t="s">
        <v>5858</v>
      </c>
      <c r="G3729" s="135" t="s">
        <v>400</v>
      </c>
      <c r="H3729" s="129"/>
      <c r="J3729" s="129" t="b">
        <f>Proc[[#This Row],[Requested]]=Proc[[#This Row],[CurrentParent]]</f>
        <v>0</v>
      </c>
      <c r="K3729" s="129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on track</v>
      </c>
      <c r="Q3729" s="3">
        <f ca="1">IF(Proc[[#This Row],[DateClosed]]="",ABS(NETWORKDAYS(Proc[[#This Row],[DateOpened]],TODAY()))-1,ABS(NETWORKDAYS(Proc[[#This Row],[DateOpened]],Proc[[#This Row],[DateClosed]]))-1)</f>
        <v>0</v>
      </c>
      <c r="R3729" s="131" t="s">
        <v>489</v>
      </c>
      <c r="S3729" s="129"/>
    </row>
    <row r="3730" spans="1:19">
      <c r="A3730" s="135" t="s">
        <v>5819</v>
      </c>
      <c r="B3730" s="129" t="s">
        <v>925</v>
      </c>
      <c r="C3730" s="135" t="s">
        <v>370</v>
      </c>
      <c r="D3730" t="s">
        <v>5850</v>
      </c>
      <c r="E3730" t="s">
        <v>5858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0</v>
      </c>
      <c r="K3730" s="129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on track</v>
      </c>
      <c r="Q3730" s="3">
        <f ca="1">IF(Proc[[#This Row],[DateClosed]]="",ABS(NETWORKDAYS(Proc[[#This Row],[DateOpened]],TODAY()))-1,ABS(NETWORKDAYS(Proc[[#This Row],[DateOpened]],Proc[[#This Row],[DateClosed]]))-1)</f>
        <v>0</v>
      </c>
      <c r="R3730" s="131" t="s">
        <v>489</v>
      </c>
      <c r="S3730" s="129"/>
    </row>
    <row r="3731" spans="1:19">
      <c r="A3731" s="135" t="s">
        <v>5819</v>
      </c>
      <c r="B3731" s="129" t="str">
        <f>IFERROR(VLOOKUP(Proc[[#This Row],[App]],Table2[],3,0),"open")</f>
        <v>open</v>
      </c>
      <c r="C3731" s="135" t="s">
        <v>370</v>
      </c>
      <c r="D3731" t="s">
        <v>5851</v>
      </c>
      <c r="E3731" t="s">
        <v>5858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0</v>
      </c>
      <c r="K3731" s="129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on track</v>
      </c>
      <c r="Q3731" s="3">
        <f ca="1">IF(Proc[[#This Row],[DateClosed]]="",ABS(NETWORKDAYS(Proc[[#This Row],[DateOpened]],TODAY()))-1,ABS(NETWORKDAYS(Proc[[#This Row],[DateOpened]],Proc[[#This Row],[DateClosed]]))-1)</f>
        <v>0</v>
      </c>
      <c r="R3731" s="131" t="s">
        <v>489</v>
      </c>
      <c r="S3731" s="129"/>
    </row>
    <row r="3732" spans="1:19" hidden="1">
      <c r="A3732" t="s">
        <v>5859</v>
      </c>
      <c r="B3732" s="129" t="str">
        <f>IFERROR(VLOOKUP(Proc[[#This Row],[App]],Table2[],3,0),"open")</f>
        <v>open</v>
      </c>
      <c r="C3732" s="135" t="s">
        <v>369</v>
      </c>
      <c r="D3732" s="45" t="s">
        <v>5759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29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on track</v>
      </c>
      <c r="Q3732" s="3">
        <f ca="1">IF(Proc[[#This Row],[DateClosed]]="",ABS(NETWORKDAYS(Proc[[#This Row],[DateOpened]],TODAY()))-1,ABS(NETWORKDAYS(Proc[[#This Row],[DateOpened]],Proc[[#This Row],[DateClosed]]))-1)</f>
        <v>0</v>
      </c>
      <c r="R3732" s="131" t="s">
        <v>489</v>
      </c>
      <c r="S3732" s="129"/>
    </row>
    <row r="3733" spans="1:19" hidden="1">
      <c r="A3733" s="135" t="s">
        <v>5859</v>
      </c>
      <c r="B3733" s="129" t="str">
        <f>IFERROR(VLOOKUP(Proc[[#This Row],[App]],Table2[],3,0),"open")</f>
        <v>open</v>
      </c>
      <c r="C3733" s="135" t="s">
        <v>369</v>
      </c>
      <c r="D3733" s="45" t="s">
        <v>5761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29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on track</v>
      </c>
      <c r="Q3733" s="3">
        <f ca="1">IF(Proc[[#This Row],[DateClosed]]="",ABS(NETWORKDAYS(Proc[[#This Row],[DateOpened]],TODAY()))-1,ABS(NETWORKDAYS(Proc[[#This Row],[DateOpened]],Proc[[#This Row],[DateClosed]]))-1)</f>
        <v>0</v>
      </c>
      <c r="R3733" s="131" t="s">
        <v>489</v>
      </c>
      <c r="S3733" s="129"/>
    </row>
    <row r="3734" spans="1:19">
      <c r="A3734" t="s">
        <v>5860</v>
      </c>
      <c r="B3734" s="129" t="str">
        <f>IFERROR(VLOOKUP(Proc[[#This Row],[App]],Table2[],3,0),"open")</f>
        <v>open</v>
      </c>
      <c r="C3734" s="135" t="s">
        <v>370</v>
      </c>
      <c r="D3734" t="s">
        <v>5861</v>
      </c>
      <c r="E3734" t="s">
        <v>2274</v>
      </c>
      <c r="F3734" s="129" t="s">
        <v>5964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0</v>
      </c>
      <c r="K3734" s="129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on track</v>
      </c>
      <c r="Q3734" s="3">
        <f ca="1">IF(Proc[[#This Row],[DateClosed]]="",ABS(NETWORKDAYS(Proc[[#This Row],[DateOpened]],TODAY()))-1,ABS(NETWORKDAYS(Proc[[#This Row],[DateOpened]],Proc[[#This Row],[DateClosed]]))-1)</f>
        <v>0</v>
      </c>
      <c r="R3734" s="136" t="s">
        <v>1013</v>
      </c>
      <c r="S3734" s="129"/>
    </row>
    <row r="3735" spans="1:19">
      <c r="A3735" s="135" t="s">
        <v>5860</v>
      </c>
      <c r="B3735" s="129" t="str">
        <f>IFERROR(VLOOKUP(Proc[[#This Row],[App]],Table2[],3,0),"open")</f>
        <v>open</v>
      </c>
      <c r="C3735" s="135" t="s">
        <v>370</v>
      </c>
      <c r="D3735" t="s">
        <v>5862</v>
      </c>
      <c r="E3735" t="s">
        <v>2274</v>
      </c>
      <c r="F3735" s="129" t="s">
        <v>5965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0</v>
      </c>
      <c r="K3735" s="129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on track</v>
      </c>
      <c r="Q3735" s="3">
        <f ca="1">IF(Proc[[#This Row],[DateClosed]]="",ABS(NETWORKDAYS(Proc[[#This Row],[DateOpened]],TODAY()))-1,ABS(NETWORKDAYS(Proc[[#This Row],[DateOpened]],Proc[[#This Row],[DateClosed]]))-1)</f>
        <v>0</v>
      </c>
      <c r="R3735" s="136" t="s">
        <v>1013</v>
      </c>
      <c r="S3735" s="129"/>
    </row>
    <row r="3736" spans="1:19">
      <c r="A3736" s="135" t="s">
        <v>5860</v>
      </c>
      <c r="B3736" s="129" t="str">
        <f>IFERROR(VLOOKUP(Proc[[#This Row],[App]],Table2[],3,0),"open")</f>
        <v>open</v>
      </c>
      <c r="C3736" s="135" t="s">
        <v>370</v>
      </c>
      <c r="D3736" t="s">
        <v>5863</v>
      </c>
      <c r="E3736" t="s">
        <v>3005</v>
      </c>
      <c r="F3736" s="129" t="s">
        <v>5966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0</v>
      </c>
      <c r="K3736" s="129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on track</v>
      </c>
      <c r="Q3736" s="3">
        <f ca="1">IF(Proc[[#This Row],[DateClosed]]="",ABS(NETWORKDAYS(Proc[[#This Row],[DateOpened]],TODAY()))-1,ABS(NETWORKDAYS(Proc[[#This Row],[DateOpened]],Proc[[#This Row],[DateClosed]]))-1)</f>
        <v>0</v>
      </c>
      <c r="R3736" s="136" t="s">
        <v>1013</v>
      </c>
      <c r="S3736" s="129"/>
    </row>
    <row r="3737" spans="1:19">
      <c r="A3737" s="135" t="s">
        <v>5860</v>
      </c>
      <c r="B3737" s="129" t="str">
        <f>IFERROR(VLOOKUP(Proc[[#This Row],[App]],Table2[],3,0),"open")</f>
        <v>open</v>
      </c>
      <c r="C3737" s="135" t="s">
        <v>370</v>
      </c>
      <c r="D3737" t="s">
        <v>5864</v>
      </c>
      <c r="E3737" t="s">
        <v>4069</v>
      </c>
      <c r="F3737" s="129" t="s">
        <v>5967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0</v>
      </c>
      <c r="K3737" s="129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on track</v>
      </c>
      <c r="Q3737" s="3">
        <f ca="1">IF(Proc[[#This Row],[DateClosed]]="",ABS(NETWORKDAYS(Proc[[#This Row],[DateOpened]],TODAY()))-1,ABS(NETWORKDAYS(Proc[[#This Row],[DateOpened]],Proc[[#This Row],[DateClosed]]))-1)</f>
        <v>0</v>
      </c>
      <c r="R3737" s="136" t="s">
        <v>1013</v>
      </c>
      <c r="S3737" s="129"/>
    </row>
    <row r="3738" spans="1:19">
      <c r="A3738" s="135" t="s">
        <v>5860</v>
      </c>
      <c r="B3738" s="129" t="str">
        <f>IFERROR(VLOOKUP(Proc[[#This Row],[App]],Table2[],3,0),"open")</f>
        <v>open</v>
      </c>
      <c r="C3738" s="135" t="s">
        <v>370</v>
      </c>
      <c r="D3738" t="s">
        <v>5865</v>
      </c>
      <c r="E3738" t="s">
        <v>4069</v>
      </c>
      <c r="F3738" s="129" t="s">
        <v>5968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0</v>
      </c>
      <c r="K3738" s="129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on track</v>
      </c>
      <c r="Q3738" s="3">
        <f ca="1">IF(Proc[[#This Row],[DateClosed]]="",ABS(NETWORKDAYS(Proc[[#This Row],[DateOpened]],TODAY()))-1,ABS(NETWORKDAYS(Proc[[#This Row],[DateOpened]],Proc[[#This Row],[DateClosed]]))-1)</f>
        <v>0</v>
      </c>
      <c r="R3738" s="136" t="s">
        <v>1013</v>
      </c>
      <c r="S3738" s="129"/>
    </row>
    <row r="3739" spans="1:19">
      <c r="A3739" s="135" t="s">
        <v>5860</v>
      </c>
      <c r="B3739" s="129" t="str">
        <f>IFERROR(VLOOKUP(Proc[[#This Row],[App]],Table2[],3,0),"open")</f>
        <v>open</v>
      </c>
      <c r="C3739" s="135" t="s">
        <v>370</v>
      </c>
      <c r="D3739" t="s">
        <v>5866</v>
      </c>
      <c r="E3739" t="s">
        <v>4069</v>
      </c>
      <c r="F3739" s="129" t="s">
        <v>5968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0</v>
      </c>
      <c r="K3739" s="129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on track</v>
      </c>
      <c r="Q3739" s="3">
        <f ca="1">IF(Proc[[#This Row],[DateClosed]]="",ABS(NETWORKDAYS(Proc[[#This Row],[DateOpened]],TODAY()))-1,ABS(NETWORKDAYS(Proc[[#This Row],[DateOpened]],Proc[[#This Row],[DateClosed]]))-1)</f>
        <v>0</v>
      </c>
      <c r="R3739" s="136" t="s">
        <v>1013</v>
      </c>
      <c r="S3739" s="129"/>
    </row>
    <row r="3740" spans="1:19">
      <c r="A3740" s="135" t="s">
        <v>5860</v>
      </c>
      <c r="B3740" s="129" t="str">
        <f>IFERROR(VLOOKUP(Proc[[#This Row],[App]],Table2[],3,0),"open")</f>
        <v>open</v>
      </c>
      <c r="C3740" s="135" t="s">
        <v>370</v>
      </c>
      <c r="D3740" t="s">
        <v>5867</v>
      </c>
      <c r="E3740" t="s">
        <v>4069</v>
      </c>
      <c r="F3740" s="129" t="s">
        <v>5968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0</v>
      </c>
      <c r="K3740" s="129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on track</v>
      </c>
      <c r="Q3740" s="3">
        <f ca="1">IF(Proc[[#This Row],[DateClosed]]="",ABS(NETWORKDAYS(Proc[[#This Row],[DateOpened]],TODAY()))-1,ABS(NETWORKDAYS(Proc[[#This Row],[DateOpened]],Proc[[#This Row],[DateClosed]]))-1)</f>
        <v>0</v>
      </c>
      <c r="R3740" s="136" t="s">
        <v>1013</v>
      </c>
      <c r="S3740" s="129"/>
    </row>
    <row r="3741" spans="1:19">
      <c r="A3741" s="135" t="s">
        <v>5860</v>
      </c>
      <c r="B3741" s="129" t="str">
        <f>IFERROR(VLOOKUP(Proc[[#This Row],[App]],Table2[],3,0),"open")</f>
        <v>open</v>
      </c>
      <c r="C3741" s="135" t="s">
        <v>370</v>
      </c>
      <c r="D3741" t="s">
        <v>5868</v>
      </c>
      <c r="E3741" t="s">
        <v>4069</v>
      </c>
      <c r="F3741" s="129" t="s">
        <v>5968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0</v>
      </c>
      <c r="K3741" s="129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on track</v>
      </c>
      <c r="Q3741" s="3">
        <f ca="1">IF(Proc[[#This Row],[DateClosed]]="",ABS(NETWORKDAYS(Proc[[#This Row],[DateOpened]],TODAY()))-1,ABS(NETWORKDAYS(Proc[[#This Row],[DateOpened]],Proc[[#This Row],[DateClosed]]))-1)</f>
        <v>0</v>
      </c>
      <c r="R3741" s="136" t="s">
        <v>1013</v>
      </c>
      <c r="S3741" s="129"/>
    </row>
    <row r="3742" spans="1:19">
      <c r="A3742" s="135" t="s">
        <v>5860</v>
      </c>
      <c r="B3742" s="129" t="str">
        <f>IFERROR(VLOOKUP(Proc[[#This Row],[App]],Table2[],3,0),"open")</f>
        <v>open</v>
      </c>
      <c r="C3742" s="135" t="s">
        <v>370</v>
      </c>
      <c r="D3742" t="s">
        <v>5869</v>
      </c>
      <c r="E3742" t="s">
        <v>4069</v>
      </c>
      <c r="F3742" s="129" t="s">
        <v>5968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0</v>
      </c>
      <c r="K3742" s="129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on track</v>
      </c>
      <c r="Q3742" s="3">
        <f ca="1">IF(Proc[[#This Row],[DateClosed]]="",ABS(NETWORKDAYS(Proc[[#This Row],[DateOpened]],TODAY()))-1,ABS(NETWORKDAYS(Proc[[#This Row],[DateOpened]],Proc[[#This Row],[DateClosed]]))-1)</f>
        <v>0</v>
      </c>
      <c r="R3742" s="136" t="s">
        <v>1013</v>
      </c>
      <c r="S3742" s="129"/>
    </row>
    <row r="3743" spans="1:19">
      <c r="A3743" s="135" t="s">
        <v>5860</v>
      </c>
      <c r="B3743" s="129" t="str">
        <f>IFERROR(VLOOKUP(Proc[[#This Row],[App]],Table2[],3,0),"open")</f>
        <v>open</v>
      </c>
      <c r="C3743" s="135" t="s">
        <v>370</v>
      </c>
      <c r="D3743" t="s">
        <v>5870</v>
      </c>
      <c r="E3743" t="s">
        <v>2274</v>
      </c>
      <c r="F3743" s="129" t="s">
        <v>5969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0</v>
      </c>
      <c r="K3743" s="129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on track</v>
      </c>
      <c r="Q3743" s="3">
        <f ca="1">IF(Proc[[#This Row],[DateClosed]]="",ABS(NETWORKDAYS(Proc[[#This Row],[DateOpened]],TODAY()))-1,ABS(NETWORKDAYS(Proc[[#This Row],[DateOpened]],Proc[[#This Row],[DateClosed]]))-1)</f>
        <v>0</v>
      </c>
      <c r="R3743" s="136" t="s">
        <v>1013</v>
      </c>
      <c r="S3743" s="129"/>
    </row>
    <row r="3744" spans="1:19">
      <c r="A3744" s="135" t="s">
        <v>5860</v>
      </c>
      <c r="B3744" s="129" t="str">
        <f>IFERROR(VLOOKUP(Proc[[#This Row],[App]],Table2[],3,0),"open")</f>
        <v>open</v>
      </c>
      <c r="C3744" s="135" t="s">
        <v>370</v>
      </c>
      <c r="D3744" t="s">
        <v>5871</v>
      </c>
      <c r="E3744" t="s">
        <v>4069</v>
      </c>
      <c r="F3744" s="129" t="s">
        <v>5970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0</v>
      </c>
      <c r="K3744" s="129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on track</v>
      </c>
      <c r="Q3744" s="3">
        <f ca="1">IF(Proc[[#This Row],[DateClosed]]="",ABS(NETWORKDAYS(Proc[[#This Row],[DateOpened]],TODAY()))-1,ABS(NETWORKDAYS(Proc[[#This Row],[DateOpened]],Proc[[#This Row],[DateClosed]]))-1)</f>
        <v>0</v>
      </c>
      <c r="R3744" s="136" t="s">
        <v>1013</v>
      </c>
      <c r="S3744" s="129"/>
    </row>
    <row r="3745" spans="1:19">
      <c r="A3745" s="135" t="s">
        <v>5860</v>
      </c>
      <c r="B3745" s="129" t="str">
        <f>IFERROR(VLOOKUP(Proc[[#This Row],[App]],Table2[],3,0),"open")</f>
        <v>open</v>
      </c>
      <c r="C3745" s="135" t="s">
        <v>370</v>
      </c>
      <c r="D3745" t="s">
        <v>5872</v>
      </c>
      <c r="E3745" t="s">
        <v>4069</v>
      </c>
      <c r="F3745" s="129" t="s">
        <v>5971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0</v>
      </c>
      <c r="K3745" s="129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on track</v>
      </c>
      <c r="Q3745" s="3">
        <f ca="1">IF(Proc[[#This Row],[DateClosed]]="",ABS(NETWORKDAYS(Proc[[#This Row],[DateOpened]],TODAY()))-1,ABS(NETWORKDAYS(Proc[[#This Row],[DateOpened]],Proc[[#This Row],[DateClosed]]))-1)</f>
        <v>0</v>
      </c>
      <c r="R3745" s="136" t="s">
        <v>1013</v>
      </c>
      <c r="S3745" s="129"/>
    </row>
    <row r="3746" spans="1:19">
      <c r="A3746" s="135" t="s">
        <v>5860</v>
      </c>
      <c r="B3746" s="129" t="str">
        <f>IFERROR(VLOOKUP(Proc[[#This Row],[App]],Table2[],3,0),"open")</f>
        <v>open</v>
      </c>
      <c r="C3746" s="135" t="s">
        <v>370</v>
      </c>
      <c r="D3746" t="s">
        <v>5873</v>
      </c>
      <c r="E3746" t="s">
        <v>4069</v>
      </c>
      <c r="F3746" s="129" t="s">
        <v>5971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0</v>
      </c>
      <c r="K3746" s="129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on track</v>
      </c>
      <c r="Q3746" s="3">
        <f ca="1">IF(Proc[[#This Row],[DateClosed]]="",ABS(NETWORKDAYS(Proc[[#This Row],[DateOpened]],TODAY()))-1,ABS(NETWORKDAYS(Proc[[#This Row],[DateOpened]],Proc[[#This Row],[DateClosed]]))-1)</f>
        <v>0</v>
      </c>
      <c r="R3746" s="136" t="s">
        <v>1013</v>
      </c>
      <c r="S3746" s="129"/>
    </row>
    <row r="3747" spans="1:19">
      <c r="A3747" s="135" t="s">
        <v>5860</v>
      </c>
      <c r="B3747" s="129" t="str">
        <f>IFERROR(VLOOKUP(Proc[[#This Row],[App]],Table2[],3,0),"open")</f>
        <v>open</v>
      </c>
      <c r="C3747" s="135" t="s">
        <v>370</v>
      </c>
      <c r="D3747" t="s">
        <v>5874</v>
      </c>
      <c r="E3747" t="s">
        <v>4069</v>
      </c>
      <c r="F3747" s="129" t="s">
        <v>5971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0</v>
      </c>
      <c r="K3747" s="129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on track</v>
      </c>
      <c r="Q3747" s="3">
        <f ca="1">IF(Proc[[#This Row],[DateClosed]]="",ABS(NETWORKDAYS(Proc[[#This Row],[DateOpened]],TODAY()))-1,ABS(NETWORKDAYS(Proc[[#This Row],[DateOpened]],Proc[[#This Row],[DateClosed]]))-1)</f>
        <v>0</v>
      </c>
      <c r="R3747" s="136" t="s">
        <v>1013</v>
      </c>
      <c r="S3747" s="129"/>
    </row>
    <row r="3748" spans="1:19">
      <c r="A3748" s="135" t="s">
        <v>5860</v>
      </c>
      <c r="B3748" s="129" t="str">
        <f>IFERROR(VLOOKUP(Proc[[#This Row],[App]],Table2[],3,0),"open")</f>
        <v>open</v>
      </c>
      <c r="C3748" s="135" t="s">
        <v>370</v>
      </c>
      <c r="D3748" t="s">
        <v>5875</v>
      </c>
      <c r="E3748" t="s">
        <v>4069</v>
      </c>
      <c r="F3748" s="129" t="s">
        <v>5972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0</v>
      </c>
      <c r="K3748" s="129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on track</v>
      </c>
      <c r="Q3748" s="3">
        <f ca="1">IF(Proc[[#This Row],[DateClosed]]="",ABS(NETWORKDAYS(Proc[[#This Row],[DateOpened]],TODAY()))-1,ABS(NETWORKDAYS(Proc[[#This Row],[DateOpened]],Proc[[#This Row],[DateClosed]]))-1)</f>
        <v>0</v>
      </c>
      <c r="R3748" s="136" t="s">
        <v>1013</v>
      </c>
      <c r="S3748" s="129"/>
    </row>
    <row r="3749" spans="1:19">
      <c r="A3749" s="135" t="s">
        <v>5860</v>
      </c>
      <c r="B3749" s="129" t="str">
        <f>IFERROR(VLOOKUP(Proc[[#This Row],[App]],Table2[],3,0),"open")</f>
        <v>open</v>
      </c>
      <c r="C3749" s="135" t="s">
        <v>370</v>
      </c>
      <c r="D3749" t="s">
        <v>5876</v>
      </c>
      <c r="E3749" t="s">
        <v>3741</v>
      </c>
      <c r="F3749" s="129" t="s">
        <v>5973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0</v>
      </c>
      <c r="K3749" s="129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on track</v>
      </c>
      <c r="Q3749" s="3">
        <f ca="1">IF(Proc[[#This Row],[DateClosed]]="",ABS(NETWORKDAYS(Proc[[#This Row],[DateOpened]],TODAY()))-1,ABS(NETWORKDAYS(Proc[[#This Row],[DateOpened]],Proc[[#This Row],[DateClosed]]))-1)</f>
        <v>0</v>
      </c>
      <c r="R3749" s="136" t="s">
        <v>1013</v>
      </c>
      <c r="S3749" s="129"/>
    </row>
    <row r="3750" spans="1:19">
      <c r="A3750" s="135" t="s">
        <v>5860</v>
      </c>
      <c r="B3750" s="129" t="str">
        <f>IFERROR(VLOOKUP(Proc[[#This Row],[App]],Table2[],3,0),"open")</f>
        <v>open</v>
      </c>
      <c r="C3750" s="135" t="s">
        <v>370</v>
      </c>
      <c r="D3750" t="s">
        <v>5877</v>
      </c>
      <c r="E3750" t="s">
        <v>4069</v>
      </c>
      <c r="F3750" s="129" t="s">
        <v>2338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0</v>
      </c>
      <c r="K3750" s="129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on track</v>
      </c>
      <c r="Q3750" s="3">
        <f ca="1">IF(Proc[[#This Row],[DateClosed]]="",ABS(NETWORKDAYS(Proc[[#This Row],[DateOpened]],TODAY()))-1,ABS(NETWORKDAYS(Proc[[#This Row],[DateOpened]],Proc[[#This Row],[DateClosed]]))-1)</f>
        <v>0</v>
      </c>
      <c r="R3750" s="136" t="s">
        <v>1013</v>
      </c>
      <c r="S3750" s="129"/>
    </row>
    <row r="3751" spans="1:19">
      <c r="A3751" s="135" t="s">
        <v>5860</v>
      </c>
      <c r="B3751" s="129" t="str">
        <f>IFERROR(VLOOKUP(Proc[[#This Row],[App]],Table2[],3,0),"open")</f>
        <v>open</v>
      </c>
      <c r="C3751" s="135" t="s">
        <v>370</v>
      </c>
      <c r="D3751" t="s">
        <v>5878</v>
      </c>
      <c r="E3751" t="s">
        <v>3005</v>
      </c>
      <c r="F3751" s="129" t="s">
        <v>5974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0</v>
      </c>
      <c r="K3751" s="129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on track</v>
      </c>
      <c r="Q3751" s="3">
        <f ca="1">IF(Proc[[#This Row],[DateClosed]]="",ABS(NETWORKDAYS(Proc[[#This Row],[DateOpened]],TODAY()))-1,ABS(NETWORKDAYS(Proc[[#This Row],[DateOpened]],Proc[[#This Row],[DateClosed]]))-1)</f>
        <v>0</v>
      </c>
      <c r="R3751" s="136" t="s">
        <v>1013</v>
      </c>
      <c r="S3751" s="129"/>
    </row>
    <row r="3752" spans="1:19">
      <c r="A3752" s="135" t="s">
        <v>5860</v>
      </c>
      <c r="B3752" s="129" t="str">
        <f>IFERROR(VLOOKUP(Proc[[#This Row],[App]],Table2[],3,0),"open")</f>
        <v>open</v>
      </c>
      <c r="C3752" s="135" t="s">
        <v>370</v>
      </c>
      <c r="D3752" t="s">
        <v>5879</v>
      </c>
      <c r="E3752" t="s">
        <v>3005</v>
      </c>
      <c r="F3752" s="129" t="s">
        <v>5975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0</v>
      </c>
      <c r="K3752" s="129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on track</v>
      </c>
      <c r="Q3752" s="3">
        <f ca="1">IF(Proc[[#This Row],[DateClosed]]="",ABS(NETWORKDAYS(Proc[[#This Row],[DateOpened]],TODAY()))-1,ABS(NETWORKDAYS(Proc[[#This Row],[DateOpened]],Proc[[#This Row],[DateClosed]]))-1)</f>
        <v>0</v>
      </c>
      <c r="R3752" s="136" t="s">
        <v>1013</v>
      </c>
      <c r="S3752" s="129"/>
    </row>
    <row r="3753" spans="1:19">
      <c r="A3753" s="135" t="s">
        <v>5860</v>
      </c>
      <c r="B3753" s="129" t="str">
        <f>IFERROR(VLOOKUP(Proc[[#This Row],[App]],Table2[],3,0),"open")</f>
        <v>open</v>
      </c>
      <c r="C3753" s="135" t="s">
        <v>370</v>
      </c>
      <c r="D3753" t="s">
        <v>5880</v>
      </c>
      <c r="E3753" t="s">
        <v>3005</v>
      </c>
      <c r="F3753" s="129" t="s">
        <v>5976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0</v>
      </c>
      <c r="K3753" s="129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on track</v>
      </c>
      <c r="Q3753" s="3">
        <f ca="1">IF(Proc[[#This Row],[DateClosed]]="",ABS(NETWORKDAYS(Proc[[#This Row],[DateOpened]],TODAY()))-1,ABS(NETWORKDAYS(Proc[[#This Row],[DateOpened]],Proc[[#This Row],[DateClosed]]))-1)</f>
        <v>0</v>
      </c>
      <c r="R3753" s="136" t="s">
        <v>1013</v>
      </c>
      <c r="S3753" s="129"/>
    </row>
    <row r="3754" spans="1:19">
      <c r="A3754" s="135" t="s">
        <v>5860</v>
      </c>
      <c r="B3754" s="129" t="str">
        <f>IFERROR(VLOOKUP(Proc[[#This Row],[App]],Table2[],3,0),"open")</f>
        <v>open</v>
      </c>
      <c r="C3754" s="135" t="s">
        <v>370</v>
      </c>
      <c r="D3754" t="s">
        <v>5881</v>
      </c>
      <c r="E3754" t="s">
        <v>3007</v>
      </c>
      <c r="F3754" s="129" t="s">
        <v>5977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0</v>
      </c>
      <c r="K3754" s="129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on track</v>
      </c>
      <c r="Q3754" s="3">
        <f ca="1">IF(Proc[[#This Row],[DateClosed]]="",ABS(NETWORKDAYS(Proc[[#This Row],[DateOpened]],TODAY()))-1,ABS(NETWORKDAYS(Proc[[#This Row],[DateOpened]],Proc[[#This Row],[DateClosed]]))-1)</f>
        <v>0</v>
      </c>
      <c r="R3754" s="136" t="s">
        <v>1013</v>
      </c>
      <c r="S3754" s="129"/>
    </row>
    <row r="3755" spans="1:19">
      <c r="A3755" s="135" t="s">
        <v>5860</v>
      </c>
      <c r="B3755" s="129" t="str">
        <f>IFERROR(VLOOKUP(Proc[[#This Row],[App]],Table2[],3,0),"open")</f>
        <v>open</v>
      </c>
      <c r="C3755" s="135" t="s">
        <v>370</v>
      </c>
      <c r="D3755" t="s">
        <v>5882</v>
      </c>
      <c r="E3755" t="s">
        <v>3004</v>
      </c>
      <c r="F3755" s="129" t="s">
        <v>5978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0</v>
      </c>
      <c r="K3755" s="129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on track</v>
      </c>
      <c r="Q3755" s="3">
        <f ca="1">IF(Proc[[#This Row],[DateClosed]]="",ABS(NETWORKDAYS(Proc[[#This Row],[DateOpened]],TODAY()))-1,ABS(NETWORKDAYS(Proc[[#This Row],[DateOpened]],Proc[[#This Row],[DateClosed]]))-1)</f>
        <v>0</v>
      </c>
      <c r="R3755" s="136" t="s">
        <v>1013</v>
      </c>
      <c r="S3755" s="129"/>
    </row>
    <row r="3756" spans="1:19">
      <c r="A3756" s="135" t="s">
        <v>5860</v>
      </c>
      <c r="B3756" s="129" t="str">
        <f>IFERROR(VLOOKUP(Proc[[#This Row],[App]],Table2[],3,0),"open")</f>
        <v>open</v>
      </c>
      <c r="C3756" s="135" t="s">
        <v>370</v>
      </c>
      <c r="D3756" t="s">
        <v>5883</v>
      </c>
      <c r="E3756" t="s">
        <v>3004</v>
      </c>
      <c r="F3756" s="129" t="s">
        <v>5979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0</v>
      </c>
      <c r="K3756" s="129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on track</v>
      </c>
      <c r="Q3756" s="3">
        <f ca="1">IF(Proc[[#This Row],[DateClosed]]="",ABS(NETWORKDAYS(Proc[[#This Row],[DateOpened]],TODAY()))-1,ABS(NETWORKDAYS(Proc[[#This Row],[DateOpened]],Proc[[#This Row],[DateClosed]]))-1)</f>
        <v>0</v>
      </c>
      <c r="R3756" s="136" t="s">
        <v>1013</v>
      </c>
      <c r="S3756" s="129"/>
    </row>
    <row r="3757" spans="1:19">
      <c r="A3757" s="135" t="s">
        <v>5860</v>
      </c>
      <c r="B3757" s="129" t="str">
        <f>IFERROR(VLOOKUP(Proc[[#This Row],[App]],Table2[],3,0),"open")</f>
        <v>open</v>
      </c>
      <c r="C3757" s="135" t="s">
        <v>370</v>
      </c>
      <c r="D3757" t="s">
        <v>5884</v>
      </c>
      <c r="E3757" t="s">
        <v>3008</v>
      </c>
      <c r="F3757" s="129" t="s">
        <v>5980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0</v>
      </c>
      <c r="K3757" s="129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on track</v>
      </c>
      <c r="Q3757" s="3">
        <f ca="1">IF(Proc[[#This Row],[DateClosed]]="",ABS(NETWORKDAYS(Proc[[#This Row],[DateOpened]],TODAY()))-1,ABS(NETWORKDAYS(Proc[[#This Row],[DateOpened]],Proc[[#This Row],[DateClosed]]))-1)</f>
        <v>0</v>
      </c>
      <c r="R3757" s="136" t="s">
        <v>1013</v>
      </c>
      <c r="S3757" s="129"/>
    </row>
    <row r="3758" spans="1:19">
      <c r="A3758" s="135" t="s">
        <v>5860</v>
      </c>
      <c r="B3758" s="129" t="str">
        <f>IFERROR(VLOOKUP(Proc[[#This Row],[App]],Table2[],3,0),"open")</f>
        <v>open</v>
      </c>
      <c r="C3758" s="135" t="s">
        <v>370</v>
      </c>
      <c r="D3758" t="s">
        <v>5885</v>
      </c>
      <c r="E3758" t="s">
        <v>3008</v>
      </c>
      <c r="F3758" s="129" t="s">
        <v>5981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0</v>
      </c>
      <c r="K3758" s="129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on track</v>
      </c>
      <c r="Q3758" s="3">
        <f ca="1">IF(Proc[[#This Row],[DateClosed]]="",ABS(NETWORKDAYS(Proc[[#This Row],[DateOpened]],TODAY()))-1,ABS(NETWORKDAYS(Proc[[#This Row],[DateOpened]],Proc[[#This Row],[DateClosed]]))-1)</f>
        <v>0</v>
      </c>
      <c r="R3758" s="136" t="s">
        <v>1013</v>
      </c>
      <c r="S3758" s="129"/>
    </row>
    <row r="3759" spans="1:19">
      <c r="A3759" s="135" t="s">
        <v>5860</v>
      </c>
      <c r="B3759" s="129" t="str">
        <f>IFERROR(VLOOKUP(Proc[[#This Row],[App]],Table2[],3,0),"open")</f>
        <v>open</v>
      </c>
      <c r="C3759" s="135" t="s">
        <v>370</v>
      </c>
      <c r="D3759" t="s">
        <v>5886</v>
      </c>
      <c r="E3759" t="s">
        <v>3008</v>
      </c>
      <c r="F3759" s="129" t="s">
        <v>5982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0</v>
      </c>
      <c r="K3759" s="129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on track</v>
      </c>
      <c r="Q3759" s="3">
        <f ca="1">IF(Proc[[#This Row],[DateClosed]]="",ABS(NETWORKDAYS(Proc[[#This Row],[DateOpened]],TODAY()))-1,ABS(NETWORKDAYS(Proc[[#This Row],[DateOpened]],Proc[[#This Row],[DateClosed]]))-1)</f>
        <v>0</v>
      </c>
      <c r="R3759" s="136" t="s">
        <v>1013</v>
      </c>
      <c r="S3759" s="129"/>
    </row>
    <row r="3760" spans="1:19">
      <c r="A3760" s="135" t="s">
        <v>5860</v>
      </c>
      <c r="B3760" s="129" t="str">
        <f>IFERROR(VLOOKUP(Proc[[#This Row],[App]],Table2[],3,0),"open")</f>
        <v>open</v>
      </c>
      <c r="C3760" s="135" t="s">
        <v>370</v>
      </c>
      <c r="D3760" t="s">
        <v>5887</v>
      </c>
      <c r="E3760" t="s">
        <v>3009</v>
      </c>
      <c r="F3760" s="129" t="s">
        <v>5983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0</v>
      </c>
      <c r="K3760" s="129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on track</v>
      </c>
      <c r="Q3760" s="3">
        <f ca="1">IF(Proc[[#This Row],[DateClosed]]="",ABS(NETWORKDAYS(Proc[[#This Row],[DateOpened]],TODAY()))-1,ABS(NETWORKDAYS(Proc[[#This Row],[DateOpened]],Proc[[#This Row],[DateClosed]]))-1)</f>
        <v>0</v>
      </c>
      <c r="R3760" s="136" t="s">
        <v>1013</v>
      </c>
      <c r="S3760" s="129"/>
    </row>
    <row r="3761" spans="1:19">
      <c r="A3761" s="135" t="s">
        <v>5860</v>
      </c>
      <c r="B3761" s="129" t="str">
        <f>IFERROR(VLOOKUP(Proc[[#This Row],[App]],Table2[],3,0),"open")</f>
        <v>open</v>
      </c>
      <c r="C3761" s="135" t="s">
        <v>370</v>
      </c>
      <c r="D3761" t="s">
        <v>5888</v>
      </c>
      <c r="E3761" t="s">
        <v>3003</v>
      </c>
      <c r="F3761" s="129" t="s">
        <v>5984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0</v>
      </c>
      <c r="K3761" s="129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on track</v>
      </c>
      <c r="Q3761" s="3">
        <f ca="1">IF(Proc[[#This Row],[DateClosed]]="",ABS(NETWORKDAYS(Proc[[#This Row],[DateOpened]],TODAY()))-1,ABS(NETWORKDAYS(Proc[[#This Row],[DateOpened]],Proc[[#This Row],[DateClosed]]))-1)</f>
        <v>0</v>
      </c>
      <c r="R3761" s="136" t="s">
        <v>1013</v>
      </c>
      <c r="S3761" s="129"/>
    </row>
    <row r="3762" spans="1:19">
      <c r="A3762" s="135" t="s">
        <v>5860</v>
      </c>
      <c r="B3762" s="129" t="str">
        <f>IFERROR(VLOOKUP(Proc[[#This Row],[App]],Table2[],3,0),"open")</f>
        <v>open</v>
      </c>
      <c r="C3762" s="135" t="s">
        <v>370</v>
      </c>
      <c r="D3762" t="s">
        <v>5889</v>
      </c>
      <c r="E3762" t="s">
        <v>3009</v>
      </c>
      <c r="F3762" s="129" t="s">
        <v>5985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0</v>
      </c>
      <c r="K3762" s="129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on track</v>
      </c>
      <c r="Q3762" s="3">
        <f ca="1">IF(Proc[[#This Row],[DateClosed]]="",ABS(NETWORKDAYS(Proc[[#This Row],[DateOpened]],TODAY()))-1,ABS(NETWORKDAYS(Proc[[#This Row],[DateOpened]],Proc[[#This Row],[DateClosed]]))-1)</f>
        <v>0</v>
      </c>
      <c r="R3762" s="136" t="s">
        <v>1013</v>
      </c>
      <c r="S3762" s="129"/>
    </row>
    <row r="3763" spans="1:19">
      <c r="A3763" s="135" t="s">
        <v>5860</v>
      </c>
      <c r="B3763" s="129" t="str">
        <f>IFERROR(VLOOKUP(Proc[[#This Row],[App]],Table2[],3,0),"open")</f>
        <v>open</v>
      </c>
      <c r="C3763" s="135" t="s">
        <v>370</v>
      </c>
      <c r="D3763" t="s">
        <v>5890</v>
      </c>
      <c r="E3763" t="s">
        <v>3008</v>
      </c>
      <c r="F3763" s="129" t="s">
        <v>5986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0</v>
      </c>
      <c r="K3763" s="129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on track</v>
      </c>
      <c r="Q3763" s="3">
        <f ca="1">IF(Proc[[#This Row],[DateClosed]]="",ABS(NETWORKDAYS(Proc[[#This Row],[DateOpened]],TODAY()))-1,ABS(NETWORKDAYS(Proc[[#This Row],[DateOpened]],Proc[[#This Row],[DateClosed]]))-1)</f>
        <v>0</v>
      </c>
      <c r="R3763" s="136" t="s">
        <v>1013</v>
      </c>
      <c r="S3763" s="129"/>
    </row>
    <row r="3764" spans="1:19">
      <c r="A3764" s="135" t="s">
        <v>5860</v>
      </c>
      <c r="B3764" s="129" t="str">
        <f>IFERROR(VLOOKUP(Proc[[#This Row],[App]],Table2[],3,0),"open")</f>
        <v>open</v>
      </c>
      <c r="C3764" s="135" t="s">
        <v>370</v>
      </c>
      <c r="D3764" t="s">
        <v>5891</v>
      </c>
      <c r="E3764" t="s">
        <v>3004</v>
      </c>
      <c r="F3764" s="129" t="s">
        <v>5987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0</v>
      </c>
      <c r="K3764" s="129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on track</v>
      </c>
      <c r="Q3764" s="3">
        <f ca="1">IF(Proc[[#This Row],[DateClosed]]="",ABS(NETWORKDAYS(Proc[[#This Row],[DateOpened]],TODAY()))-1,ABS(NETWORKDAYS(Proc[[#This Row],[DateOpened]],Proc[[#This Row],[DateClosed]]))-1)</f>
        <v>0</v>
      </c>
      <c r="R3764" s="136" t="s">
        <v>1013</v>
      </c>
      <c r="S3764" s="129"/>
    </row>
    <row r="3765" spans="1:19">
      <c r="A3765" s="135" t="s">
        <v>5860</v>
      </c>
      <c r="B3765" s="129" t="str">
        <f>IFERROR(VLOOKUP(Proc[[#This Row],[App]],Table2[],3,0),"open")</f>
        <v>open</v>
      </c>
      <c r="C3765" s="135" t="s">
        <v>370</v>
      </c>
      <c r="D3765" t="s">
        <v>5892</v>
      </c>
      <c r="E3765" t="s">
        <v>3006</v>
      </c>
      <c r="F3765" s="129" t="s">
        <v>5988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0</v>
      </c>
      <c r="K3765" s="129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on track</v>
      </c>
      <c r="Q3765" s="3">
        <f ca="1">IF(Proc[[#This Row],[DateClosed]]="",ABS(NETWORKDAYS(Proc[[#This Row],[DateOpened]],TODAY()))-1,ABS(NETWORKDAYS(Proc[[#This Row],[DateOpened]],Proc[[#This Row],[DateClosed]]))-1)</f>
        <v>0</v>
      </c>
      <c r="R3765" s="136" t="s">
        <v>1013</v>
      </c>
      <c r="S3765" s="129"/>
    </row>
    <row r="3766" spans="1:19">
      <c r="A3766" s="135" t="s">
        <v>5860</v>
      </c>
      <c r="B3766" s="129" t="str">
        <f>IFERROR(VLOOKUP(Proc[[#This Row],[App]],Table2[],3,0),"open")</f>
        <v>open</v>
      </c>
      <c r="C3766" s="135" t="s">
        <v>370</v>
      </c>
      <c r="D3766" t="s">
        <v>5893</v>
      </c>
      <c r="E3766" t="s">
        <v>3003</v>
      </c>
      <c r="F3766" s="129" t="s">
        <v>5989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0</v>
      </c>
      <c r="K3766" s="129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on track</v>
      </c>
      <c r="Q3766" s="3">
        <f ca="1">IF(Proc[[#This Row],[DateClosed]]="",ABS(NETWORKDAYS(Proc[[#This Row],[DateOpened]],TODAY()))-1,ABS(NETWORKDAYS(Proc[[#This Row],[DateOpened]],Proc[[#This Row],[DateClosed]]))-1)</f>
        <v>0</v>
      </c>
      <c r="R3766" s="136" t="s">
        <v>1013</v>
      </c>
      <c r="S3766" s="129"/>
    </row>
    <row r="3767" spans="1:19">
      <c r="A3767" s="135" t="s">
        <v>5860</v>
      </c>
      <c r="B3767" s="129" t="str">
        <f>IFERROR(VLOOKUP(Proc[[#This Row],[App]],Table2[],3,0),"open")</f>
        <v>open</v>
      </c>
      <c r="C3767" s="135" t="s">
        <v>370</v>
      </c>
      <c r="D3767" t="s">
        <v>5894</v>
      </c>
      <c r="E3767" t="s">
        <v>3005</v>
      </c>
      <c r="F3767" s="129" t="s">
        <v>5990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0</v>
      </c>
      <c r="K3767" s="129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on track</v>
      </c>
      <c r="Q3767" s="3">
        <f ca="1">IF(Proc[[#This Row],[DateClosed]]="",ABS(NETWORKDAYS(Proc[[#This Row],[DateOpened]],TODAY()))-1,ABS(NETWORKDAYS(Proc[[#This Row],[DateOpened]],Proc[[#This Row],[DateClosed]]))-1)</f>
        <v>0</v>
      </c>
      <c r="R3767" s="136" t="s">
        <v>1013</v>
      </c>
      <c r="S3767" s="129"/>
    </row>
    <row r="3768" spans="1:19">
      <c r="A3768" s="135" t="s">
        <v>5860</v>
      </c>
      <c r="B3768" s="129" t="str">
        <f>IFERROR(VLOOKUP(Proc[[#This Row],[App]],Table2[],3,0),"open")</f>
        <v>open</v>
      </c>
      <c r="C3768" s="135" t="s">
        <v>370</v>
      </c>
      <c r="D3768" t="s">
        <v>5895</v>
      </c>
      <c r="E3768" t="s">
        <v>3005</v>
      </c>
      <c r="F3768" s="129" t="s">
        <v>5991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0</v>
      </c>
      <c r="K3768" s="129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on track</v>
      </c>
      <c r="Q3768" s="3">
        <f ca="1">IF(Proc[[#This Row],[DateClosed]]="",ABS(NETWORKDAYS(Proc[[#This Row],[DateOpened]],TODAY()))-1,ABS(NETWORKDAYS(Proc[[#This Row],[DateOpened]],Proc[[#This Row],[DateClosed]]))-1)</f>
        <v>0</v>
      </c>
      <c r="R3768" s="136" t="s">
        <v>1013</v>
      </c>
      <c r="S3768" s="129"/>
    </row>
    <row r="3769" spans="1:19">
      <c r="A3769" s="135" t="s">
        <v>5860</v>
      </c>
      <c r="B3769" s="129" t="str">
        <f>IFERROR(VLOOKUP(Proc[[#This Row],[App]],Table2[],3,0),"open")</f>
        <v>open</v>
      </c>
      <c r="C3769" s="135" t="s">
        <v>370</v>
      </c>
      <c r="D3769" t="s">
        <v>5896</v>
      </c>
      <c r="E3769" t="s">
        <v>3007</v>
      </c>
      <c r="F3769" s="129" t="s">
        <v>5992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0</v>
      </c>
      <c r="K3769" s="129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on track</v>
      </c>
      <c r="Q3769" s="3">
        <f ca="1">IF(Proc[[#This Row],[DateClosed]]="",ABS(NETWORKDAYS(Proc[[#This Row],[DateOpened]],TODAY()))-1,ABS(NETWORKDAYS(Proc[[#This Row],[DateOpened]],Proc[[#This Row],[DateClosed]]))-1)</f>
        <v>0</v>
      </c>
      <c r="R3769" s="136" t="s">
        <v>1013</v>
      </c>
      <c r="S3769" s="129"/>
    </row>
    <row r="3770" spans="1:19">
      <c r="A3770" s="135" t="s">
        <v>5860</v>
      </c>
      <c r="B3770" s="129" t="str">
        <f>IFERROR(VLOOKUP(Proc[[#This Row],[App]],Table2[],3,0),"open")</f>
        <v>open</v>
      </c>
      <c r="C3770" s="135" t="s">
        <v>370</v>
      </c>
      <c r="D3770" t="s">
        <v>5897</v>
      </c>
      <c r="E3770" t="s">
        <v>3008</v>
      </c>
      <c r="F3770" s="129" t="s">
        <v>5993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0</v>
      </c>
      <c r="K3770" s="129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on track</v>
      </c>
      <c r="Q3770" s="3">
        <f ca="1">IF(Proc[[#This Row],[DateClosed]]="",ABS(NETWORKDAYS(Proc[[#This Row],[DateOpened]],TODAY()))-1,ABS(NETWORKDAYS(Proc[[#This Row],[DateOpened]],Proc[[#This Row],[DateClosed]]))-1)</f>
        <v>0</v>
      </c>
      <c r="R3770" s="136" t="s">
        <v>1013</v>
      </c>
      <c r="S3770" s="129"/>
    </row>
    <row r="3771" spans="1:19">
      <c r="A3771" s="135" t="s">
        <v>5860</v>
      </c>
      <c r="B3771" s="129" t="str">
        <f>IFERROR(VLOOKUP(Proc[[#This Row],[App]],Table2[],3,0),"open")</f>
        <v>open</v>
      </c>
      <c r="C3771" s="135" t="s">
        <v>370</v>
      </c>
      <c r="D3771" t="s">
        <v>5898</v>
      </c>
      <c r="E3771" t="s">
        <v>3008</v>
      </c>
      <c r="F3771" s="129" t="s">
        <v>5994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0</v>
      </c>
      <c r="K3771" s="129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on track</v>
      </c>
      <c r="Q3771" s="3">
        <f ca="1">IF(Proc[[#This Row],[DateClosed]]="",ABS(NETWORKDAYS(Proc[[#This Row],[DateOpened]],TODAY()))-1,ABS(NETWORKDAYS(Proc[[#This Row],[DateOpened]],Proc[[#This Row],[DateClosed]]))-1)</f>
        <v>0</v>
      </c>
      <c r="R3771" s="136" t="s">
        <v>1013</v>
      </c>
      <c r="S3771" s="129"/>
    </row>
    <row r="3772" spans="1:19">
      <c r="A3772" s="135" t="s">
        <v>5860</v>
      </c>
      <c r="B3772" s="129" t="str">
        <f>IFERROR(VLOOKUP(Proc[[#This Row],[App]],Table2[],3,0),"open")</f>
        <v>open</v>
      </c>
      <c r="C3772" s="135" t="s">
        <v>370</v>
      </c>
      <c r="D3772" t="s">
        <v>5899</v>
      </c>
      <c r="E3772" t="s">
        <v>3008</v>
      </c>
      <c r="F3772" s="129" t="s">
        <v>5995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0</v>
      </c>
      <c r="K3772" s="129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on track</v>
      </c>
      <c r="Q3772" s="3">
        <f ca="1">IF(Proc[[#This Row],[DateClosed]]="",ABS(NETWORKDAYS(Proc[[#This Row],[DateOpened]],TODAY()))-1,ABS(NETWORKDAYS(Proc[[#This Row],[DateOpened]],Proc[[#This Row],[DateClosed]]))-1)</f>
        <v>0</v>
      </c>
      <c r="R3772" s="136" t="s">
        <v>1013</v>
      </c>
      <c r="S3772" s="129"/>
    </row>
    <row r="3773" spans="1:19">
      <c r="A3773" s="135" t="s">
        <v>5860</v>
      </c>
      <c r="B3773" s="129" t="str">
        <f>IFERROR(VLOOKUP(Proc[[#This Row],[App]],Table2[],3,0),"open")</f>
        <v>open</v>
      </c>
      <c r="C3773" s="135" t="s">
        <v>370</v>
      </c>
      <c r="D3773" t="s">
        <v>5900</v>
      </c>
      <c r="E3773" t="s">
        <v>3009</v>
      </c>
      <c r="F3773" s="129" t="s">
        <v>5996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0</v>
      </c>
      <c r="K3773" s="129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on track</v>
      </c>
      <c r="Q3773" s="3">
        <f ca="1">IF(Proc[[#This Row],[DateClosed]]="",ABS(NETWORKDAYS(Proc[[#This Row],[DateOpened]],TODAY()))-1,ABS(NETWORKDAYS(Proc[[#This Row],[DateOpened]],Proc[[#This Row],[DateClosed]]))-1)</f>
        <v>0</v>
      </c>
      <c r="R3773" s="136" t="s">
        <v>1013</v>
      </c>
      <c r="S3773" s="129"/>
    </row>
    <row r="3774" spans="1:19">
      <c r="A3774" s="135" t="s">
        <v>5860</v>
      </c>
      <c r="B3774" s="129" t="str">
        <f>IFERROR(VLOOKUP(Proc[[#This Row],[App]],Table2[],3,0),"open")</f>
        <v>open</v>
      </c>
      <c r="C3774" s="135" t="s">
        <v>370</v>
      </c>
      <c r="D3774" t="s">
        <v>5901</v>
      </c>
      <c r="E3774" t="s">
        <v>3006</v>
      </c>
      <c r="F3774" s="129" t="s">
        <v>5997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0</v>
      </c>
      <c r="K3774" s="129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on track</v>
      </c>
      <c r="Q3774" s="3">
        <f ca="1">IF(Proc[[#This Row],[DateClosed]]="",ABS(NETWORKDAYS(Proc[[#This Row],[DateOpened]],TODAY()))-1,ABS(NETWORKDAYS(Proc[[#This Row],[DateOpened]],Proc[[#This Row],[DateClosed]]))-1)</f>
        <v>0</v>
      </c>
      <c r="R3774" s="136" t="s">
        <v>1013</v>
      </c>
      <c r="S3774" s="129"/>
    </row>
    <row r="3775" spans="1:19">
      <c r="A3775" s="135" t="s">
        <v>5860</v>
      </c>
      <c r="B3775" s="129" t="str">
        <f>IFERROR(VLOOKUP(Proc[[#This Row],[App]],Table2[],3,0),"open")</f>
        <v>open</v>
      </c>
      <c r="C3775" s="135" t="s">
        <v>370</v>
      </c>
      <c r="D3775" t="s">
        <v>5902</v>
      </c>
      <c r="E3775" t="s">
        <v>3006</v>
      </c>
      <c r="F3775" s="129" t="s">
        <v>5998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0</v>
      </c>
      <c r="K3775" s="129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on track</v>
      </c>
      <c r="Q3775" s="3">
        <f ca="1">IF(Proc[[#This Row],[DateClosed]]="",ABS(NETWORKDAYS(Proc[[#This Row],[DateOpened]],TODAY()))-1,ABS(NETWORKDAYS(Proc[[#This Row],[DateOpened]],Proc[[#This Row],[DateClosed]]))-1)</f>
        <v>0</v>
      </c>
      <c r="R3775" s="136" t="s">
        <v>1013</v>
      </c>
      <c r="S3775" s="129"/>
    </row>
    <row r="3776" spans="1:19">
      <c r="A3776" s="135" t="s">
        <v>5860</v>
      </c>
      <c r="B3776" s="129" t="str">
        <f>IFERROR(VLOOKUP(Proc[[#This Row],[App]],Table2[],3,0),"open")</f>
        <v>open</v>
      </c>
      <c r="C3776" s="135" t="s">
        <v>370</v>
      </c>
      <c r="D3776" t="s">
        <v>5903</v>
      </c>
      <c r="E3776" t="s">
        <v>3003</v>
      </c>
      <c r="F3776" s="129" t="s">
        <v>5999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0</v>
      </c>
      <c r="K3776" s="129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on track</v>
      </c>
      <c r="Q3776" s="3">
        <f ca="1">IF(Proc[[#This Row],[DateClosed]]="",ABS(NETWORKDAYS(Proc[[#This Row],[DateOpened]],TODAY()))-1,ABS(NETWORKDAYS(Proc[[#This Row],[DateOpened]],Proc[[#This Row],[DateClosed]]))-1)</f>
        <v>0</v>
      </c>
      <c r="R3776" s="136" t="s">
        <v>1013</v>
      </c>
      <c r="S3776" s="129"/>
    </row>
    <row r="3777" spans="1:19">
      <c r="A3777" s="135" t="s">
        <v>5860</v>
      </c>
      <c r="B3777" s="129" t="str">
        <f>IFERROR(VLOOKUP(Proc[[#This Row],[App]],Table2[],3,0),"open")</f>
        <v>open</v>
      </c>
      <c r="C3777" s="135" t="s">
        <v>370</v>
      </c>
      <c r="D3777" t="s">
        <v>5904</v>
      </c>
      <c r="E3777" t="s">
        <v>5921</v>
      </c>
      <c r="F3777" s="129" t="s">
        <v>6000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0</v>
      </c>
      <c r="K3777" s="129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on track</v>
      </c>
      <c r="Q3777" s="3">
        <f ca="1">IF(Proc[[#This Row],[DateClosed]]="",ABS(NETWORKDAYS(Proc[[#This Row],[DateOpened]],TODAY()))-1,ABS(NETWORKDAYS(Proc[[#This Row],[DateOpened]],Proc[[#This Row],[DateClosed]]))-1)</f>
        <v>0</v>
      </c>
      <c r="R3777" s="136" t="s">
        <v>1013</v>
      </c>
      <c r="S3777" s="129"/>
    </row>
    <row r="3778" spans="1:19">
      <c r="A3778" s="135" t="s">
        <v>5860</v>
      </c>
      <c r="B3778" s="129" t="str">
        <f>IFERROR(VLOOKUP(Proc[[#This Row],[App]],Table2[],3,0),"open")</f>
        <v>open</v>
      </c>
      <c r="C3778" s="135" t="s">
        <v>370</v>
      </c>
      <c r="D3778" t="s">
        <v>5905</v>
      </c>
      <c r="E3778" t="s">
        <v>3400</v>
      </c>
      <c r="F3778" s="129" t="s">
        <v>6001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0</v>
      </c>
      <c r="K3778" s="129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on track</v>
      </c>
      <c r="Q3778" s="3">
        <f ca="1">IF(Proc[[#This Row],[DateClosed]]="",ABS(NETWORKDAYS(Proc[[#This Row],[DateOpened]],TODAY()))-1,ABS(NETWORKDAYS(Proc[[#This Row],[DateOpened]],Proc[[#This Row],[DateClosed]]))-1)</f>
        <v>0</v>
      </c>
      <c r="R3778" s="136" t="s">
        <v>1013</v>
      </c>
      <c r="S3778" s="129"/>
    </row>
    <row r="3779" spans="1:19">
      <c r="A3779" s="135" t="s">
        <v>5860</v>
      </c>
      <c r="B3779" s="129" t="str">
        <f>IFERROR(VLOOKUP(Proc[[#This Row],[App]],Table2[],3,0),"open")</f>
        <v>open</v>
      </c>
      <c r="C3779" s="135" t="s">
        <v>370</v>
      </c>
      <c r="D3779" t="s">
        <v>5906</v>
      </c>
      <c r="E3779" t="s">
        <v>3400</v>
      </c>
      <c r="F3779" s="129" t="s">
        <v>6002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0</v>
      </c>
      <c r="K3779" s="129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on track</v>
      </c>
      <c r="Q3779" s="3">
        <f ca="1">IF(Proc[[#This Row],[DateClosed]]="",ABS(NETWORKDAYS(Proc[[#This Row],[DateOpened]],TODAY()))-1,ABS(NETWORKDAYS(Proc[[#This Row],[DateOpened]],Proc[[#This Row],[DateClosed]]))-1)</f>
        <v>0</v>
      </c>
      <c r="R3779" s="136" t="s">
        <v>1013</v>
      </c>
      <c r="S3779" s="129"/>
    </row>
    <row r="3780" spans="1:19">
      <c r="A3780" s="135" t="s">
        <v>5860</v>
      </c>
      <c r="B3780" s="129" t="str">
        <f>IFERROR(VLOOKUP(Proc[[#This Row],[App]],Table2[],3,0),"open")</f>
        <v>open</v>
      </c>
      <c r="C3780" s="135" t="s">
        <v>370</v>
      </c>
      <c r="D3780" t="s">
        <v>5907</v>
      </c>
      <c r="E3780" t="s">
        <v>3400</v>
      </c>
      <c r="F3780" s="129" t="s">
        <v>6003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0</v>
      </c>
      <c r="K3780" s="129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on track</v>
      </c>
      <c r="Q3780" s="3">
        <f ca="1">IF(Proc[[#This Row],[DateClosed]]="",ABS(NETWORKDAYS(Proc[[#This Row],[DateOpened]],TODAY()))-1,ABS(NETWORKDAYS(Proc[[#This Row],[DateOpened]],Proc[[#This Row],[DateClosed]]))-1)</f>
        <v>0</v>
      </c>
      <c r="R3780" s="136" t="s">
        <v>1013</v>
      </c>
      <c r="S3780" s="129"/>
    </row>
    <row r="3781" spans="1:19">
      <c r="A3781" s="135" t="s">
        <v>5860</v>
      </c>
      <c r="B3781" s="129" t="str">
        <f>IFERROR(VLOOKUP(Proc[[#This Row],[App]],Table2[],3,0),"open")</f>
        <v>open</v>
      </c>
      <c r="C3781" s="135" t="s">
        <v>370</v>
      </c>
      <c r="D3781" t="s">
        <v>5908</v>
      </c>
      <c r="E3781" t="s">
        <v>3400</v>
      </c>
      <c r="F3781" s="129" t="s">
        <v>6004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0</v>
      </c>
      <c r="K3781" s="129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on track</v>
      </c>
      <c r="Q3781" s="3">
        <f ca="1">IF(Proc[[#This Row],[DateClosed]]="",ABS(NETWORKDAYS(Proc[[#This Row],[DateOpened]],TODAY()))-1,ABS(NETWORKDAYS(Proc[[#This Row],[DateOpened]],Proc[[#This Row],[DateClosed]]))-1)</f>
        <v>0</v>
      </c>
      <c r="R3781" s="136" t="s">
        <v>1013</v>
      </c>
      <c r="S3781" s="129"/>
    </row>
    <row r="3782" spans="1:19">
      <c r="A3782" s="135" t="s">
        <v>5860</v>
      </c>
      <c r="B3782" s="129" t="str">
        <f>IFERROR(VLOOKUP(Proc[[#This Row],[App]],Table2[],3,0),"open")</f>
        <v>open</v>
      </c>
      <c r="C3782" s="135" t="s">
        <v>370</v>
      </c>
      <c r="D3782" t="s">
        <v>5909</v>
      </c>
      <c r="E3782" t="s">
        <v>3398</v>
      </c>
      <c r="F3782" s="129" t="s">
        <v>6005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0</v>
      </c>
      <c r="K3782" s="129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on track</v>
      </c>
      <c r="Q3782" s="3">
        <f ca="1">IF(Proc[[#This Row],[DateClosed]]="",ABS(NETWORKDAYS(Proc[[#This Row],[DateOpened]],TODAY()))-1,ABS(NETWORKDAYS(Proc[[#This Row],[DateOpened]],Proc[[#This Row],[DateClosed]]))-1)</f>
        <v>0</v>
      </c>
      <c r="R3782" s="136" t="s">
        <v>1013</v>
      </c>
      <c r="S3782" s="129"/>
    </row>
    <row r="3783" spans="1:19">
      <c r="A3783" s="135" t="s">
        <v>5860</v>
      </c>
      <c r="B3783" s="129" t="str">
        <f>IFERROR(VLOOKUP(Proc[[#This Row],[App]],Table2[],3,0),"open")</f>
        <v>open</v>
      </c>
      <c r="C3783" s="135" t="s">
        <v>370</v>
      </c>
      <c r="D3783" t="s">
        <v>5910</v>
      </c>
      <c r="E3783" t="s">
        <v>3402</v>
      </c>
      <c r="F3783" s="129" t="s">
        <v>6006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0</v>
      </c>
      <c r="K3783" s="129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on track</v>
      </c>
      <c r="Q3783" s="3">
        <f ca="1">IF(Proc[[#This Row],[DateClosed]]="",ABS(NETWORKDAYS(Proc[[#This Row],[DateOpened]],TODAY()))-1,ABS(NETWORKDAYS(Proc[[#This Row],[DateOpened]],Proc[[#This Row],[DateClosed]]))-1)</f>
        <v>0</v>
      </c>
      <c r="R3783" s="136" t="s">
        <v>1013</v>
      </c>
      <c r="S3783" s="129"/>
    </row>
    <row r="3784" spans="1:19">
      <c r="A3784" s="135" t="s">
        <v>5860</v>
      </c>
      <c r="B3784" s="129" t="str">
        <f>IFERROR(VLOOKUP(Proc[[#This Row],[App]],Table2[],3,0),"open")</f>
        <v>open</v>
      </c>
      <c r="C3784" s="135" t="s">
        <v>370</v>
      </c>
      <c r="D3784" t="s">
        <v>5911</v>
      </c>
      <c r="E3784" t="s">
        <v>3402</v>
      </c>
      <c r="F3784" s="129" t="s">
        <v>6007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0</v>
      </c>
      <c r="K3784" s="129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on track</v>
      </c>
      <c r="Q3784" s="3">
        <f ca="1">IF(Proc[[#This Row],[DateClosed]]="",ABS(NETWORKDAYS(Proc[[#This Row],[DateOpened]],TODAY()))-1,ABS(NETWORKDAYS(Proc[[#This Row],[DateOpened]],Proc[[#This Row],[DateClosed]]))-1)</f>
        <v>0</v>
      </c>
      <c r="R3784" s="136" t="s">
        <v>1013</v>
      </c>
      <c r="S3784" s="129"/>
    </row>
    <row r="3785" spans="1:19">
      <c r="A3785" s="135" t="s">
        <v>5860</v>
      </c>
      <c r="B3785" s="129" t="str">
        <f>IFERROR(VLOOKUP(Proc[[#This Row],[App]],Table2[],3,0),"open")</f>
        <v>open</v>
      </c>
      <c r="C3785" s="135" t="s">
        <v>370</v>
      </c>
      <c r="D3785" t="s">
        <v>5912</v>
      </c>
      <c r="E3785" t="s">
        <v>3402</v>
      </c>
      <c r="F3785" s="129" t="s">
        <v>6007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0</v>
      </c>
      <c r="K3785" s="129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on track</v>
      </c>
      <c r="Q3785" s="3">
        <f ca="1">IF(Proc[[#This Row],[DateClosed]]="",ABS(NETWORKDAYS(Proc[[#This Row],[DateOpened]],TODAY()))-1,ABS(NETWORKDAYS(Proc[[#This Row],[DateOpened]],Proc[[#This Row],[DateClosed]]))-1)</f>
        <v>0</v>
      </c>
      <c r="R3785" s="136" t="s">
        <v>1013</v>
      </c>
      <c r="S3785" s="129"/>
    </row>
    <row r="3786" spans="1:19">
      <c r="A3786" s="135" t="s">
        <v>5860</v>
      </c>
      <c r="B3786" s="129" t="str">
        <f>IFERROR(VLOOKUP(Proc[[#This Row],[App]],Table2[],3,0),"open")</f>
        <v>open</v>
      </c>
      <c r="C3786" s="135" t="s">
        <v>370</v>
      </c>
      <c r="D3786" t="s">
        <v>5913</v>
      </c>
      <c r="E3786" t="s">
        <v>3402</v>
      </c>
      <c r="F3786" s="129" t="s">
        <v>6008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0</v>
      </c>
      <c r="K3786" s="129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on track</v>
      </c>
      <c r="Q3786" s="3">
        <f ca="1">IF(Proc[[#This Row],[DateClosed]]="",ABS(NETWORKDAYS(Proc[[#This Row],[DateOpened]],TODAY()))-1,ABS(NETWORKDAYS(Proc[[#This Row],[DateOpened]],Proc[[#This Row],[DateClosed]]))-1)</f>
        <v>0</v>
      </c>
      <c r="R3786" s="136" t="s">
        <v>1013</v>
      </c>
      <c r="S3786" s="129"/>
    </row>
    <row r="3787" spans="1:19">
      <c r="A3787" s="135" t="s">
        <v>5860</v>
      </c>
      <c r="B3787" s="129" t="str">
        <f>IFERROR(VLOOKUP(Proc[[#This Row],[App]],Table2[],3,0),"open")</f>
        <v>open</v>
      </c>
      <c r="C3787" s="135" t="s">
        <v>370</v>
      </c>
      <c r="D3787" t="s">
        <v>5914</v>
      </c>
      <c r="E3787" t="s">
        <v>3402</v>
      </c>
      <c r="F3787" s="129" t="s">
        <v>6009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0</v>
      </c>
      <c r="K3787" s="129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on track</v>
      </c>
      <c r="Q3787" s="3">
        <f ca="1">IF(Proc[[#This Row],[DateClosed]]="",ABS(NETWORKDAYS(Proc[[#This Row],[DateOpened]],TODAY()))-1,ABS(NETWORKDAYS(Proc[[#This Row],[DateOpened]],Proc[[#This Row],[DateClosed]]))-1)</f>
        <v>0</v>
      </c>
      <c r="R3787" s="136" t="s">
        <v>1013</v>
      </c>
      <c r="S3787" s="129"/>
    </row>
    <row r="3788" spans="1:19">
      <c r="A3788" s="135" t="s">
        <v>5860</v>
      </c>
      <c r="B3788" s="129" t="str">
        <f>IFERROR(VLOOKUP(Proc[[#This Row],[App]],Table2[],3,0),"open")</f>
        <v>open</v>
      </c>
      <c r="C3788" s="135" t="s">
        <v>370</v>
      </c>
      <c r="D3788" t="s">
        <v>5915</v>
      </c>
      <c r="E3788" t="s">
        <v>3402</v>
      </c>
      <c r="F3788" s="129" t="s">
        <v>6009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0</v>
      </c>
      <c r="K3788" s="129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on track</v>
      </c>
      <c r="Q3788" s="3">
        <f ca="1">IF(Proc[[#This Row],[DateClosed]]="",ABS(NETWORKDAYS(Proc[[#This Row],[DateOpened]],TODAY()))-1,ABS(NETWORKDAYS(Proc[[#This Row],[DateOpened]],Proc[[#This Row],[DateClosed]]))-1)</f>
        <v>0</v>
      </c>
      <c r="R3788" s="136" t="s">
        <v>1013</v>
      </c>
      <c r="S3788" s="129"/>
    </row>
    <row r="3789" spans="1:19">
      <c r="A3789" s="135" t="s">
        <v>5860</v>
      </c>
      <c r="B3789" s="129" t="str">
        <f>IFERROR(VLOOKUP(Proc[[#This Row],[App]],Table2[],3,0),"open")</f>
        <v>open</v>
      </c>
      <c r="C3789" s="135" t="s">
        <v>370</v>
      </c>
      <c r="D3789" t="s">
        <v>5916</v>
      </c>
      <c r="E3789" t="s">
        <v>3402</v>
      </c>
      <c r="F3789" s="129" t="s">
        <v>6010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0</v>
      </c>
      <c r="K3789" s="129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on track</v>
      </c>
      <c r="Q3789" s="3">
        <f ca="1">IF(Proc[[#This Row],[DateClosed]]="",ABS(NETWORKDAYS(Proc[[#This Row],[DateOpened]],TODAY()))-1,ABS(NETWORKDAYS(Proc[[#This Row],[DateOpened]],Proc[[#This Row],[DateClosed]]))-1)</f>
        <v>0</v>
      </c>
      <c r="R3789" s="136" t="s">
        <v>1013</v>
      </c>
      <c r="S3789" s="129"/>
    </row>
    <row r="3790" spans="1:19">
      <c r="A3790" s="135" t="s">
        <v>5860</v>
      </c>
      <c r="B3790" s="129" t="str">
        <f>IFERROR(VLOOKUP(Proc[[#This Row],[App]],Table2[],3,0),"open")</f>
        <v>open</v>
      </c>
      <c r="C3790" s="135" t="s">
        <v>370</v>
      </c>
      <c r="D3790" t="s">
        <v>5917</v>
      </c>
      <c r="E3790" t="s">
        <v>3398</v>
      </c>
      <c r="F3790" s="129" t="s">
        <v>6011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0</v>
      </c>
      <c r="K3790" s="129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on track</v>
      </c>
      <c r="Q3790" s="3">
        <f ca="1">IF(Proc[[#This Row],[DateClosed]]="",ABS(NETWORKDAYS(Proc[[#This Row],[DateOpened]],TODAY()))-1,ABS(NETWORKDAYS(Proc[[#This Row],[DateOpened]],Proc[[#This Row],[DateClosed]]))-1)</f>
        <v>0</v>
      </c>
      <c r="R3790" s="136" t="s">
        <v>1013</v>
      </c>
      <c r="S3790" s="129"/>
    </row>
    <row r="3791" spans="1:19">
      <c r="A3791" s="135" t="s">
        <v>5860</v>
      </c>
      <c r="B3791" s="129" t="str">
        <f>IFERROR(VLOOKUP(Proc[[#This Row],[App]],Table2[],3,0),"open")</f>
        <v>open</v>
      </c>
      <c r="C3791" s="135" t="s">
        <v>370</v>
      </c>
      <c r="D3791" t="s">
        <v>5918</v>
      </c>
      <c r="E3791" t="s">
        <v>3402</v>
      </c>
      <c r="F3791" s="129" t="s">
        <v>6012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0</v>
      </c>
      <c r="K3791" s="129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on track</v>
      </c>
      <c r="Q3791" s="3">
        <f ca="1">IF(Proc[[#This Row],[DateClosed]]="",ABS(NETWORKDAYS(Proc[[#This Row],[DateOpened]],TODAY()))-1,ABS(NETWORKDAYS(Proc[[#This Row],[DateOpened]],Proc[[#This Row],[DateClosed]]))-1)</f>
        <v>0</v>
      </c>
      <c r="R3791" s="136" t="s">
        <v>1013</v>
      </c>
      <c r="S3791" s="129"/>
    </row>
    <row r="3792" spans="1:19">
      <c r="A3792" s="135" t="s">
        <v>5860</v>
      </c>
      <c r="B3792" s="129" t="str">
        <f>IFERROR(VLOOKUP(Proc[[#This Row],[App]],Table2[],3,0),"open")</f>
        <v>open</v>
      </c>
      <c r="C3792" s="135" t="s">
        <v>370</v>
      </c>
      <c r="D3792" t="s">
        <v>5919</v>
      </c>
      <c r="E3792" t="s">
        <v>3402</v>
      </c>
      <c r="F3792" s="129" t="s">
        <v>6013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0</v>
      </c>
      <c r="K3792" s="129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on track</v>
      </c>
      <c r="Q3792" s="3">
        <f ca="1">IF(Proc[[#This Row],[DateClosed]]="",ABS(NETWORKDAYS(Proc[[#This Row],[DateOpened]],TODAY()))-1,ABS(NETWORKDAYS(Proc[[#This Row],[DateOpened]],Proc[[#This Row],[DateClosed]]))-1)</f>
        <v>0</v>
      </c>
      <c r="R3792" s="136" t="s">
        <v>1013</v>
      </c>
      <c r="S3792" s="129"/>
    </row>
    <row r="3793" spans="1:19">
      <c r="A3793" s="135" t="s">
        <v>5860</v>
      </c>
      <c r="B3793" s="129" t="str">
        <f>IFERROR(VLOOKUP(Proc[[#This Row],[App]],Table2[],3,0),"open")</f>
        <v>open</v>
      </c>
      <c r="C3793" s="135" t="s">
        <v>370</v>
      </c>
      <c r="D3793" t="s">
        <v>5920</v>
      </c>
      <c r="E3793" t="s">
        <v>3402</v>
      </c>
      <c r="F3793" s="129" t="s">
        <v>6014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0</v>
      </c>
      <c r="K3793" s="129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on track</v>
      </c>
      <c r="Q3793" s="3">
        <f ca="1">IF(Proc[[#This Row],[DateClosed]]="",ABS(NETWORKDAYS(Proc[[#This Row],[DateOpened]],TODAY()))-1,ABS(NETWORKDAYS(Proc[[#This Row],[DateOpened]],Proc[[#This Row],[DateClosed]]))-1)</f>
        <v>0</v>
      </c>
      <c r="R3793" s="136" t="s">
        <v>1013</v>
      </c>
      <c r="S3793" s="129"/>
    </row>
    <row r="3794" spans="1:19">
      <c r="A3794" s="135" t="s">
        <v>5922</v>
      </c>
      <c r="B3794" s="129" t="str">
        <f>IFERROR(VLOOKUP(Proc[[#This Row],[App]],Table2[],3,0),"open")</f>
        <v>open</v>
      </c>
      <c r="C3794" s="135" t="s">
        <v>375</v>
      </c>
      <c r="D3794" s="135" t="s">
        <v>5927</v>
      </c>
      <c r="E3794" t="s">
        <v>1590</v>
      </c>
      <c r="F3794" s="129" t="s">
        <v>6015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0</v>
      </c>
      <c r="K3794" s="129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on track</v>
      </c>
      <c r="Q3794" s="3">
        <f ca="1">IF(Proc[[#This Row],[DateClosed]]="",ABS(NETWORKDAYS(Proc[[#This Row],[DateOpened]],TODAY()))-1,ABS(NETWORKDAYS(Proc[[#This Row],[DateOpened]],Proc[[#This Row],[DateClosed]]))-1)</f>
        <v>0</v>
      </c>
      <c r="R3794" s="136" t="s">
        <v>452</v>
      </c>
      <c r="S3794" s="129"/>
    </row>
    <row r="3795" spans="1:19">
      <c r="A3795" s="135" t="s">
        <v>5922</v>
      </c>
      <c r="B3795" s="129" t="str">
        <f>IFERROR(VLOOKUP(Proc[[#This Row],[App]],Table2[],3,0),"open")</f>
        <v>open</v>
      </c>
      <c r="C3795" s="135" t="s">
        <v>375</v>
      </c>
      <c r="D3795" s="135" t="s">
        <v>5928</v>
      </c>
      <c r="E3795" t="s">
        <v>1590</v>
      </c>
      <c r="F3795" s="129" t="s">
        <v>6015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0</v>
      </c>
      <c r="K3795" s="129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on track</v>
      </c>
      <c r="Q3795" s="3">
        <f ca="1">IF(Proc[[#This Row],[DateClosed]]="",ABS(NETWORKDAYS(Proc[[#This Row],[DateOpened]],TODAY()))-1,ABS(NETWORKDAYS(Proc[[#This Row],[DateOpened]],Proc[[#This Row],[DateClosed]]))-1)</f>
        <v>0</v>
      </c>
      <c r="R3795" s="136" t="s">
        <v>452</v>
      </c>
      <c r="S3795" s="129"/>
    </row>
    <row r="3796" spans="1:19">
      <c r="A3796" s="135" t="s">
        <v>5922</v>
      </c>
      <c r="B3796" s="129" t="str">
        <f>IFERROR(VLOOKUP(Proc[[#This Row],[App]],Table2[],3,0),"open")</f>
        <v>open</v>
      </c>
      <c r="C3796" s="135" t="s">
        <v>375</v>
      </c>
      <c r="D3796" s="135" t="s">
        <v>5929</v>
      </c>
      <c r="E3796" t="s">
        <v>5923</v>
      </c>
      <c r="F3796" s="129" t="s">
        <v>6016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0</v>
      </c>
      <c r="K3796" s="129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on track</v>
      </c>
      <c r="Q3796" s="3">
        <f ca="1">IF(Proc[[#This Row],[DateClosed]]="",ABS(NETWORKDAYS(Proc[[#This Row],[DateOpened]],TODAY()))-1,ABS(NETWORKDAYS(Proc[[#This Row],[DateOpened]],Proc[[#This Row],[DateClosed]]))-1)</f>
        <v>0</v>
      </c>
      <c r="R3796" s="136" t="s">
        <v>452</v>
      </c>
      <c r="S3796" s="129"/>
    </row>
    <row r="3797" spans="1:19">
      <c r="A3797" s="135" t="s">
        <v>5922</v>
      </c>
      <c r="B3797" s="129" t="str">
        <f>IFERROR(VLOOKUP(Proc[[#This Row],[App]],Table2[],3,0),"open")</f>
        <v>open</v>
      </c>
      <c r="C3797" s="135" t="s">
        <v>375</v>
      </c>
      <c r="D3797" s="135" t="s">
        <v>5930</v>
      </c>
      <c r="E3797" t="s">
        <v>5923</v>
      </c>
      <c r="F3797" s="129" t="s">
        <v>6017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0</v>
      </c>
      <c r="K3797" s="129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on track</v>
      </c>
      <c r="Q3797" s="3">
        <f ca="1">IF(Proc[[#This Row],[DateClosed]]="",ABS(NETWORKDAYS(Proc[[#This Row],[DateOpened]],TODAY()))-1,ABS(NETWORKDAYS(Proc[[#This Row],[DateOpened]],Proc[[#This Row],[DateClosed]]))-1)</f>
        <v>0</v>
      </c>
      <c r="R3797" s="136" t="s">
        <v>452</v>
      </c>
      <c r="S3797" s="129"/>
    </row>
    <row r="3798" spans="1:19">
      <c r="A3798" s="135" t="s">
        <v>5922</v>
      </c>
      <c r="B3798" s="129" t="str">
        <f>IFERROR(VLOOKUP(Proc[[#This Row],[App]],Table2[],3,0),"open")</f>
        <v>open</v>
      </c>
      <c r="C3798" s="135" t="s">
        <v>375</v>
      </c>
      <c r="D3798" s="135" t="s">
        <v>5931</v>
      </c>
      <c r="E3798" t="s">
        <v>5923</v>
      </c>
      <c r="F3798" s="129" t="s">
        <v>6017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0</v>
      </c>
      <c r="K3798" s="129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on track</v>
      </c>
      <c r="Q3798" s="3">
        <f ca="1">IF(Proc[[#This Row],[DateClosed]]="",ABS(NETWORKDAYS(Proc[[#This Row],[DateOpened]],TODAY()))-1,ABS(NETWORKDAYS(Proc[[#This Row],[DateOpened]],Proc[[#This Row],[DateClosed]]))-1)</f>
        <v>0</v>
      </c>
      <c r="R3798" s="136" t="s">
        <v>452</v>
      </c>
      <c r="S3798" s="129"/>
    </row>
    <row r="3799" spans="1:19">
      <c r="A3799" t="s">
        <v>5924</v>
      </c>
      <c r="B3799" s="129" t="str">
        <f>IFERROR(VLOOKUP(Proc[[#This Row],[App]],Table2[],3,0),"open")</f>
        <v>open</v>
      </c>
      <c r="C3799" s="135" t="s">
        <v>370</v>
      </c>
      <c r="D3799" t="s">
        <v>5932</v>
      </c>
      <c r="E3799" t="s">
        <v>3402</v>
      </c>
      <c r="F3799" s="129" t="s">
        <v>6018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0</v>
      </c>
      <c r="K3799" s="129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on track</v>
      </c>
      <c r="Q3799" s="3">
        <f ca="1">IF(Proc[[#This Row],[DateClosed]]="",ABS(NETWORKDAYS(Proc[[#This Row],[DateOpened]],TODAY()))-1,ABS(NETWORKDAYS(Proc[[#This Row],[DateOpened]],Proc[[#This Row],[DateClosed]]))-1)</f>
        <v>0</v>
      </c>
      <c r="R3799" s="136" t="s">
        <v>1013</v>
      </c>
      <c r="S3799" s="129"/>
    </row>
    <row r="3800" spans="1:19">
      <c r="A3800" s="135" t="s">
        <v>5924</v>
      </c>
      <c r="B3800" s="129" t="str">
        <f>IFERROR(VLOOKUP(Proc[[#This Row],[App]],Table2[],3,0),"open")</f>
        <v>open</v>
      </c>
      <c r="C3800" s="135" t="s">
        <v>370</v>
      </c>
      <c r="D3800" t="s">
        <v>5933</v>
      </c>
      <c r="E3800" s="135" t="s">
        <v>3402</v>
      </c>
      <c r="F3800" s="129" t="s">
        <v>6019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0</v>
      </c>
      <c r="K3800" s="129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on track</v>
      </c>
      <c r="Q3800" s="3">
        <f ca="1">IF(Proc[[#This Row],[DateClosed]]="",ABS(NETWORKDAYS(Proc[[#This Row],[DateOpened]],TODAY()))-1,ABS(NETWORKDAYS(Proc[[#This Row],[DateOpened]],Proc[[#This Row],[DateClosed]]))-1)</f>
        <v>0</v>
      </c>
      <c r="R3800" s="136" t="s">
        <v>1013</v>
      </c>
      <c r="S3800" s="129"/>
    </row>
    <row r="3801" spans="1:19">
      <c r="A3801" s="135" t="s">
        <v>5924</v>
      </c>
      <c r="B3801" s="129" t="str">
        <f>IFERROR(VLOOKUP(Proc[[#This Row],[App]],Table2[],3,0),"open")</f>
        <v>open</v>
      </c>
      <c r="C3801" s="135" t="s">
        <v>370</v>
      </c>
      <c r="D3801" t="s">
        <v>5934</v>
      </c>
      <c r="E3801" s="135" t="s">
        <v>3402</v>
      </c>
      <c r="F3801" s="129" t="s">
        <v>6020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0</v>
      </c>
      <c r="K3801" s="129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on track</v>
      </c>
      <c r="Q3801" s="3">
        <f ca="1">IF(Proc[[#This Row],[DateClosed]]="",ABS(NETWORKDAYS(Proc[[#This Row],[DateOpened]],TODAY()))-1,ABS(NETWORKDAYS(Proc[[#This Row],[DateOpened]],Proc[[#This Row],[DateClosed]]))-1)</f>
        <v>0</v>
      </c>
      <c r="R3801" s="136" t="s">
        <v>1013</v>
      </c>
      <c r="S3801" s="129"/>
    </row>
    <row r="3802" spans="1:19">
      <c r="A3802" s="135" t="s">
        <v>5924</v>
      </c>
      <c r="B3802" s="129" t="str">
        <f>IFERROR(VLOOKUP(Proc[[#This Row],[App]],Table2[],3,0),"open")</f>
        <v>open</v>
      </c>
      <c r="C3802" s="135" t="s">
        <v>370</v>
      </c>
      <c r="D3802" t="s">
        <v>5935</v>
      </c>
      <c r="E3802" s="135" t="s">
        <v>3402</v>
      </c>
      <c r="F3802" s="129" t="s">
        <v>6021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0</v>
      </c>
      <c r="K3802" s="129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on track</v>
      </c>
      <c r="Q3802" s="3">
        <f ca="1">IF(Proc[[#This Row],[DateClosed]]="",ABS(NETWORKDAYS(Proc[[#This Row],[DateOpened]],TODAY()))-1,ABS(NETWORKDAYS(Proc[[#This Row],[DateOpened]],Proc[[#This Row],[DateClosed]]))-1)</f>
        <v>0</v>
      </c>
      <c r="R3802" s="136" t="s">
        <v>1013</v>
      </c>
      <c r="S3802" s="129"/>
    </row>
    <row r="3803" spans="1:19">
      <c r="A3803" s="135" t="s">
        <v>5924</v>
      </c>
      <c r="B3803" s="129" t="str">
        <f>IFERROR(VLOOKUP(Proc[[#This Row],[App]],Table2[],3,0),"open")</f>
        <v>open</v>
      </c>
      <c r="C3803" s="135" t="s">
        <v>370</v>
      </c>
      <c r="D3803" t="s">
        <v>5936</v>
      </c>
      <c r="E3803" s="135" t="s">
        <v>3402</v>
      </c>
      <c r="F3803" s="129" t="s">
        <v>6022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0</v>
      </c>
      <c r="K3803" s="129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on track</v>
      </c>
      <c r="Q3803" s="3">
        <f ca="1">IF(Proc[[#This Row],[DateClosed]]="",ABS(NETWORKDAYS(Proc[[#This Row],[DateOpened]],TODAY()))-1,ABS(NETWORKDAYS(Proc[[#This Row],[DateOpened]],Proc[[#This Row],[DateClosed]]))-1)</f>
        <v>0</v>
      </c>
      <c r="R3803" s="136" t="s">
        <v>1013</v>
      </c>
      <c r="S3803" s="129"/>
    </row>
    <row r="3804" spans="1:19">
      <c r="A3804" s="135" t="s">
        <v>5924</v>
      </c>
      <c r="B3804" s="129" t="str">
        <f>IFERROR(VLOOKUP(Proc[[#This Row],[App]],Table2[],3,0),"open")</f>
        <v>open</v>
      </c>
      <c r="C3804" s="135" t="s">
        <v>370</v>
      </c>
      <c r="D3804" t="s">
        <v>5937</v>
      </c>
      <c r="E3804" s="135" t="s">
        <v>3402</v>
      </c>
      <c r="F3804" s="129" t="s">
        <v>6023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0</v>
      </c>
      <c r="K3804" s="129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on track</v>
      </c>
      <c r="Q3804" s="3">
        <f ca="1">IF(Proc[[#This Row],[DateClosed]]="",ABS(NETWORKDAYS(Proc[[#This Row],[DateOpened]],TODAY()))-1,ABS(NETWORKDAYS(Proc[[#This Row],[DateOpened]],Proc[[#This Row],[DateClosed]]))-1)</f>
        <v>0</v>
      </c>
      <c r="R3804" s="136" t="s">
        <v>1013</v>
      </c>
      <c r="S3804" s="129"/>
    </row>
    <row r="3805" spans="1:19">
      <c r="A3805" s="135" t="s">
        <v>5924</v>
      </c>
      <c r="B3805" s="129" t="str">
        <f>IFERROR(VLOOKUP(Proc[[#This Row],[App]],Table2[],3,0),"open")</f>
        <v>open</v>
      </c>
      <c r="C3805" s="135" t="s">
        <v>370</v>
      </c>
      <c r="D3805" t="s">
        <v>5938</v>
      </c>
      <c r="E3805" s="135" t="s">
        <v>3402</v>
      </c>
      <c r="F3805" s="129" t="s">
        <v>6024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0</v>
      </c>
      <c r="K3805" s="129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on track</v>
      </c>
      <c r="Q3805" s="3">
        <f ca="1">IF(Proc[[#This Row],[DateClosed]]="",ABS(NETWORKDAYS(Proc[[#This Row],[DateOpened]],TODAY()))-1,ABS(NETWORKDAYS(Proc[[#This Row],[DateOpened]],Proc[[#This Row],[DateClosed]]))-1)</f>
        <v>0</v>
      </c>
      <c r="R3805" s="136" t="s">
        <v>1013</v>
      </c>
      <c r="S3805" s="129"/>
    </row>
    <row r="3806" spans="1:19">
      <c r="A3806" s="135" t="s">
        <v>5924</v>
      </c>
      <c r="B3806" s="129" t="str">
        <f>IFERROR(VLOOKUP(Proc[[#This Row],[App]],Table2[],3,0),"open")</f>
        <v>open</v>
      </c>
      <c r="C3806" s="135" t="s">
        <v>370</v>
      </c>
      <c r="D3806" t="s">
        <v>5939</v>
      </c>
      <c r="E3806" s="135" t="s">
        <v>3402</v>
      </c>
      <c r="F3806" s="129" t="s">
        <v>6025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0</v>
      </c>
      <c r="K3806" s="129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on track</v>
      </c>
      <c r="Q3806" s="3">
        <f ca="1">IF(Proc[[#This Row],[DateClosed]]="",ABS(NETWORKDAYS(Proc[[#This Row],[DateOpened]],TODAY()))-1,ABS(NETWORKDAYS(Proc[[#This Row],[DateOpened]],Proc[[#This Row],[DateClosed]]))-1)</f>
        <v>0</v>
      </c>
      <c r="R3806" s="136" t="s">
        <v>1013</v>
      </c>
      <c r="S3806" s="129"/>
    </row>
    <row r="3807" spans="1:19">
      <c r="A3807" s="135" t="s">
        <v>5924</v>
      </c>
      <c r="B3807" s="129" t="str">
        <f>IFERROR(VLOOKUP(Proc[[#This Row],[App]],Table2[],3,0),"open")</f>
        <v>open</v>
      </c>
      <c r="C3807" s="135" t="s">
        <v>370</v>
      </c>
      <c r="D3807" t="s">
        <v>5940</v>
      </c>
      <c r="E3807" s="135" t="s">
        <v>3402</v>
      </c>
      <c r="F3807" s="129" t="s">
        <v>6026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0</v>
      </c>
      <c r="K3807" s="129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on track</v>
      </c>
      <c r="Q3807" s="3">
        <f ca="1">IF(Proc[[#This Row],[DateClosed]]="",ABS(NETWORKDAYS(Proc[[#This Row],[DateOpened]],TODAY()))-1,ABS(NETWORKDAYS(Proc[[#This Row],[DateOpened]],Proc[[#This Row],[DateClosed]]))-1)</f>
        <v>0</v>
      </c>
      <c r="R3807" s="136" t="s">
        <v>1013</v>
      </c>
      <c r="S3807" s="129"/>
    </row>
    <row r="3808" spans="1:19">
      <c r="A3808" s="135" t="s">
        <v>5924</v>
      </c>
      <c r="B3808" s="129" t="str">
        <f>IFERROR(VLOOKUP(Proc[[#This Row],[App]],Table2[],3,0),"open")</f>
        <v>open</v>
      </c>
      <c r="C3808" s="135" t="s">
        <v>370</v>
      </c>
      <c r="D3808" t="s">
        <v>5941</v>
      </c>
      <c r="E3808" s="135" t="s">
        <v>3402</v>
      </c>
      <c r="F3808" s="129" t="s">
        <v>6027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0</v>
      </c>
      <c r="K3808" s="129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on track</v>
      </c>
      <c r="Q3808" s="3">
        <f ca="1">IF(Proc[[#This Row],[DateClosed]]="",ABS(NETWORKDAYS(Proc[[#This Row],[DateOpened]],TODAY()))-1,ABS(NETWORKDAYS(Proc[[#This Row],[DateOpened]],Proc[[#This Row],[DateClosed]]))-1)</f>
        <v>0</v>
      </c>
      <c r="R3808" s="136" t="s">
        <v>1013</v>
      </c>
      <c r="S3808" s="129"/>
    </row>
    <row r="3809" spans="1:19">
      <c r="A3809" s="135" t="s">
        <v>5924</v>
      </c>
      <c r="B3809" s="129" t="str">
        <f>IFERROR(VLOOKUP(Proc[[#This Row],[App]],Table2[],3,0),"open")</f>
        <v>open</v>
      </c>
      <c r="C3809" s="135" t="s">
        <v>370</v>
      </c>
      <c r="D3809" t="s">
        <v>5942</v>
      </c>
      <c r="E3809" s="135" t="s">
        <v>3402</v>
      </c>
      <c r="F3809" s="129" t="s">
        <v>6028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0</v>
      </c>
      <c r="K3809" s="129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on track</v>
      </c>
      <c r="Q3809" s="3">
        <f ca="1">IF(Proc[[#This Row],[DateClosed]]="",ABS(NETWORKDAYS(Proc[[#This Row],[DateOpened]],TODAY()))-1,ABS(NETWORKDAYS(Proc[[#This Row],[DateOpened]],Proc[[#This Row],[DateClosed]]))-1)</f>
        <v>0</v>
      </c>
      <c r="R3809" s="136" t="s">
        <v>1013</v>
      </c>
      <c r="S3809" s="129"/>
    </row>
    <row r="3810" spans="1:19">
      <c r="A3810" s="135" t="s">
        <v>5924</v>
      </c>
      <c r="B3810" s="129" t="str">
        <f>IFERROR(VLOOKUP(Proc[[#This Row],[App]],Table2[],3,0),"open")</f>
        <v>open</v>
      </c>
      <c r="C3810" s="135" t="s">
        <v>370</v>
      </c>
      <c r="D3810" t="s">
        <v>5943</v>
      </c>
      <c r="E3810" s="135" t="s">
        <v>3402</v>
      </c>
      <c r="F3810" s="129" t="s">
        <v>6029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0</v>
      </c>
      <c r="K3810" s="129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on track</v>
      </c>
      <c r="Q3810" s="3">
        <f ca="1">IF(Proc[[#This Row],[DateClosed]]="",ABS(NETWORKDAYS(Proc[[#This Row],[DateOpened]],TODAY()))-1,ABS(NETWORKDAYS(Proc[[#This Row],[DateOpened]],Proc[[#This Row],[DateClosed]]))-1)</f>
        <v>0</v>
      </c>
      <c r="R3810" s="136" t="s">
        <v>1013</v>
      </c>
      <c r="S3810" s="129"/>
    </row>
    <row r="3811" spans="1:19">
      <c r="A3811" s="135" t="s">
        <v>5924</v>
      </c>
      <c r="B3811" s="129" t="str">
        <f>IFERROR(VLOOKUP(Proc[[#This Row],[App]],Table2[],3,0),"open")</f>
        <v>open</v>
      </c>
      <c r="C3811" s="135" t="s">
        <v>370</v>
      </c>
      <c r="D3811" t="s">
        <v>5944</v>
      </c>
      <c r="E3811" s="135" t="s">
        <v>3402</v>
      </c>
      <c r="F3811" s="129" t="s">
        <v>6030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0</v>
      </c>
      <c r="K3811" s="129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on track</v>
      </c>
      <c r="Q3811" s="3">
        <f ca="1">IF(Proc[[#This Row],[DateClosed]]="",ABS(NETWORKDAYS(Proc[[#This Row],[DateOpened]],TODAY()))-1,ABS(NETWORKDAYS(Proc[[#This Row],[DateOpened]],Proc[[#This Row],[DateClosed]]))-1)</f>
        <v>0</v>
      </c>
      <c r="R3811" s="136" t="s">
        <v>1013</v>
      </c>
      <c r="S3811" s="129"/>
    </row>
    <row r="3812" spans="1:19">
      <c r="A3812" s="135" t="s">
        <v>5924</v>
      </c>
      <c r="B3812" s="129" t="str">
        <f>IFERROR(VLOOKUP(Proc[[#This Row],[App]],Table2[],3,0),"open")</f>
        <v>open</v>
      </c>
      <c r="C3812" s="135" t="s">
        <v>370</v>
      </c>
      <c r="D3812" t="s">
        <v>5945</v>
      </c>
      <c r="E3812" s="135" t="s">
        <v>3402</v>
      </c>
      <c r="F3812" s="129" t="s">
        <v>6031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0</v>
      </c>
      <c r="K3812" s="129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on track</v>
      </c>
      <c r="Q3812" s="3">
        <f ca="1">IF(Proc[[#This Row],[DateClosed]]="",ABS(NETWORKDAYS(Proc[[#This Row],[DateOpened]],TODAY()))-1,ABS(NETWORKDAYS(Proc[[#This Row],[DateOpened]],Proc[[#This Row],[DateClosed]]))-1)</f>
        <v>0</v>
      </c>
      <c r="R3812" s="136" t="s">
        <v>1013</v>
      </c>
      <c r="S3812" s="129"/>
    </row>
    <row r="3813" spans="1:19">
      <c r="A3813" s="135" t="s">
        <v>5924</v>
      </c>
      <c r="B3813" s="129" t="str">
        <f>IFERROR(VLOOKUP(Proc[[#This Row],[App]],Table2[],3,0),"open")</f>
        <v>open</v>
      </c>
      <c r="C3813" s="135" t="s">
        <v>370</v>
      </c>
      <c r="D3813" t="s">
        <v>5946</v>
      </c>
      <c r="E3813" s="135" t="s">
        <v>3402</v>
      </c>
      <c r="F3813" s="129" t="s">
        <v>6032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0</v>
      </c>
      <c r="K3813" s="129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on track</v>
      </c>
      <c r="Q3813" s="3">
        <f ca="1">IF(Proc[[#This Row],[DateClosed]]="",ABS(NETWORKDAYS(Proc[[#This Row],[DateOpened]],TODAY()))-1,ABS(NETWORKDAYS(Proc[[#This Row],[DateOpened]],Proc[[#This Row],[DateClosed]]))-1)</f>
        <v>0</v>
      </c>
      <c r="R3813" s="136" t="s">
        <v>1013</v>
      </c>
      <c r="S3813" s="129"/>
    </row>
    <row r="3814" spans="1:19">
      <c r="A3814" s="135" t="s">
        <v>5924</v>
      </c>
      <c r="B3814" s="129" t="str">
        <f>IFERROR(VLOOKUP(Proc[[#This Row],[App]],Table2[],3,0),"open")</f>
        <v>open</v>
      </c>
      <c r="C3814" s="135" t="s">
        <v>370</v>
      </c>
      <c r="D3814" t="s">
        <v>5947</v>
      </c>
      <c r="E3814" s="135" t="s">
        <v>3402</v>
      </c>
      <c r="F3814" s="129" t="s">
        <v>6033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0</v>
      </c>
      <c r="K3814" s="129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on track</v>
      </c>
      <c r="Q3814" s="3">
        <f ca="1">IF(Proc[[#This Row],[DateClosed]]="",ABS(NETWORKDAYS(Proc[[#This Row],[DateOpened]],TODAY()))-1,ABS(NETWORKDAYS(Proc[[#This Row],[DateOpened]],Proc[[#This Row],[DateClosed]]))-1)</f>
        <v>0</v>
      </c>
      <c r="R3814" s="136" t="s">
        <v>1013</v>
      </c>
      <c r="S3814" s="129"/>
    </row>
    <row r="3815" spans="1:19">
      <c r="A3815" s="135" t="s">
        <v>5924</v>
      </c>
      <c r="B3815" s="129" t="str">
        <f>IFERROR(VLOOKUP(Proc[[#This Row],[App]],Table2[],3,0),"open")</f>
        <v>open</v>
      </c>
      <c r="C3815" s="135" t="s">
        <v>370</v>
      </c>
      <c r="D3815" t="s">
        <v>5948</v>
      </c>
      <c r="E3815" s="135" t="s">
        <v>3402</v>
      </c>
      <c r="F3815" s="129" t="s">
        <v>6034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0</v>
      </c>
      <c r="K3815" s="129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on track</v>
      </c>
      <c r="Q3815" s="3">
        <f ca="1">IF(Proc[[#This Row],[DateClosed]]="",ABS(NETWORKDAYS(Proc[[#This Row],[DateOpened]],TODAY()))-1,ABS(NETWORKDAYS(Proc[[#This Row],[DateOpened]],Proc[[#This Row],[DateClosed]]))-1)</f>
        <v>0</v>
      </c>
      <c r="R3815" s="136" t="s">
        <v>1013</v>
      </c>
      <c r="S3815" s="129"/>
    </row>
    <row r="3816" spans="1:19">
      <c r="A3816" s="135" t="s">
        <v>5924</v>
      </c>
      <c r="B3816" s="129" t="str">
        <f>IFERROR(VLOOKUP(Proc[[#This Row],[App]],Table2[],3,0),"open")</f>
        <v>open</v>
      </c>
      <c r="C3816" s="135" t="s">
        <v>375</v>
      </c>
      <c r="D3816" t="s">
        <v>5925</v>
      </c>
      <c r="E3816" s="135" t="s">
        <v>3402</v>
      </c>
      <c r="F3816" s="129" t="s">
        <v>6035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0</v>
      </c>
      <c r="K3816" s="129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on track</v>
      </c>
      <c r="Q3816" s="3">
        <f ca="1">IF(Proc[[#This Row],[DateClosed]]="",ABS(NETWORKDAYS(Proc[[#This Row],[DateOpened]],TODAY()))-1,ABS(NETWORKDAYS(Proc[[#This Row],[DateOpened]],Proc[[#This Row],[DateClosed]]))-1)</f>
        <v>0</v>
      </c>
      <c r="R3816" s="136" t="s">
        <v>1013</v>
      </c>
      <c r="S3816" s="129"/>
    </row>
    <row r="3817" spans="1:19">
      <c r="A3817" s="135" t="s">
        <v>5924</v>
      </c>
      <c r="B3817" s="129" t="str">
        <f>IFERROR(VLOOKUP(Proc[[#This Row],[App]],Table2[],3,0),"open")</f>
        <v>open</v>
      </c>
      <c r="C3817" s="135" t="s">
        <v>375</v>
      </c>
      <c r="D3817" t="s">
        <v>5926</v>
      </c>
      <c r="E3817" s="135" t="s">
        <v>3402</v>
      </c>
      <c r="F3817" s="129" t="s">
        <v>6035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0</v>
      </c>
      <c r="K3817" s="129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on track</v>
      </c>
      <c r="Q3817" s="3">
        <f ca="1">IF(Proc[[#This Row],[DateClosed]]="",ABS(NETWORKDAYS(Proc[[#This Row],[DateOpened]],TODAY()))-1,ABS(NETWORKDAYS(Proc[[#This Row],[DateOpened]],Proc[[#This Row],[DateClosed]]))-1)</f>
        <v>0</v>
      </c>
      <c r="R3817" s="136" t="s">
        <v>1013</v>
      </c>
      <c r="S3817" s="129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G2:G3817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8AD13-1B58-41AC-8A9F-9866288C4500}">
  <dimension ref="A1:B188"/>
  <sheetViews>
    <sheetView workbookViewId="0">
      <selection activeCell="B1" sqref="B1"/>
    </sheetView>
  </sheetViews>
  <sheetFormatPr defaultRowHeight="15"/>
  <cols>
    <col min="2" max="2" width="27.28515625" bestFit="1" customWidth="1"/>
  </cols>
  <sheetData>
    <row r="1" spans="1:2">
      <c r="A1" t="s">
        <v>5709</v>
      </c>
      <c r="B1" t="s">
        <v>5710</v>
      </c>
    </row>
    <row r="2" spans="1:2">
      <c r="A2" t="s">
        <v>5578</v>
      </c>
      <c r="B2" t="s">
        <v>3523</v>
      </c>
    </row>
    <row r="3" spans="1:2">
      <c r="A3" t="s">
        <v>5739</v>
      </c>
      <c r="B3" t="s">
        <v>3515</v>
      </c>
    </row>
    <row r="4" spans="1:2">
      <c r="A4" t="s">
        <v>5745</v>
      </c>
      <c r="B4" t="s">
        <v>5272</v>
      </c>
    </row>
    <row r="5" spans="1:2">
      <c r="A5" t="s">
        <v>5746</v>
      </c>
      <c r="B5" t="s">
        <v>5272</v>
      </c>
    </row>
    <row r="6" spans="1:2">
      <c r="A6" t="s">
        <v>5747</v>
      </c>
      <c r="B6" t="s">
        <v>5272</v>
      </c>
    </row>
    <row r="7" spans="1:2">
      <c r="A7" t="s">
        <v>5748</v>
      </c>
      <c r="B7" t="s">
        <v>5272</v>
      </c>
    </row>
    <row r="8" spans="1:2">
      <c r="A8" t="s">
        <v>5749</v>
      </c>
      <c r="B8" t="s">
        <v>5272</v>
      </c>
    </row>
    <row r="9" spans="1:2">
      <c r="A9" t="s">
        <v>5750</v>
      </c>
      <c r="B9" t="s">
        <v>5272</v>
      </c>
    </row>
    <row r="10" spans="1:2">
      <c r="A10" t="s">
        <v>5751</v>
      </c>
      <c r="B10" t="s">
        <v>5272</v>
      </c>
    </row>
    <row r="11" spans="1:2">
      <c r="A11" t="s">
        <v>5752</v>
      </c>
      <c r="B11" t="s">
        <v>5272</v>
      </c>
    </row>
    <row r="12" spans="1:2">
      <c r="A12" t="s">
        <v>5753</v>
      </c>
      <c r="B12" t="s">
        <v>5272</v>
      </c>
    </row>
    <row r="13" spans="1:2">
      <c r="A13" t="s">
        <v>5754</v>
      </c>
      <c r="B13" t="s">
        <v>5272</v>
      </c>
    </row>
    <row r="14" spans="1:2">
      <c r="A14" t="s">
        <v>5755</v>
      </c>
      <c r="B14" t="s">
        <v>5272</v>
      </c>
    </row>
    <row r="15" spans="1:2">
      <c r="A15" t="s">
        <v>5756</v>
      </c>
      <c r="B15" t="s">
        <v>5272</v>
      </c>
    </row>
    <row r="16" spans="1:2">
      <c r="A16" t="s">
        <v>5757</v>
      </c>
      <c r="B16" t="s">
        <v>5272</v>
      </c>
    </row>
    <row r="17" spans="1:2">
      <c r="A17" t="s">
        <v>5758</v>
      </c>
      <c r="B17" t="s">
        <v>5272</v>
      </c>
    </row>
    <row r="18" spans="1:2">
      <c r="A18" t="s">
        <v>5759</v>
      </c>
      <c r="B18" t="s">
        <v>5272</v>
      </c>
    </row>
    <row r="19" spans="1:2">
      <c r="A19" t="s">
        <v>5760</v>
      </c>
      <c r="B19" t="s">
        <v>5272</v>
      </c>
    </row>
    <row r="20" spans="1:2">
      <c r="A20" t="s">
        <v>5761</v>
      </c>
      <c r="B20" t="s">
        <v>5272</v>
      </c>
    </row>
    <row r="21" spans="1:2">
      <c r="A21" t="s">
        <v>5762</v>
      </c>
      <c r="B21" t="s">
        <v>5272</v>
      </c>
    </row>
    <row r="22" spans="1:2">
      <c r="A22" t="s">
        <v>5764</v>
      </c>
      <c r="B22" t="s">
        <v>5949</v>
      </c>
    </row>
    <row r="23" spans="1:2">
      <c r="A23" t="s">
        <v>5765</v>
      </c>
      <c r="B23" t="s">
        <v>5949</v>
      </c>
    </row>
    <row r="24" spans="1:2">
      <c r="A24" t="s">
        <v>5766</v>
      </c>
      <c r="B24" t="s">
        <v>5949</v>
      </c>
    </row>
    <row r="25" spans="1:2">
      <c r="A25" t="s">
        <v>5767</v>
      </c>
      <c r="B25" t="s">
        <v>5949</v>
      </c>
    </row>
    <row r="26" spans="1:2">
      <c r="A26" t="s">
        <v>5768</v>
      </c>
      <c r="B26" t="s">
        <v>5949</v>
      </c>
    </row>
    <row r="27" spans="1:2">
      <c r="A27" t="s">
        <v>5769</v>
      </c>
      <c r="B27" t="s">
        <v>5949</v>
      </c>
    </row>
    <row r="28" spans="1:2">
      <c r="A28" t="s">
        <v>5770</v>
      </c>
      <c r="B28" t="s">
        <v>5949</v>
      </c>
    </row>
    <row r="29" spans="1:2">
      <c r="A29" t="s">
        <v>5771</v>
      </c>
      <c r="B29" t="s">
        <v>5775</v>
      </c>
    </row>
    <row r="30" spans="1:2">
      <c r="A30" t="s">
        <v>5772</v>
      </c>
      <c r="B30" t="s">
        <v>5775</v>
      </c>
    </row>
    <row r="31" spans="1:2">
      <c r="A31" t="s">
        <v>5773</v>
      </c>
      <c r="B31" t="s">
        <v>5775</v>
      </c>
    </row>
    <row r="32" spans="1:2">
      <c r="A32" t="s">
        <v>5779</v>
      </c>
      <c r="B32" t="s">
        <v>5950</v>
      </c>
    </row>
    <row r="33" spans="1:2">
      <c r="A33" t="s">
        <v>5780</v>
      </c>
      <c r="B33" t="s">
        <v>1716</v>
      </c>
    </row>
    <row r="34" spans="1:2">
      <c r="A34" t="s">
        <v>5781</v>
      </c>
      <c r="B34" t="s">
        <v>5951</v>
      </c>
    </row>
    <row r="35" spans="1:2">
      <c r="A35" t="s">
        <v>5782</v>
      </c>
      <c r="B35" t="s">
        <v>5951</v>
      </c>
    </row>
    <row r="36" spans="1:2">
      <c r="A36" t="s">
        <v>5783</v>
      </c>
      <c r="B36" t="s">
        <v>5952</v>
      </c>
    </row>
    <row r="37" spans="1:2">
      <c r="A37" t="s">
        <v>5784</v>
      </c>
      <c r="B37" t="s">
        <v>5953</v>
      </c>
    </row>
    <row r="38" spans="1:2">
      <c r="A38" t="s">
        <v>5785</v>
      </c>
      <c r="B38" t="s">
        <v>5953</v>
      </c>
    </row>
    <row r="39" spans="1:2">
      <c r="A39" t="s">
        <v>5786</v>
      </c>
      <c r="B39" t="s">
        <v>5953</v>
      </c>
    </row>
    <row r="40" spans="1:2">
      <c r="A40" t="s">
        <v>5787</v>
      </c>
      <c r="B40" t="s">
        <v>5953</v>
      </c>
    </row>
    <row r="41" spans="1:2">
      <c r="A41" t="s">
        <v>5788</v>
      </c>
      <c r="B41" t="s">
        <v>5954</v>
      </c>
    </row>
    <row r="42" spans="1:2">
      <c r="A42" t="s">
        <v>5789</v>
      </c>
      <c r="B42" t="s">
        <v>4932</v>
      </c>
    </row>
    <row r="43" spans="1:2">
      <c r="A43" t="s">
        <v>5790</v>
      </c>
      <c r="B43" t="s">
        <v>4932</v>
      </c>
    </row>
    <row r="44" spans="1:2">
      <c r="A44" t="s">
        <v>3091</v>
      </c>
      <c r="B44" t="s">
        <v>2411</v>
      </c>
    </row>
    <row r="45" spans="1:2">
      <c r="A45" t="s">
        <v>5791</v>
      </c>
      <c r="B45" t="s">
        <v>5955</v>
      </c>
    </row>
    <row r="46" spans="1:2">
      <c r="A46" t="s">
        <v>5792</v>
      </c>
      <c r="B46" t="s">
        <v>5956</v>
      </c>
    </row>
    <row r="47" spans="1:2">
      <c r="A47" t="s">
        <v>5793</v>
      </c>
      <c r="B47" t="s">
        <v>5956</v>
      </c>
    </row>
    <row r="48" spans="1:2">
      <c r="A48" t="s">
        <v>5794</v>
      </c>
      <c r="B48" t="s">
        <v>5956</v>
      </c>
    </row>
    <row r="49" spans="1:2">
      <c r="A49" t="s">
        <v>5795</v>
      </c>
      <c r="B49" t="s">
        <v>5956</v>
      </c>
    </row>
    <row r="50" spans="1:2">
      <c r="A50" t="s">
        <v>5796</v>
      </c>
      <c r="B50" t="s">
        <v>5956</v>
      </c>
    </row>
    <row r="51" spans="1:2">
      <c r="A51" t="s">
        <v>3481</v>
      </c>
      <c r="B51" t="s">
        <v>3531</v>
      </c>
    </row>
    <row r="52" spans="1:2">
      <c r="A52" t="s">
        <v>3490</v>
      </c>
      <c r="B52" t="s">
        <v>3531</v>
      </c>
    </row>
    <row r="53" spans="1:2">
      <c r="A53" t="s">
        <v>5797</v>
      </c>
      <c r="B53" t="s">
        <v>3531</v>
      </c>
    </row>
    <row r="54" spans="1:2">
      <c r="A54" t="s">
        <v>5798</v>
      </c>
      <c r="B54" t="s">
        <v>3531</v>
      </c>
    </row>
    <row r="55" spans="1:2">
      <c r="A55" t="s">
        <v>5799</v>
      </c>
      <c r="B55" t="s">
        <v>3531</v>
      </c>
    </row>
    <row r="56" spans="1:2">
      <c r="A56" t="s">
        <v>5800</v>
      </c>
      <c r="B56" t="s">
        <v>3531</v>
      </c>
    </row>
    <row r="57" spans="1:2">
      <c r="A57" t="s">
        <v>5801</v>
      </c>
      <c r="B57" t="s">
        <v>5957</v>
      </c>
    </row>
    <row r="58" spans="1:2">
      <c r="A58" t="s">
        <v>5802</v>
      </c>
      <c r="B58" t="s">
        <v>5958</v>
      </c>
    </row>
    <row r="59" spans="1:2">
      <c r="A59" t="s">
        <v>5803</v>
      </c>
      <c r="B59" t="s">
        <v>1974</v>
      </c>
    </row>
    <row r="60" spans="1:2">
      <c r="A60" t="s">
        <v>5804</v>
      </c>
      <c r="B60" t="s">
        <v>5959</v>
      </c>
    </row>
    <row r="61" spans="1:2">
      <c r="A61" t="s">
        <v>2061</v>
      </c>
      <c r="B61" t="s">
        <v>2063</v>
      </c>
    </row>
    <row r="62" spans="1:2">
      <c r="A62" t="s">
        <v>3551</v>
      </c>
      <c r="B62" t="s">
        <v>3557</v>
      </c>
    </row>
    <row r="63" spans="1:2">
      <c r="A63" t="s">
        <v>5805</v>
      </c>
      <c r="B63" t="s">
        <v>2063</v>
      </c>
    </row>
    <row r="64" spans="1:2">
      <c r="A64" t="s">
        <v>2057</v>
      </c>
      <c r="B64" t="s">
        <v>2063</v>
      </c>
    </row>
    <row r="65" spans="1:2">
      <c r="A65" t="s">
        <v>2060</v>
      </c>
      <c r="B65" t="s">
        <v>2063</v>
      </c>
    </row>
    <row r="66" spans="1:2">
      <c r="A66" t="s">
        <v>2058</v>
      </c>
      <c r="B66" t="s">
        <v>2063</v>
      </c>
    </row>
    <row r="67" spans="1:2">
      <c r="A67" t="s">
        <v>5820</v>
      </c>
      <c r="B67" t="s">
        <v>5960</v>
      </c>
    </row>
    <row r="68" spans="1:2">
      <c r="A68" t="s">
        <v>5821</v>
      </c>
      <c r="B68" t="s">
        <v>5960</v>
      </c>
    </row>
    <row r="69" spans="1:2">
      <c r="A69" t="s">
        <v>5822</v>
      </c>
      <c r="B69" t="s">
        <v>5960</v>
      </c>
    </row>
    <row r="70" spans="1:2">
      <c r="A70" t="s">
        <v>5823</v>
      </c>
      <c r="B70" t="s">
        <v>5961</v>
      </c>
    </row>
    <row r="71" spans="1:2">
      <c r="A71" t="s">
        <v>5824</v>
      </c>
      <c r="B71" t="s">
        <v>5961</v>
      </c>
    </row>
    <row r="72" spans="1:2">
      <c r="A72" t="s">
        <v>5825</v>
      </c>
      <c r="B72" t="s">
        <v>5961</v>
      </c>
    </row>
    <row r="73" spans="1:2">
      <c r="A73" t="s">
        <v>5826</v>
      </c>
      <c r="B73" t="s">
        <v>5961</v>
      </c>
    </row>
    <row r="74" spans="1:2">
      <c r="A74" t="s">
        <v>5827</v>
      </c>
      <c r="B74" t="s">
        <v>5961</v>
      </c>
    </row>
    <row r="75" spans="1:2">
      <c r="A75" t="s">
        <v>5828</v>
      </c>
      <c r="B75" t="s">
        <v>5961</v>
      </c>
    </row>
    <row r="76" spans="1:2">
      <c r="A76" t="s">
        <v>5829</v>
      </c>
      <c r="B76" t="s">
        <v>5961</v>
      </c>
    </row>
    <row r="77" spans="1:2">
      <c r="A77" t="s">
        <v>5830</v>
      </c>
      <c r="B77" t="s">
        <v>5961</v>
      </c>
    </row>
    <row r="78" spans="1:2">
      <c r="A78" t="s">
        <v>5831</v>
      </c>
      <c r="B78" t="s">
        <v>5961</v>
      </c>
    </row>
    <row r="79" spans="1:2">
      <c r="A79" t="s">
        <v>5832</v>
      </c>
      <c r="B79" t="s">
        <v>5961</v>
      </c>
    </row>
    <row r="80" spans="1:2">
      <c r="A80" t="s">
        <v>5833</v>
      </c>
      <c r="B80" t="s">
        <v>5961</v>
      </c>
    </row>
    <row r="81" spans="1:2">
      <c r="A81" t="s">
        <v>5834</v>
      </c>
      <c r="B81" t="s">
        <v>5961</v>
      </c>
    </row>
    <row r="82" spans="1:2">
      <c r="A82" t="s">
        <v>5835</v>
      </c>
      <c r="B82" t="s">
        <v>5961</v>
      </c>
    </row>
    <row r="83" spans="1:2">
      <c r="A83" t="s">
        <v>5836</v>
      </c>
      <c r="B83" t="s">
        <v>5961</v>
      </c>
    </row>
    <row r="84" spans="1:2">
      <c r="A84" t="s">
        <v>5828</v>
      </c>
      <c r="B84" t="s">
        <v>5961</v>
      </c>
    </row>
    <row r="85" spans="1:2">
      <c r="A85" t="s">
        <v>5837</v>
      </c>
      <c r="B85" t="s">
        <v>5962</v>
      </c>
    </row>
    <row r="86" spans="1:2">
      <c r="A86" t="s">
        <v>5838</v>
      </c>
      <c r="B86" t="s">
        <v>5963</v>
      </c>
    </row>
    <row r="87" spans="1:2">
      <c r="A87" t="s">
        <v>5839</v>
      </c>
      <c r="B87" t="s">
        <v>5961</v>
      </c>
    </row>
    <row r="88" spans="1:2">
      <c r="A88" t="s">
        <v>5840</v>
      </c>
      <c r="B88" t="s">
        <v>5961</v>
      </c>
    </row>
    <row r="89" spans="1:2">
      <c r="A89" t="s">
        <v>5841</v>
      </c>
      <c r="B89" t="s">
        <v>5961</v>
      </c>
    </row>
    <row r="90" spans="1:2">
      <c r="A90" t="s">
        <v>5842</v>
      </c>
      <c r="B90" t="s">
        <v>5961</v>
      </c>
    </row>
    <row r="91" spans="1:2">
      <c r="A91" t="s">
        <v>5832</v>
      </c>
      <c r="B91" t="s">
        <v>5961</v>
      </c>
    </row>
    <row r="92" spans="1:2">
      <c r="A92" t="s">
        <v>5843</v>
      </c>
      <c r="B92" t="s">
        <v>5961</v>
      </c>
    </row>
    <row r="93" spans="1:2">
      <c r="A93" t="s">
        <v>5844</v>
      </c>
      <c r="B93" t="s">
        <v>5961</v>
      </c>
    </row>
    <row r="94" spans="1:2">
      <c r="A94" t="s">
        <v>5834</v>
      </c>
      <c r="B94" t="s">
        <v>5961</v>
      </c>
    </row>
    <row r="95" spans="1:2">
      <c r="A95" t="s">
        <v>5845</v>
      </c>
      <c r="B95" t="s">
        <v>5961</v>
      </c>
    </row>
    <row r="96" spans="1:2">
      <c r="A96" t="s">
        <v>5824</v>
      </c>
      <c r="B96" t="s">
        <v>5961</v>
      </c>
    </row>
    <row r="97" spans="1:2">
      <c r="A97" t="s">
        <v>5846</v>
      </c>
      <c r="B97" t="s">
        <v>5858</v>
      </c>
    </row>
    <row r="98" spans="1:2">
      <c r="A98" t="s">
        <v>5847</v>
      </c>
      <c r="B98" t="s">
        <v>1143</v>
      </c>
    </row>
    <row r="99" spans="1:2">
      <c r="A99" t="s">
        <v>5848</v>
      </c>
      <c r="B99" t="s">
        <v>5960</v>
      </c>
    </row>
    <row r="100" spans="1:2">
      <c r="A100" t="s">
        <v>5849</v>
      </c>
      <c r="B100" t="s">
        <v>5858</v>
      </c>
    </row>
    <row r="101" spans="1:2">
      <c r="A101" t="s">
        <v>5850</v>
      </c>
      <c r="B101" t="s">
        <v>5853</v>
      </c>
    </row>
    <row r="102" spans="1:2">
      <c r="A102" t="s">
        <v>5851</v>
      </c>
      <c r="B102" t="s">
        <v>5853</v>
      </c>
    </row>
    <row r="103" spans="1:2">
      <c r="A103" t="s">
        <v>5759</v>
      </c>
      <c r="B103" t="s">
        <v>5272</v>
      </c>
    </row>
    <row r="104" spans="1:2">
      <c r="A104" t="s">
        <v>5761</v>
      </c>
      <c r="B104" t="s">
        <v>5272</v>
      </c>
    </row>
    <row r="105" spans="1:2">
      <c r="A105" t="s">
        <v>5861</v>
      </c>
      <c r="B105" t="s">
        <v>5964</v>
      </c>
    </row>
    <row r="106" spans="1:2">
      <c r="A106" t="s">
        <v>5862</v>
      </c>
      <c r="B106" t="s">
        <v>5965</v>
      </c>
    </row>
    <row r="107" spans="1:2">
      <c r="A107" t="s">
        <v>5863</v>
      </c>
      <c r="B107" t="s">
        <v>5966</v>
      </c>
    </row>
    <row r="108" spans="1:2">
      <c r="A108" t="s">
        <v>5864</v>
      </c>
      <c r="B108" t="s">
        <v>5967</v>
      </c>
    </row>
    <row r="109" spans="1:2">
      <c r="A109" t="s">
        <v>5865</v>
      </c>
      <c r="B109" t="s">
        <v>5968</v>
      </c>
    </row>
    <row r="110" spans="1:2">
      <c r="A110" t="s">
        <v>5866</v>
      </c>
      <c r="B110" t="s">
        <v>5968</v>
      </c>
    </row>
    <row r="111" spans="1:2">
      <c r="A111" t="s">
        <v>5867</v>
      </c>
      <c r="B111" t="s">
        <v>5968</v>
      </c>
    </row>
    <row r="112" spans="1:2">
      <c r="A112" t="s">
        <v>5868</v>
      </c>
      <c r="B112" t="s">
        <v>5968</v>
      </c>
    </row>
    <row r="113" spans="1:2">
      <c r="A113" t="s">
        <v>5869</v>
      </c>
      <c r="B113" t="s">
        <v>5968</v>
      </c>
    </row>
    <row r="114" spans="1:2">
      <c r="A114" t="s">
        <v>5870</v>
      </c>
      <c r="B114" t="s">
        <v>5969</v>
      </c>
    </row>
    <row r="115" spans="1:2">
      <c r="A115" t="s">
        <v>5871</v>
      </c>
      <c r="B115" t="s">
        <v>5970</v>
      </c>
    </row>
    <row r="116" spans="1:2">
      <c r="A116" t="s">
        <v>5872</v>
      </c>
      <c r="B116" t="s">
        <v>5971</v>
      </c>
    </row>
    <row r="117" spans="1:2">
      <c r="A117" t="s">
        <v>5873</v>
      </c>
      <c r="B117" t="s">
        <v>5971</v>
      </c>
    </row>
    <row r="118" spans="1:2">
      <c r="A118" t="s">
        <v>5874</v>
      </c>
      <c r="B118" t="s">
        <v>5971</v>
      </c>
    </row>
    <row r="119" spans="1:2">
      <c r="A119" t="s">
        <v>5875</v>
      </c>
      <c r="B119" t="s">
        <v>5972</v>
      </c>
    </row>
    <row r="120" spans="1:2">
      <c r="A120" t="s">
        <v>5876</v>
      </c>
      <c r="B120" t="s">
        <v>5973</v>
      </c>
    </row>
    <row r="121" spans="1:2">
      <c r="A121" t="s">
        <v>5877</v>
      </c>
      <c r="B121" t="s">
        <v>2338</v>
      </c>
    </row>
    <row r="122" spans="1:2">
      <c r="A122" t="s">
        <v>5878</v>
      </c>
      <c r="B122" t="s">
        <v>5974</v>
      </c>
    </row>
    <row r="123" spans="1:2">
      <c r="A123" t="s">
        <v>5879</v>
      </c>
      <c r="B123" t="s">
        <v>5975</v>
      </c>
    </row>
    <row r="124" spans="1:2">
      <c r="A124" t="s">
        <v>5880</v>
      </c>
      <c r="B124" t="s">
        <v>5976</v>
      </c>
    </row>
    <row r="125" spans="1:2">
      <c r="A125" t="s">
        <v>5881</v>
      </c>
      <c r="B125" t="s">
        <v>5977</v>
      </c>
    </row>
    <row r="126" spans="1:2">
      <c r="A126" t="s">
        <v>5882</v>
      </c>
      <c r="B126" t="s">
        <v>5978</v>
      </c>
    </row>
    <row r="127" spans="1:2">
      <c r="A127" t="s">
        <v>5883</v>
      </c>
      <c r="B127" t="s">
        <v>5979</v>
      </c>
    </row>
    <row r="128" spans="1:2">
      <c r="A128" t="s">
        <v>5884</v>
      </c>
      <c r="B128" t="s">
        <v>5980</v>
      </c>
    </row>
    <row r="129" spans="1:2">
      <c r="A129" t="s">
        <v>5885</v>
      </c>
      <c r="B129" t="s">
        <v>5981</v>
      </c>
    </row>
    <row r="130" spans="1:2">
      <c r="A130" t="s">
        <v>5886</v>
      </c>
      <c r="B130" t="s">
        <v>5982</v>
      </c>
    </row>
    <row r="131" spans="1:2">
      <c r="A131" t="s">
        <v>5887</v>
      </c>
      <c r="B131" t="s">
        <v>5983</v>
      </c>
    </row>
    <row r="132" spans="1:2">
      <c r="A132" t="s">
        <v>5888</v>
      </c>
      <c r="B132" t="s">
        <v>5984</v>
      </c>
    </row>
    <row r="133" spans="1:2">
      <c r="A133" t="s">
        <v>5889</v>
      </c>
      <c r="B133" t="s">
        <v>5985</v>
      </c>
    </row>
    <row r="134" spans="1:2">
      <c r="A134" t="s">
        <v>5890</v>
      </c>
      <c r="B134" t="s">
        <v>5986</v>
      </c>
    </row>
    <row r="135" spans="1:2">
      <c r="A135" t="s">
        <v>5891</v>
      </c>
      <c r="B135" t="s">
        <v>5987</v>
      </c>
    </row>
    <row r="136" spans="1:2">
      <c r="A136" t="s">
        <v>5892</v>
      </c>
      <c r="B136" t="s">
        <v>5988</v>
      </c>
    </row>
    <row r="137" spans="1:2">
      <c r="A137" t="s">
        <v>5893</v>
      </c>
      <c r="B137" t="s">
        <v>5989</v>
      </c>
    </row>
    <row r="138" spans="1:2">
      <c r="A138" t="s">
        <v>5894</v>
      </c>
      <c r="B138" t="s">
        <v>5990</v>
      </c>
    </row>
    <row r="139" spans="1:2">
      <c r="A139" t="s">
        <v>5895</v>
      </c>
      <c r="B139" t="s">
        <v>5991</v>
      </c>
    </row>
    <row r="140" spans="1:2">
      <c r="A140" t="s">
        <v>5896</v>
      </c>
      <c r="B140" t="s">
        <v>5992</v>
      </c>
    </row>
    <row r="141" spans="1:2">
      <c r="A141" t="s">
        <v>5897</v>
      </c>
      <c r="B141" t="s">
        <v>5993</v>
      </c>
    </row>
    <row r="142" spans="1:2">
      <c r="A142" t="s">
        <v>5898</v>
      </c>
      <c r="B142" t="s">
        <v>5994</v>
      </c>
    </row>
    <row r="143" spans="1:2">
      <c r="A143" t="s">
        <v>5899</v>
      </c>
      <c r="B143" t="s">
        <v>5995</v>
      </c>
    </row>
    <row r="144" spans="1:2">
      <c r="A144" t="s">
        <v>5900</v>
      </c>
      <c r="B144" t="s">
        <v>5996</v>
      </c>
    </row>
    <row r="145" spans="1:2">
      <c r="A145" t="s">
        <v>5901</v>
      </c>
      <c r="B145" t="s">
        <v>5997</v>
      </c>
    </row>
    <row r="146" spans="1:2">
      <c r="A146" t="s">
        <v>5902</v>
      </c>
      <c r="B146" t="s">
        <v>5998</v>
      </c>
    </row>
    <row r="147" spans="1:2">
      <c r="A147" t="s">
        <v>5903</v>
      </c>
      <c r="B147" t="s">
        <v>5999</v>
      </c>
    </row>
    <row r="148" spans="1:2">
      <c r="A148" t="s">
        <v>5904</v>
      </c>
      <c r="B148" t="s">
        <v>6000</v>
      </c>
    </row>
    <row r="149" spans="1:2">
      <c r="A149" t="s">
        <v>5905</v>
      </c>
      <c r="B149" t="s">
        <v>6001</v>
      </c>
    </row>
    <row r="150" spans="1:2">
      <c r="A150" t="s">
        <v>5906</v>
      </c>
      <c r="B150" t="s">
        <v>6002</v>
      </c>
    </row>
    <row r="151" spans="1:2">
      <c r="A151" t="s">
        <v>5907</v>
      </c>
      <c r="B151" t="s">
        <v>6003</v>
      </c>
    </row>
    <row r="152" spans="1:2">
      <c r="A152" t="s">
        <v>5908</v>
      </c>
      <c r="B152" t="s">
        <v>6004</v>
      </c>
    </row>
    <row r="153" spans="1:2">
      <c r="A153" t="s">
        <v>5909</v>
      </c>
      <c r="B153" t="s">
        <v>6005</v>
      </c>
    </row>
    <row r="154" spans="1:2">
      <c r="A154" t="s">
        <v>5910</v>
      </c>
      <c r="B154" t="s">
        <v>6006</v>
      </c>
    </row>
    <row r="155" spans="1:2">
      <c r="A155" t="s">
        <v>5911</v>
      </c>
      <c r="B155" t="s">
        <v>6007</v>
      </c>
    </row>
    <row r="156" spans="1:2">
      <c r="A156" t="s">
        <v>5912</v>
      </c>
      <c r="B156" t="s">
        <v>6007</v>
      </c>
    </row>
    <row r="157" spans="1:2">
      <c r="A157" t="s">
        <v>5913</v>
      </c>
      <c r="B157" t="s">
        <v>6008</v>
      </c>
    </row>
    <row r="158" spans="1:2">
      <c r="A158" t="s">
        <v>5914</v>
      </c>
      <c r="B158" t="s">
        <v>6009</v>
      </c>
    </row>
    <row r="159" spans="1:2">
      <c r="A159" t="s">
        <v>5915</v>
      </c>
      <c r="B159" t="s">
        <v>6009</v>
      </c>
    </row>
    <row r="160" spans="1:2">
      <c r="A160" t="s">
        <v>5916</v>
      </c>
      <c r="B160" t="s">
        <v>6010</v>
      </c>
    </row>
    <row r="161" spans="1:2">
      <c r="A161" t="s">
        <v>5917</v>
      </c>
      <c r="B161" t="s">
        <v>6011</v>
      </c>
    </row>
    <row r="162" spans="1:2">
      <c r="A162" t="s">
        <v>5918</v>
      </c>
      <c r="B162" t="s">
        <v>6012</v>
      </c>
    </row>
    <row r="163" spans="1:2">
      <c r="A163" t="s">
        <v>5919</v>
      </c>
      <c r="B163" t="s">
        <v>6013</v>
      </c>
    </row>
    <row r="164" spans="1:2">
      <c r="A164" t="s">
        <v>5920</v>
      </c>
      <c r="B164" t="s">
        <v>6014</v>
      </c>
    </row>
    <row r="165" spans="1:2">
      <c r="A165" t="s">
        <v>5927</v>
      </c>
      <c r="B165" t="s">
        <v>6015</v>
      </c>
    </row>
    <row r="166" spans="1:2">
      <c r="A166" t="s">
        <v>5928</v>
      </c>
      <c r="B166" t="s">
        <v>6015</v>
      </c>
    </row>
    <row r="167" spans="1:2">
      <c r="A167" t="s">
        <v>5929</v>
      </c>
      <c r="B167" t="s">
        <v>6016</v>
      </c>
    </row>
    <row r="168" spans="1:2">
      <c r="A168" t="s">
        <v>5930</v>
      </c>
      <c r="B168" t="s">
        <v>6017</v>
      </c>
    </row>
    <row r="169" spans="1:2">
      <c r="A169" t="s">
        <v>5931</v>
      </c>
      <c r="B169" t="s">
        <v>6017</v>
      </c>
    </row>
    <row r="170" spans="1:2">
      <c r="A170" t="s">
        <v>5932</v>
      </c>
      <c r="B170" t="s">
        <v>6018</v>
      </c>
    </row>
    <row r="171" spans="1:2">
      <c r="A171" t="s">
        <v>5933</v>
      </c>
      <c r="B171" t="s">
        <v>6019</v>
      </c>
    </row>
    <row r="172" spans="1:2">
      <c r="A172" t="s">
        <v>5934</v>
      </c>
      <c r="B172" t="s">
        <v>6020</v>
      </c>
    </row>
    <row r="173" spans="1:2">
      <c r="A173" t="s">
        <v>5935</v>
      </c>
      <c r="B173" t="s">
        <v>6021</v>
      </c>
    </row>
    <row r="174" spans="1:2">
      <c r="A174" t="s">
        <v>5936</v>
      </c>
      <c r="B174" t="s">
        <v>6022</v>
      </c>
    </row>
    <row r="175" spans="1:2">
      <c r="A175" t="s">
        <v>5937</v>
      </c>
      <c r="B175" t="s">
        <v>6023</v>
      </c>
    </row>
    <row r="176" spans="1:2">
      <c r="A176" t="s">
        <v>5938</v>
      </c>
      <c r="B176" t="s">
        <v>6024</v>
      </c>
    </row>
    <row r="177" spans="1:2">
      <c r="A177" t="s">
        <v>5939</v>
      </c>
      <c r="B177" t="s">
        <v>6025</v>
      </c>
    </row>
    <row r="178" spans="1:2">
      <c r="A178" t="s">
        <v>5940</v>
      </c>
      <c r="B178" t="s">
        <v>6026</v>
      </c>
    </row>
    <row r="179" spans="1:2">
      <c r="A179" t="s">
        <v>5941</v>
      </c>
      <c r="B179" t="s">
        <v>6027</v>
      </c>
    </row>
    <row r="180" spans="1:2">
      <c r="A180" t="s">
        <v>5942</v>
      </c>
      <c r="B180" t="s">
        <v>6028</v>
      </c>
    </row>
    <row r="181" spans="1:2">
      <c r="A181" t="s">
        <v>5943</v>
      </c>
      <c r="B181" t="s">
        <v>6029</v>
      </c>
    </row>
    <row r="182" spans="1:2">
      <c r="A182" t="s">
        <v>5944</v>
      </c>
      <c r="B182" t="s">
        <v>6030</v>
      </c>
    </row>
    <row r="183" spans="1:2">
      <c r="A183" t="s">
        <v>5945</v>
      </c>
      <c r="B183" t="s">
        <v>6031</v>
      </c>
    </row>
    <row r="184" spans="1:2">
      <c r="A184" t="s">
        <v>5946</v>
      </c>
      <c r="B184" t="s">
        <v>6032</v>
      </c>
    </row>
    <row r="185" spans="1:2">
      <c r="A185" t="s">
        <v>5947</v>
      </c>
      <c r="B185" t="s">
        <v>6033</v>
      </c>
    </row>
    <row r="186" spans="1:2">
      <c r="A186" t="s">
        <v>5948</v>
      </c>
      <c r="B186" t="s">
        <v>6034</v>
      </c>
    </row>
    <row r="187" spans="1:2">
      <c r="A187" t="s">
        <v>5925</v>
      </c>
      <c r="B187" t="s">
        <v>6035</v>
      </c>
    </row>
    <row r="188" spans="1:2">
      <c r="A188" t="s">
        <v>5926</v>
      </c>
      <c r="B188" t="s">
        <v>6035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4"/>
  <sheetViews>
    <sheetView topLeftCell="A21" workbookViewId="0">
      <selection activeCell="F33" sqref="F3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2025-08-26T14:28:22Z</dcterms:modified>
  <cp:category/>
  <cp:contentStatus/>
</cp:coreProperties>
</file>