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FC13450-2929-484A-BF3C-884EF8B90AAE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19" i="29" l="1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4" i="1"/>
  <c r="B2" i="1"/>
  <c r="B7" i="1"/>
  <c r="B3" i="1"/>
  <c r="B8" i="1"/>
  <c r="B5" i="1" l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<sst xmlns="http://schemas.openxmlformats.org/spreadsheetml/2006/main" count="20006" uniqueCount="4578">
  <si>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</si>
  <si>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</si>
  <si>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</si>
  <si>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</si>
  <si>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</si>
  <si>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</si>
  <si>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</si>
  <si>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</si>
  <si>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</si>
  <si>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</si>
  <si>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</si>
  <si>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</si>
  <si>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</si>
  <si>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</si>
  <si>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</si>
  <si>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</si>
  <si>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</si>
  <si>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</si>
  <si>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</si>
  <si>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</si>
  <si>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</si>
  <si>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</si>
  <si>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</si>
  <si>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</si>
  <si>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</si>
  <si>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</si>
  <si>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</si>
  <si>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</si>
  <si>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</si>
  <si>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</si>
  <si>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</si>
  <si>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</si>
  <si>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</si>
  <si>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</si>
  <si>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</si>
  <si>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</si>
  <si>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</si>
  <si>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</si>
  <si>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</si>
  <si>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</si>
  <si>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</si>
  <si>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</si>
  <si>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</si>
  <si>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</si>
  <si>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</si>
  <si>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</si>
  <si>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</si>
  <si>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</si>
  <si>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</si>
  <si>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</si>
  <si>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</si>
  <si>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</si>
  <si>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</si>
  <si>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</si>
  <si>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</si>
  <si>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</si>
  <si>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</si>
  <si>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</si>
  <si>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</si>
  <si>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</si>
  <si>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</si>
  <si>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</si>
  <si>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</si>
  <si>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</si>
  <si>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</si>
  <si>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</si>
  <si>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</si>
  <si>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</si>
  <si>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</si>
  <si>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</si>
  <si>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</si>
  <si>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</si>
  <si>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</si>
  <si>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</si>
  <si>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</si>
  <si>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</si>
  <si>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</si>
  <si>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</si>
  <si>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</si>
  <si>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</si>
  <si>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</si>
  <si>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</si>
  <si>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</si>
  <si>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</si>
  <si>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</si>
  <si>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</si>
  <si>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</si>
  <si>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</si>
  <si>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</si>
  <si>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</si>
  <si>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</si>
  <si>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</si>
  <si>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</si>
  <si>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</si>
  <si>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</si>
  <si>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</si>
  <si>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</si>
  <si>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</si>
  <si>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</si>
  <si>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</si>
  <si>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</si>
  <si>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</si>
  <si>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</si>
  <si>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</si>
  <si>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</si>
  <si>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</si>
  <si>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</si>
  <si>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</si>
  <si>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</si>
  <si>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</si>
  <si>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</si>
  <si>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</si>
  <si>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</si>
  <si>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</si>
  <si>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</si>
  <si>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</si>
  <si>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</si>
  <si>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</si>
  <si>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</si>
  <si>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</si>
  <si>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</si>
  <si>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</si>
  <si>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</si>
  <si>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</si>
  <si>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</si>
  <si>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</si>
  <si>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</si>
  <si>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</si>
  <si>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</si>
  <si>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</si>
  <si>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</si>
  <si>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</si>
  <si>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</si>
  <si>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</si>
  <si>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</si>
  <si>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</si>
  <si>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</si>
  <si>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</si>
  <si>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</si>
  <si>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</si>
  <si>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</si>
  <si>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</si>
  <si>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</si>
  <si>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</si>
  <si>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</si>
  <si>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</si>
  <si>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</si>
  <si>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</si>
  <si>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</si>
  <si>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</si>
  <si>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</si>
  <si>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</si>
  <si>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</si>
  <si>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</si>
  <si>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</si>
  <si>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</si>
  <si>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</si>
  <si>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</si>
  <si>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</si>
  <si>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</si>
  <si>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</si>
  <si>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</si>
  <si>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</si>
  <si>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</si>
  <si>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</si>
  <si>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</si>
  <si>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</si>
  <si>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</si>
  <si>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</si>
  <si>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</si>
  <si>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</si>
  <si>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</si>
  <si>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</si>
  <si>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</si>
  <si>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</si>
  <si>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</si>
  <si>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</si>
  <si>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</si>
  <si>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</si>
  <si>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</si>
  <si>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</si>
  <si>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</si>
  <si>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</si>
  <si>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</si>
  <si>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</si>
  <si>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</si>
  <si>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</si>
  <si>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</si>
  <si>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</si>
  <si>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</si>
  <si>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</si>
  <si>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</si>
  <si>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</si>
  <si>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</si>
  <si>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</si>
  <si>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</si>
  <si>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</si>
  <si>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</si>
  <si>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</si>
  <si>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</si>
  <si>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</si>
  <si>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</si>
  <si>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</si>
  <si>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</si>
  <si>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</si>
  <si>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</si>
  <si>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</si>
  <si>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</si>
  <si>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</si>
  <si>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</si>
  <si>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</si>
  <si>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</si>
  <si>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</si>
  <si>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</si>
  <si>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</si>
  <si>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</si>
  <si>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</si>
  <si>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</si>
  <si>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</si>
  <si>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</si>
  <si>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</si>
  <si>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</si>
  <si>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</si>
  <si>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</si>
  <si>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</si>
  <si>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</si>
  <si>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</si>
  <si>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</si>
  <si>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</si>
  <si>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</si>
  <si>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</si>
  <si>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</si>
  <si>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</si>
  <si>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</si>
  <si>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</si>
  <si>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</si>
  <si>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</si>
  <si>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</si>
  <si>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</si>
  <si>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</si>
  <si>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</si>
  <si>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</si>
  <si>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</si>
  <si>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</si>
  <si>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</si>
  <si>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</si>
  <si>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</si>
  <si>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</si>
  <si>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</si>
  <si>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</si>
  <si>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</si>
  <si>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</si>
  <si>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</si>
  <si>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</si>
  <si>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</si>
  <si>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</si>
  <si>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</si>
  <si>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</si>
  <si>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</si>
  <si>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</si>
  <si>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</si>
  <si>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</si>
  <si>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</si>
  <si>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</si>
  <si>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</si>
  <si>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</si>
  <si>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</si>
  <si>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</si>
  <si>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</si>
  <si>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</si>
  <si>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</si>
  <si>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</si>
  <si>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</si>
  <si>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</si>
  <si>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</si>
  <si>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</si>
  <si>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</si>
  <si>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</si>
  <si>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</si>
  <si>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</si>
  <si>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</si>
  <si>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</si>
  <si>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</si>
  <si>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</si>
  <si>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</si>
  <si>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</si>
  <si>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</si>
  <si>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</si>
  <si>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</si>
  <si>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</si>
  <si>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</si>
  <si>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</si>
  <si>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</si>
  <si>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</si>
  <si>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</si>
  <si>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</si>
  <si>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</si>
  <si>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</si>
  <si>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</si>
  <si>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</si>
  <si>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</si>
  <si>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</si>
  <si>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</si>
  <si>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</si>
  <si>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</si>
  <si>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</si>
  <si>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</si>
  <si>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</si>
  <si>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</si>
  <si>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</si>
  <si>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</si>
  <si>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</si>
  <si>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</si>
  <si>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</si>
  <si>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</si>
  <si>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</si>
  <si>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</si>
  <si>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</si>
  <si>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</si>
  <si>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</si>
  <si>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</si>
  <si>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</si>
  <si>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</si>
  <si>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</si>
  <si>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</si>
  <si>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</si>
  <si>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</si>
  <si>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</si>
  <si>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</si>
  <si>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</si>
  <si>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</si>
  <si>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</si>
  <si>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</si>
  <si>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</si>
  <si>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</si>
  <si>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</si>
  <si>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</si>
  <si>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</si>
  <si>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</si>
  <si>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</si>
  <si>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</si>
  <si>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</si>
  <si>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</si>
  <si>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</si>
  <si>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</si>
  <si>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</si>
  <si>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</si>
  <si>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</si>
  <si>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</si>
  <si>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</si>
  <si>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</si>
  <si>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</si>
  <si>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</si>
  <si>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</si>
  <si>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</si>
  <si>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</si>
  <si>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</si>
  <si>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</si>
  <si>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</si>
  <si>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</si>
  <si>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</si>
  <si>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</si>
  <si>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</si>
  <si>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</si>
  <si>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</si>
  <si>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</si>
  <si>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</si>
  <si>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</si>
  <si>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</si>
  <si>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</si>
  <si>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</si>
  <si>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</si>
  <si>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</si>
  <si>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</si>
  <si>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</si>
  <si>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</si>
  <si>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</si>
  <si>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</si>
  <si>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</si>
  <si>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</si>
  <si>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</si>
  <si>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</si>
  <si>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</si>
  <si>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</si>
  <si>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</si>
  <si>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</si>
  <si>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</si>
  <si>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</si>
  <si>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</si>
  <si>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</si>
  <si>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</si>
  <si>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</si>
  <si>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</si>
  <si>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</si>
  <si>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</si>
  <si>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</si>
  <si>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</si>
  <si>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</si>
  <si>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</si>
  <si>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</si>
  <si>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</si>
  <si>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</si>
  <si>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</si>
  <si>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</si>
  <si>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</si>
  <si>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</si>
  <si>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</si>
  <si>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</si>
  <si>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</si>
  <si>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</si>
  <si>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</si>
  <si>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</si>
  <si>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</si>
  <si>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</si>
  <si>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</si>
  <si>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</si>
  <si>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</si>
  <si>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</si>
  <si>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</si>
  <si>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</si>
  <si>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</si>
  <si>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</si>
  <si>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</si>
  <si>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</si>
  <si>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</si>
  <si>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</si>
  <si>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</si>
  <si>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</si>
  <si>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</si>
  <si>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</si>
  <si>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</si>
  <si>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</si>
  <si>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</si>
  <si>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</si>
  <si>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</si>
  <si>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</si>
  <si>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</si>
  <si>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</si>
  <si>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</si>
  <si>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</si>
  <si>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</si>
  <si>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</si>
  <si>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</si>
  <si>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</si>
  <si>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</si>
  <si>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</si>
  <si>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</si>
  <si>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</si>
  <si>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</si>
  <si>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</si>
  <si>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</si>
  <si>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</si>
  <si>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</si>
  <si>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</si>
  <si>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</si>
  <si>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</si>
  <si>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</si>
  <si>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</si>
  <si>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</si>
  <si>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</si>
  <si>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</si>
  <si>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</si>
  <si>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</si>
  <si>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</si>
  <si>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</si>
  <si>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</si>
  <si>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</si>
  <si>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</si>
  <si>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</si>
  <si>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</si>
  <si>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</si>
  <si>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</si>
  <si>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</si>
  <si>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</si>
  <si>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</si>
  <si>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</si>
  <si>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</si>
  <si>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</si>
  <si>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</si>
  <si>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</si>
  <si>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</si>
  <si>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</si>
  <si>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</si>
  <si>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</si>
  <si>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</si>
  <si>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</si>
  <si>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</si>
  <si>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</si>
  <si>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</si>
  <si>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</si>
  <si>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</si>
  <si>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</si>
  <si>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</si>
  <si>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</si>
  <si>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</si>
  <si>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</si>
  <si>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</si>
  <si>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</si>
  <si>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</si>
  <si>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</si>
  <si>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</si>
  <si>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</si>
  <si>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</si>
  <si>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</si>
  <si>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</si>
  <si>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</si>
  <si>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</si>
  <si>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</si>
  <si>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</si>
  <si>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</si>
  <si>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</si>
  <si>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</si>
  <si>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</si>
  <si>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</si>
  <si>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</si>
  <si>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</si>
  <si>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</si>
  <si>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</si>
  <si>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</si>
  <si>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</si>
  <si>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</si>
  <si>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</si>
  <si>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</si>
  <si>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</si>
  <si>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</si>
  <si>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</si>
  <si>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</si>
  <si>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</si>
  <si>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</si>
  <si>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</si>
  <si>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</si>
  <si>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</si>
  <si>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</si>
  <si>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</si>
  <si>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</si>
  <si>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</si>
  <si>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</si>
  <si>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</si>
  <si>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</si>
  <si>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</si>
  <si>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</si>
  <si>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</si>
  <si>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</si>
  <si>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</si>
  <si>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</si>
  <si>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</si>
  <si>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</si>
  <si>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</si>
  <si>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</si>
  <si>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</si>
  <si>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</si>
  <si>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</si>
  <si>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</si>
  <si>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</si>
  <si>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</si>
  <si>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</si>
  <si>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</si>
  <si>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</si>
  <si>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</si>
  <si>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</si>
  <si>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</si>
  <si>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</si>
  <si>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</si>
  <si>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</si>
  <si>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</si>
  <si>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</si>
  <si>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</si>
  <si>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</si>
  <si>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</si>
  <si>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</si>
  <si>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</si>
  <si>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</si>
  <si>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</si>
  <si>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</si>
  <si>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</si>
  <si>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</si>
  <si>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</si>
  <si>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</si>
  <si>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</si>
  <si>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</si>
  <si>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</si>
  <si>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</si>
  <si>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</si>
  <si>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</si>
  <si>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</si>
  <si>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</si>
  <si>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</si>
  <si>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</si>
  <si>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</si>
  <si>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</si>
  <si>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</si>
  <si>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</si>
  <si>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</si>
  <si>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</si>
  <si>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</si>
  <si>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</si>
  <si>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</si>
  <si>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</si>
  <si>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</si>
  <si>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</si>
  <si>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</si>
  <si>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</si>
  <si>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</si>
  <si>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</si>
  <si>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</si>
  <si>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</si>
  <si>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</si>
  <si>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</si>
  <si>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</si>
  <si>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</si>
  <si>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</si>
  <si>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</si>
  <si>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</si>
  <si>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</si>
  <si>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</si>
  <si>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</si>
  <si>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</si>
  <si>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</si>
  <si>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</si>
  <si>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</si>
  <si>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</si>
  <si>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</si>
  <si>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</si>
  <si>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</si>
  <si>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</si>
  <si>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</si>
  <si>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</si>
  <si>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</si>
  <si>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</si>
  <si>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</si>
  <si>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</si>
  <si>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</si>
  <si>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</si>
  <si>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</si>
  <si>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</si>
  <si>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</si>
  <si>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</si>
  <si>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</si>
  <si>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</si>
  <si>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</si>
  <si>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</si>
  <si>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</si>
  <si>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</si>
  <si>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</si>
  <si>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</si>
  <si>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</si>
  <si>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</si>
  <si>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</si>
  <si>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</si>
  <si>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</si>
  <si>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</si>
  <si>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</si>
  <si>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</si>
  <si>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</si>
  <si>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</si>
  <si>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</si>
  <si>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</si>
  <si>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</si>
  <si>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</si>
  <si>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</si>
  <si>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</si>
  <si>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</si>
  <si>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</si>
  <si>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</si>
  <si>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</si>
  <si>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</si>
  <si>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</si>
  <si>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</si>
  <si>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</si>
  <si>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</si>
  <si>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</si>
  <si>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</si>
  <si>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</si>
  <si>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</si>
  <si>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</si>
  <si>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</si>
  <si>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</si>
  <si>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</si>
  <si>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</si>
  <si>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</si>
  <si>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</si>
  <si>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</si>
  <si>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</si>
  <si>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</si>
  <si>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</si>
  <si>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</si>
  <si>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</si>
  <si>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</si>
  <si>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</si>
  <si>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</si>
  <si>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</si>
  <si>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</si>
  <si>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</si>
  <si>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</si>
  <si>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</si>
  <si>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</si>
  <si>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</si>
  <si>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</si>
  <si>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</si>
  <si>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</si>
  <si>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</si>
  <si>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</si>
  <si>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</si>
  <si>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</si>
  <si>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</si>
  <si>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</si>
  <si>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</si>
  <si>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</si>
  <si>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</si>
  <si>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</si>
  <si>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</si>
  <si>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</si>
  <si>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</si>
  <si>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</si>
  <si>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</si>
  <si>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</si>
  <si>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</si>
  <si>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</si>
  <si>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</si>
  <si>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</si>
  <si>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</si>
  <si>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</si>
  <si>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</si>
  <si>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</si>
  <si>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</si>
  <si>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</si>
  <si>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</si>
  <si>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</si>
  <si>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</si>
  <si>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</si>
  <si>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</si>
  <si>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</si>
  <si>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</si>
  <si>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</si>
  <si>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</si>
  <si>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</si>
  <si>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</si>
  <si>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</si>
  <si>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</si>
  <si>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</si>
  <si>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</si>
  <si>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</si>
  <si>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</si>
  <si>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</si>
  <si>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</si>
  <si>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</si>
  <si>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</si>
  <si>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</si>
  <si>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</si>
  <si>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</si>
  <si>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</si>
  <si>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</si>
  <si>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</si>
  <si>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</si>
  <si>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</si>
  <si>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</si>
  <si>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</si>
  <si>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</si>
  <si>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</si>
  <si>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</si>
  <si>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</si>
  <si>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</si>
  <si>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</si>
  <si>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</si>
  <si>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</si>
  <si>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</si>
  <si>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</si>
  <si>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</si>
  <si>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</si>
  <si>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</si>
  <si>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</si>
  <si>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</si>
  <si>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</si>
  <si>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</si>
  <si>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</si>
  <si>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</si>
  <si>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</si>
  <si>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</si>
  <si>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</si>
  <si>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</si>
  <si>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</si>
  <si>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</si>
  <si>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</si>
  <si>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</si>
  <si>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</si>
  <si>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</si>
  <si>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</si>
  <si>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</si>
  <si>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</si>
  <si>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</si>
  <si>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</si>
  <si>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</si>
  <si>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</si>
  <si>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</si>
  <si>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</si>
  <si>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</si>
  <si>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</si>
  <si>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</si>
  <si>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</si>
  <si>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</si>
  <si>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</si>
  <si>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</si>
  <si>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</si>
  <si>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</si>
  <si>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</si>
  <si>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</si>
  <si>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</si>
  <si>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</si>
  <si>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</si>
  <si>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</si>
  <si>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</si>
  <si>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</si>
  <si>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</si>
  <si>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</si>
  <si>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</si>
  <si>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</si>
  <si>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</si>
  <si>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</si>
  <si>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</si>
  <si>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</si>
  <si>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</si>
  <si>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</si>
  <si>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</si>
  <si>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</si>
  <si>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</si>
  <si>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</si>
  <si>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</si>
  <si>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</si>
  <si>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</si>
  <si>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</si>
  <si>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</si>
  <si>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</si>
  <si>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</si>
  <si>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</si>
  <si>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</si>
  <si>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</si>
  <si>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</si>
  <si>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</si>
  <si>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</si>
  <si>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</si>
  <si>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</si>
  <si>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</si>
  <si>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</si>
  <si>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</si>
  <si>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</si>
  <si>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</si>
  <si>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</si>
  <si>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</si>
  <si>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</si>
  <si>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</si>
  <si>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</si>
  <si>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</si>
  <si>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</si>
  <si>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</si>
  <si>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</si>
  <si>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</si>
  <si>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</si>
  <si>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</si>
  <si>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</si>
  <si>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</si>
  <si>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</si>
  <si>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</si>
  <si>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</si>
  <si>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</si>
  <si>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</si>
  <si>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</si>
  <si>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</si>
  <si>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</si>
  <si>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</si>
  <si>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</si>
  <si>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</si>
  <si>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</si>
  <si>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</si>
  <si>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</si>
  <si>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</si>
  <si>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</si>
  <si>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</si>
  <si>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</si>
  <si>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</si>
  <si>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</si>
  <si>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</si>
  <si>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</si>
  <si>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</si>
  <si>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</si>
  <si>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</si>
  <si>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</si>
  <si>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</si>
  <si>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</si>
  <si>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</si>
  <si>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</si>
  <si>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</si>
  <si>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</si>
  <si>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</si>
  <si>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</si>
  <si>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</si>
  <si>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</si>
  <si>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</si>
  <si>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</si>
  <si>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</si>
  <si>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</si>
  <si>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</si>
  <si>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</si>
  <si>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</si>
  <si>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</si>
  <si>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</si>
  <si>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</si>
  <si>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</si>
  <si>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</si>
  <si>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</si>
  <si>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</si>
  <si>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</si>
  <si>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</si>
  <si>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</si>
  <si>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</si>
  <si>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</si>
  <si>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</si>
  <si>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</si>
  <si>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</si>
  <si>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</si>
  <si>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</si>
  <si>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</si>
  <si>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</si>
  <si>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</si>
  <si>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</si>
  <si>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</si>
  <si>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</si>
  <si>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</si>
  <si>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</si>
  <si>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</si>
  <si>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</si>
  <si>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</si>
  <si>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</si>
  <si>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</si>
  <si>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</si>
  <si>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</si>
  <si>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</si>
  <si>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</si>
  <si>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</si>
  <si>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</si>
  <si>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</si>
  <si>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</si>
  <si>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</si>
  <si>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</si>
  <si>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</si>
  <si>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</si>
  <si>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</si>
  <si>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</si>
  <si>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</si>
  <si>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</si>
  <si>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</si>
  <si>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</si>
  <si>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</si>
  <si>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</si>
  <si>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</si>
  <si>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</si>
  <si>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</si>
  <si>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</si>
  <si>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</si>
  <si>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</si>
  <si>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</si>
  <si>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</si>
  <si>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</si>
  <si>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</si>
  <si>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</si>
  <si>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</si>
  <si>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</si>
  <si>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</si>
  <si>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</si>
  <si>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</si>
  <si>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</si>
  <si>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</si>
  <si>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</si>
  <si>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</si>
  <si>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</si>
  <si>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</si>
  <si>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</si>
  <si>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</si>
  <si>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</si>
  <si>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</si>
  <si>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</si>
  <si>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</si>
  <si>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</si>
  <si>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</si>
  <si>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</si>
  <si>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</si>
  <si>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</si>
  <si>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</si>
  <si>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</si>
  <si>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</si>
  <si>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</si>
  <si>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</si>
  <si>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</si>
  <si>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</si>
  <si>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</si>
  <si>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</si>
  <si>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</si>
  <si>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</si>
  <si>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</si>
  <si>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</si>
  <si>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</si>
  <si>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</si>
  <si>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</si>
  <si>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</si>
  <si>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</si>
  <si>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</si>
  <si>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</si>
  <si>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</si>
  <si>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</si>
  <si>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</si>
  <si>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</si>
  <si>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</si>
  <si>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</si>
  <si>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</si>
  <si>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</si>
  <si>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</si>
  <si>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</si>
  <si>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</si>
  <si>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</si>
  <si>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</si>
  <si>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</si>
  <si>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</si>
  <si>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</si>
  <si>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</si>
  <si>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</si>
  <si>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</si>
  <si>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</si>
  <si>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</si>
  <si>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</si>
  <si>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</si>
  <si>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</si>
  <si>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</si>
  <si>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</si>
  <si>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</si>
  <si>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</si>
  <si>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</si>
  <si>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</si>
  <si>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</si>
  <si>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</si>
  <si>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</si>
  <si>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</si>
  <si>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</si>
  <si>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</si>
  <si>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</si>
  <si>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</si>
  <si>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</si>
  <si>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</si>
  <si>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</si>
  <si>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</si>
  <si>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</si>
  <si>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</si>
  <si>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</si>
  <si>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</si>
  <si>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</si>
  <si>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</si>
  <si>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</si>
  <si>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</si>
  <si>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</si>
  <si>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</si>
  <si>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</si>
  <si>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</si>
  <si>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</si>
  <si>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</si>
  <si>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</si>
  <si>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</si>
  <si>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</si>
  <si>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</si>
  <si>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</si>
  <si>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</si>
  <si>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</si>
  <si>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</si>
  <si>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</si>
  <si>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</si>
  <si>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</si>
  <si>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</si>
  <si>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</si>
  <si>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</si>
  <si>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</si>
  <si>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</si>
  <si>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</si>
  <si>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</si>
  <si>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</si>
  <si>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</si>
  <si>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</si>
  <si>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</si>
  <si>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</si>
  <si>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</si>
  <si>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</si>
  <si>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</si>
  <si>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</si>
  <si>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</si>
  <si>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</si>
  <si>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</si>
  <si>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</si>
  <si>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</si>
  <si>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</si>
  <si>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</si>
  <si>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</si>
  <si>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</si>
  <si>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</si>
  <si>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</si>
  <si>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</si>
  <si>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</si>
  <si>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</si>
  <si>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</si>
  <si>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</si>
  <si>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</si>
  <si>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</si>
  <si>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</si>
  <si>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</si>
  <si>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</si>
  <si>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</si>
  <si>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</si>
  <si>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</si>
  <si>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</si>
  <si>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</si>
  <si>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</si>
  <si>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</si>
  <si>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</si>
  <si>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</si>
  <si>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</si>
  <si>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</si>
  <si>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</si>
  <si>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</si>
  <si>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</si>
  <si>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</si>
  <si>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</si>
  <si>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</si>
  <si>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</si>
  <si>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</si>
  <si>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</si>
  <si>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</si>
  <si>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</si>
  <si>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</si>
  <si>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</si>
  <si>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</si>
  <si>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</si>
  <si>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</si>
  <si>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</si>
  <si>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</si>
  <si>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</si>
  <si>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</si>
  <si>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</si>
  <si>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</si>
  <si>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</si>
  <si>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</si>
  <si>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</si>
  <si>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</si>
  <si>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</si>
  <si>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</si>
  <si>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</si>
  <si>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</si>
  <si>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</si>
  <si>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</si>
  <si>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</si>
  <si>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</si>
  <si>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</si>
  <si>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</si>
  <si>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</si>
  <si>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</si>
  <si>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</si>
  <si>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</si>
  <si>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</si>
  <si>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</si>
  <si>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</si>
  <si>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</si>
  <si>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</si>
  <si>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</si>
  <si>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</si>
  <si>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</si>
  <si>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</si>
  <si>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</si>
  <si>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</si>
  <si>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</si>
  <si>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</si>
  <si>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</si>
  <si>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</si>
  <si>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</si>
  <si>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</si>
  <si>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</si>
  <si>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</si>
  <si>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</si>
  <si>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</si>
  <si>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</si>
  <si>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</si>
  <si>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</si>
  <si>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</si>
  <si>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</si>
  <si>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</si>
  <si>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</si>
  <si>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</si>
  <si>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</si>
  <si>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</si>
  <si>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</si>
  <si>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</si>
  <si>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</si>
  <si>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</si>
  <si>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</si>
  <si>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</si>
  <si>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</si>
  <si>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</si>
  <si>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</si>
  <si>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</si>
  <si>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</si>
  <si>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</si>
  <si>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</si>
  <si>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</si>
  <si>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</si>
  <si>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</si>
  <si>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</si>
  <si>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</si>
  <si>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</si>
  <si>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</si>
  <si>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</si>
  <si>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</si>
  <si>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</si>
  <si>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</si>
  <si>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</si>
  <si>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</si>
  <si>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</si>
  <si>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</si>
  <si>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</si>
  <si>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</si>
  <si>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</si>
  <si>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</si>
  <si>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</si>
  <si>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</si>
  <si>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</si>
  <si>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</si>
  <si>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</si>
  <si>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</si>
  <si>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</si>
  <si>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</si>
  <si>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</si>
  <si>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</si>
  <si>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</si>
  <si>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</si>
  <si>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</si>
  <si>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</si>
  <si>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</si>
  <si>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</si>
  <si>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</si>
  <si>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</si>
  <si>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</si>
  <si>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</si>
  <si>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</si>
  <si>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</si>
  <si>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</si>
  <si>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</si>
  <si>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</si>
  <si>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</si>
  <si>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</si>
  <si>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</si>
  <si>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</si>
  <si>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</si>
  <si>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</si>
  <si>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</si>
  <si>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</si>
  <si>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</si>
  <si>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</si>
  <si>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</si>
  <si>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</si>
  <si>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</si>
  <si>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</si>
  <si>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</si>
  <si>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</si>
  <si>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</si>
  <si>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</si>
  <si>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</si>
  <si>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</si>
  <si>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</si>
  <si>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</si>
  <si>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</si>
  <si>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</si>
  <si>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</si>
  <si>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</si>
  <si>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</si>
  <si>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</si>
  <si>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</si>
  <si>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</si>
  <si>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</si>
  <si>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</si>
  <si>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</si>
  <si>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</si>
  <si>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</si>
  <si>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</si>
  <si>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</si>
  <si>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</si>
  <si>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</si>
  <si>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</si>
  <si>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</si>
  <si>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</si>
  <si>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</si>
  <si>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</si>
  <si>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</si>
  <si>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</si>
  <si>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</si>
  <si>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</si>
  <si>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</si>
  <si>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</si>
  <si>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</si>
  <si>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</si>
  <si>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</si>
  <si>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</si>
  <si>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</si>
  <si>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</si>
  <si>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</si>
  <si>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</si>
  <si>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</si>
  <si>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</si>
  <si>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</si>
  <si>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</si>
  <si>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</si>
  <si>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</si>
  <si>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</si>
  <si>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</si>
  <si>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</si>
  <si>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</si>
  <si>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</si>
  <si>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</si>
  <si>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</si>
  <si>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</si>
  <si>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</si>
  <si>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</si>
  <si>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</si>
  <si>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</si>
  <si>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</si>
  <si>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</si>
  <si>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</si>
  <si>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</si>
  <si>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</si>
  <si>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</si>
  <si>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</si>
  <si>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</si>
  <si>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</si>
  <si>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</si>
  <si>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</si>
  <si>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</si>
  <si>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</si>
  <si>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</si>
  <si>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</si>
  <si>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</si>
  <si>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</si>
  <si>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</si>
  <si>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</si>
  <si>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</si>
  <si>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</si>
  <si>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</si>
  <si>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</si>
  <si>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</si>
  <si>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</si>
  <si>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</si>
  <si>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</si>
  <si>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</si>
  <si>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</si>
  <si>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</si>
  <si>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</si>
  <si>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</si>
  <si>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</si>
  <si>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</si>
  <si>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</si>
  <si>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</si>
  <si>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</si>
  <si>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</si>
  <si>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</si>
  <si>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</si>
  <si>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</si>
  <si>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</si>
  <si>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</si>
  <si>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</si>
  <si>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</si>
  <si>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</si>
  <si>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</si>
  <si>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</si>
  <si>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</si>
  <si>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</si>
  <si>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</si>
  <si>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</si>
  <si>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</si>
  <si>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</si>
  <si>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</si>
  <si>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</si>
  <si>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</si>
  <si>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</si>
  <si>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</si>
  <si>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</si>
  <si>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</si>
  <si>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</si>
  <si>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</si>
  <si>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</si>
  <si>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</si>
  <si>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</si>
  <si>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</si>
  <si>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</si>
  <si>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</si>
  <si>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</si>
  <si>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</si>
  <si>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</si>
  <si>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</si>
  <si>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</si>
  <si>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</si>
  <si>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</si>
  <si>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</si>
  <si>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</si>
  <si>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</si>
  <si>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</si>
  <si>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</si>
  <si>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</si>
  <si>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</si>
  <si>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</si>
  <si>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</si>
  <si>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</si>
  <si>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</si>
  <si>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</si>
  <si>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</si>
  <si>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</si>
  <si>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</si>
  <si>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</si>
  <si>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</si>
  <si>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</si>
  <si>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</si>
  <si>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</si>
  <si>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</si>
  <si>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</si>
  <si>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</si>
  <si>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</si>
  <si>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</si>
  <si>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</si>
  <si>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</si>
  <si>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</si>
  <si>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</si>
  <si>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</si>
  <si>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</si>
  <si>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</si>
  <si>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</si>
  <si>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</si>
  <si>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</si>
  <si>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</si>
  <si>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</si>
  <si>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</si>
  <si>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</si>
  <si>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</si>
  <si>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</si>
  <si>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</si>
  <si>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</si>
  <si>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</si>
  <si>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</si>
  <si>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</si>
  <si>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</si>
  <si>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</si>
  <si>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</si>
  <si>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</si>
  <si>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</si>
  <si>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</si>
  <si>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</si>
  <si>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</si>
  <si>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</si>
  <si>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</si>
  <si>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</si>
  <si>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</si>
  <si>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</si>
  <si>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</si>
  <si>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</si>
  <si>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</si>
  <si>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</si>
  <si>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</si>
  <si>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</si>
  <si>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</si>
  <si>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</si>
  <si>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</si>
  <si>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</si>
  <si>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</si>
  <si>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</si>
  <si>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</si>
  <si>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</si>
  <si>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</si>
  <si>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</si>
  <si>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</si>
  <si>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</si>
  <si>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</si>
  <si>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</si>
  <si>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</si>
  <si>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</si>
  <si>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</si>
  <si>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</si>
  <si>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</si>
  <si>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</si>
  <si>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</si>
  <si>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</si>
  <si>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</si>
  <si>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</si>
  <si>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</si>
  <si>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</si>
  <si>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</si>
  <si>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</si>
  <si>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</si>
  <si>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</si>
  <si>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</si>
  <si>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</si>
  <si>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</si>
  <si>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</si>
  <si>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</si>
  <si>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</si>
  <si>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</si>
  <si>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</si>
  <si>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</si>
  <si>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</si>
  <si>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</si>
  <si>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</si>
  <si>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</si>
  <si>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</si>
  <si>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</si>
  <si>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</si>
  <si>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</si>
  <si>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</si>
  <si>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</si>
  <si>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</si>
  <si>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</si>
  <si>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</si>
  <si>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</si>
  <si>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</si>
  <si>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</si>
  <si>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</si>
  <si>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</si>
  <si>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</si>
  <si>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</si>
  <si>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</si>
  <si>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</si>
  <si>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</si>
  <si>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</si>
  <si>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</si>
  <si>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</si>
  <si>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</si>
  <si>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</si>
  <si>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</si>
  <si>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</si>
  <si>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</si>
  <si>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</si>
  <si>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</si>
  <si>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</si>
  <si>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</si>
  <si>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</si>
  <si>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</si>
  <si>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</si>
  <si>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</si>
  <si>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</si>
  <si>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</si>
  <si>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</si>
  <si>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</si>
  <si>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</si>
  <si>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</si>
  <si>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</si>
  <si>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</si>
  <si>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</si>
  <si>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</si>
  <si>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</si>
  <si>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</si>
  <si>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</si>
  <si>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</si>
  <si>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</si>
  <si>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</si>
  <si>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</si>
  <si>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</si>
  <si>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</si>
  <si>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</si>
  <si>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</si>
  <si>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</si>
  <si>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</si>
  <si>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</si>
  <si>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</si>
  <si>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</si>
  <si>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</si>
  <si>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</si>
  <si>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</si>
  <si>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</si>
  <si>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</si>
  <si>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</si>
  <si>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</si>
  <si>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</si>
  <si>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</si>
  <si>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</si>
  <si>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</si>
  <si>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</si>
  <si>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</si>
  <si>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</si>
  <si>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</si>
  <si>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</si>
  <si>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</si>
  <si>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</si>
  <si>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</si>
  <si>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</si>
  <si>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</si>
  <si>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</si>
  <si>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</si>
  <si>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</si>
  <si>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</si>
  <si>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</si>
  <si>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</si>
  <si>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</si>
  <si>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</si>
  <si>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</si>
  <si>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</si>
  <si>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</si>
  <si>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</si>
  <si>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</si>
  <si>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</si>
  <si>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</si>
  <si>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</si>
  <si>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</si>
  <si>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</si>
  <si>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</si>
  <si>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</si>
  <si>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</si>
  <si>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</si>
  <si>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</si>
  <si>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</si>
  <si>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</si>
  <si>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</si>
  <si>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</si>
  <si>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</si>
  <si>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</si>
  <si>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</si>
  <si>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</si>
  <si>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</si>
  <si>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</si>
  <si>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</si>
  <si>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</si>
  <si>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</si>
  <si>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</si>
  <si>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</si>
  <si>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</si>
  <si>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</si>
  <si>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</si>
  <si>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</si>
  <si>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</si>
  <si>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</si>
  <si>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</si>
  <si>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</si>
  <si>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</si>
  <si>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</si>
  <si>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</si>
  <si>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</si>
  <si>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</si>
  <si>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</si>
  <si>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</si>
  <si>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</si>
  <si>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</si>
  <si>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</si>
  <si>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</si>
  <si>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</si>
  <si>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</si>
  <si>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</si>
  <si>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</si>
  <si>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</si>
  <si>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</si>
  <si>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</si>
  <si>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</si>
  <si>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</si>
  <si>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</si>
  <si>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</si>
  <si>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</si>
  <si>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</si>
  <si>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</si>
  <si>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</si>
  <si>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</si>
  <si>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</si>
  <si>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</si>
  <si>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</si>
  <si>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</si>
  <si>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</si>
  <si>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</si>
  <si>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</si>
  <si>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</si>
  <si>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</si>
  <si>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</si>
  <si>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</si>
  <si>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</si>
  <si>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</si>
  <si>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</si>
  <si>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</si>
  <si>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</si>
  <si>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</si>
  <si>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</si>
  <si>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</si>
  <si>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</si>
  <si>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</si>
  <si>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</si>
  <si>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</si>
  <si>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</si>
  <si>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</si>
  <si>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</si>
  <si>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</si>
  <si>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</si>
  <si>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</si>
  <si>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</si>
  <si>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</si>
  <si>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</si>
  <si>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</si>
  <si>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</si>
  <si>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</si>
  <si>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</si>
  <si>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</si>
  <si>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</si>
  <si>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</si>
  <si>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</si>
  <si>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</si>
  <si>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</si>
  <si>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</si>
  <si>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</si>
  <si>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</si>
  <si>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</si>
  <si>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</si>
  <si>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</si>
  <si>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</si>
  <si>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</si>
  <si>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</si>
  <si>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</si>
  <si>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</si>
  <si>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</si>
  <si>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</si>
  <si>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</si>
  <si>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</si>
  <si>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</si>
  <si>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</si>
  <si>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</si>
  <si>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</si>
  <si>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</si>
  <si>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</si>
  <si>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</si>
  <si>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</si>
  <si>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</si>
  <si>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</si>
  <si>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</si>
  <si>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</si>
  <si>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</si>
  <si>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</si>
  <si>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</si>
  <si>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</si>
  <si>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</si>
  <si>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</si>
  <si>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</si>
  <si>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</si>
  <si>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</si>
  <si>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</si>
  <si>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</si>
  <si>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</si>
  <si>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</si>
  <si>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</si>
  <si>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</si>
  <si>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</si>
  <si>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</si>
  <si>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</si>
  <si>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</si>
  <si>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</si>
  <si>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</si>
  <si>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</si>
  <si>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</si>
  <si>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</si>
  <si>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</si>
  <si>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</si>
  <si>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</si>
  <si>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</si>
  <si>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</si>
  <si>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</si>
  <si>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</si>
  <si>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</si>
  <si>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</si>
  <si>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</si>
  <si>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</si>
  <si>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</si>
  <si>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</si>
  <si>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</si>
  <si>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</si>
  <si>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</si>
  <si>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</si>
  <si>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</si>
  <si>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</si>
  <si>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</si>
  <si>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</si>
  <si>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</si>
  <si>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</si>
  <si>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</si>
  <si>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</si>
  <si>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</si>
  <si>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</si>
  <si>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</si>
  <si>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</si>
  <si>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</si>
  <si>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</si>
  <si>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</si>
  <si>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</si>
  <si>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</si>
  <si>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</si>
  <si>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</si>
  <si>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</si>
  <si>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</si>
  <si>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</si>
  <si>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</si>
  <si>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</si>
  <si>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</si>
  <si>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</si>
  <si>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</si>
  <si>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</si>
  <si>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</si>
  <si>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</si>
  <si>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</si>
  <si>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</si>
  <si>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</si>
  <si>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</si>
  <si>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</si>
  <si>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</si>
  <si>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</si>
  <si>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</si>
  <si>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</si>
  <si>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</si>
  <si>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</si>
  <si>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</si>
  <si>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</si>
  <si>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</si>
  <si>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</si>
  <si>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</si>
  <si>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</si>
  <si>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</si>
  <si>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</si>
  <si>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</si>
  <si>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</si>
  <si>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</si>
  <si>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</si>
  <si>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</si>
  <si>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</si>
  <si>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</si>
  <si>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</si>
  <si>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</si>
  <si>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</si>
  <si>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</si>
  <si>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</si>
  <si>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</si>
  <si>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</si>
  <si>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</si>
  <si>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</si>
  <si>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</si>
  <si>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</si>
  <si>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</si>
  <si>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</si>
  <si>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</si>
  <si>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</si>
  <si>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</si>
  <si>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</si>
  <si>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</si>
  <si>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</si>
  <si>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</si>
  <si>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</si>
  <si>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</si>
  <si>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</si>
  <si>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</si>
  <si>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</si>
  <si>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</si>
  <si>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</si>
  <si>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</si>
  <si>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</si>
  <si>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</si>
  <si>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</si>
  <si>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</si>
  <si>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</si>
  <si>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</si>
  <si>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</si>
  <si>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</si>
  <si>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</si>
  <si>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</si>
  <si>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</si>
  <si>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</si>
  <si>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</si>
  <si>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</si>
  <si>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</si>
  <si>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</si>
  <si>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</si>
  <si>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</si>
  <si>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</si>
  <si>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</si>
  <si>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</si>
  <si>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</si>
  <si>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</si>
  <si>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</si>
  <si>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</si>
  <si>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</si>
  <si>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</si>
  <si>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</si>
  <si>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</si>
  <si>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</si>
  <si>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</si>
  <si>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</si>
  <si>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</si>
  <si>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</si>
  <si>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</si>
  <si>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</si>
  <si>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</si>
  <si>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</si>
  <si>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</si>
  <si>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</si>
  <si>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</si>
  <si>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</si>
  <si>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</si>
  <si>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</si>
  <si>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</si>
  <si>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</si>
  <si>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</si>
  <si>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</si>
  <si>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</si>
  <si>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</si>
  <si>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</si>
  <si>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</si>
  <si>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</si>
  <si>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</si>
  <si>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</si>
  <si>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</si>
  <si>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</si>
  <si>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</si>
  <si>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</si>
  <si>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</si>
  <si>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</si>
  <si>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</si>
  <si>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</si>
  <si>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</si>
  <si>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</si>
  <si>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</si>
  <si>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</si>
  <si>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</si>
  <si>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</si>
  <si>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</si>
  <si>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</si>
  <si>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</si>
  <si>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</si>
  <si>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</si>
  <si>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</si>
  <si>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</si>
  <si>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</si>
  <si>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</si>
  <si>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</si>
  <si>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</si>
  <si>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</si>
  <si>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</si>
  <si>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</si>
  <si>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</si>
  <si>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</si>
  <si>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</si>
  <si>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</si>
  <si>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</si>
  <si>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</si>
  <si>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</si>
  <si>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</si>
  <si>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</si>
  <si>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</si>
  <si>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</si>
  <si>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</si>
  <si>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</si>
  <si>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</si>
  <si>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</si>
  <si>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</si>
  <si>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</si>
  <si>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</si>
  <si>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</si>
  <si>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</si>
  <si>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</si>
  <si>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</si>
  <si>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</si>
  <si>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</si>
  <si>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</si>
  <si>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</si>
  <si>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</si>
  <si>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</si>
  <si>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</si>
  <si>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</si>
  <si>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</si>
  <si>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</si>
  <si>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</si>
  <si>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</si>
  <si>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</si>
  <si>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</si>
  <si>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</si>
  <si>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</si>
  <si>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</si>
  <si>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</si>
  <si>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</si>
  <si>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</si>
  <si>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</si>
  <si>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</si>
  <si>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</si>
  <si>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</si>
  <si>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</si>
  <si>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</si>
  <si>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</si>
  <si>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</si>
  <si>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</si>
  <si>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</si>
  <si>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</si>
  <si>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</si>
  <si>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</si>
  <si>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</si>
  <si>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</si>
  <si>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</si>
  <si>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</si>
  <si>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</si>
  <si>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</si>
  <si>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</si>
  <si>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</si>
  <si>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</si>
  <si>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</si>
  <si>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</si>
  <si>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</si>
  <si>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</si>
  <si>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</si>
  <si>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</si>
  <si>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</si>
  <si>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</si>
  <si>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</si>
  <si>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</si>
  <si>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</si>
  <si>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</si>
  <si>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</si>
  <si>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</si>
  <si>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</si>
  <si>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</si>
  <si>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</si>
  <si>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</si>
  <si>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</si>
  <si>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</si>
  <si>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</si>
  <si>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</si>
  <si>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</si>
  <si>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</si>
  <si>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</si>
  <si>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</si>
  <si>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</si>
  <si>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</si>
  <si>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</si>
  <si>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</si>
  <si>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</si>
  <si>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</si>
  <si>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</si>
  <si>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</si>
  <si>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</si>
  <si>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</si>
  <si>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</si>
  <si>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</si>
  <si>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</si>
  <si>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</si>
  <si>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</si>
  <si>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</si>
  <si>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</si>
  <si>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</si>
  <si>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</si>
  <si>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</si>
  <si>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</si>
  <si>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</si>
  <si>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</si>
  <si>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</si>
  <si>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</si>
  <si>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</si>
  <si>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</si>
  <si>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</si>
  <si>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</si>
  <si>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</si>
  <si>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</si>
  <si>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</si>
  <si>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</si>
  <si>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</si>
  <si>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</si>
  <si>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</si>
  <si>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</si>
  <si>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</si>
  <si>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</si>
  <si>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</si>
  <si>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</si>
  <si>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</si>
  <si>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</si>
  <si>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</si>
  <si>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</si>
  <si>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</si>
  <si>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</si>
  <si>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</si>
  <si>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</si>
  <si>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</si>
  <si>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</si>
  <si>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</si>
  <si>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</si>
  <si>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</si>
  <si>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</si>
  <si>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</si>
  <si>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</si>
  <si>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</si>
  <si>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</si>
  <si>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</si>
  <si>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</si>
  <si>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</si>
  <si>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</si>
  <si>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</si>
  <si>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</si>
  <si>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</si>
  <si>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</si>
  <si>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</si>
  <si>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</si>
  <si>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</si>
  <si>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</si>
  <si>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</si>
  <si>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</si>
  <si>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</si>
  <si>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</si>
  <si>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</si>
  <si>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</si>
  <si>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</si>
  <si>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</si>
  <si>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</si>
  <si>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</si>
  <si>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</si>
  <si>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</si>
  <si>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</si>
  <si>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</si>
  <si>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</si>
  <si>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</si>
  <si>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</si>
  <si>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</si>
  <si>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</si>
  <si>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</si>
  <si>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</si>
  <si>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</si>
  <si>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</si>
  <si>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</si>
  <si>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</si>
  <si>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</si>
  <si>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</si>
  <si>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</si>
  <si>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</si>
  <si>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</si>
  <si>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</si>
  <si>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</si>
  <si>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</si>
  <si>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</si>
  <si>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</si>
  <si>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</si>
  <si>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</si>
  <si>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</si>
  <si>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</si>
  <si>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</si>
  <si>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</si>
  <si>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</si>
  <si>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</si>
  <si>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</si>
  <si>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</si>
  <si>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</si>
  <si>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</si>
  <si>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</si>
  <si>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</si>
  <si>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</si>
  <si>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</si>
  <si>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</si>
  <si>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</si>
  <si>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</si>
  <si>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</si>
  <si>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</si>
  <si>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</si>
  <si>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</si>
  <si>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</si>
  <si>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</si>
  <si>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</si>
  <si>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</si>
  <si>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</si>
  <si>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</si>
  <si>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</si>
  <si>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</si>
  <si>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</si>
  <si>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</si>
  <si>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</si>
  <si>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</si>
  <si>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</si>
  <si>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</si>
  <si>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</si>
  <si>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</si>
  <si>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</si>
  <si>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</si>
  <si>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</si>
  <si>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</si>
  <si>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</si>
  <si>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</si>
  <si>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</si>
  <si>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</si>
  <si>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</si>
  <si>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</si>
  <si>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</si>
  <si>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</si>
  <si>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</si>
  <si>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</si>
  <si>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</si>
  <si>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</si>
  <si>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</si>
  <si>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</si>
  <si>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</si>
  <si>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</si>
  <si>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</si>
  <si>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</si>
  <si>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</si>
  <si>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</si>
  <si>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</si>
  <si>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</si>
  <si>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</si>
  <si>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</si>
  <si>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</si>
  <si>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</si>
  <si>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</si>
  <si>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</si>
  <si>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</si>
  <si>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</si>
  <si>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</si>
  <si>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</si>
  <si>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</si>
  <si>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</si>
  <si>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</si>
  <si>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</si>
  <si>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</si>
  <si>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</si>
  <si>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</si>
  <si>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</si>
  <si>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</si>
  <si>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</si>
  <si>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</si>
  <si>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</si>
  <si>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</si>
  <si>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</si>
  <si>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</si>
  <si>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</si>
  <si>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</si>
  <si>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</si>
  <si>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</si>
  <si>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</si>
  <si>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</si>
  <si>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</si>
  <si>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</si>
  <si>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</si>
  <si>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</si>
  <si>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</si>
  <si>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</si>
  <si>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</si>
  <si>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</si>
  <si>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</si>
  <si>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</si>
  <si>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</si>
  <si>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</si>
  <si>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</si>
  <si>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</si>
  <si>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</si>
  <si>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</si>
  <si>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</si>
  <si>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</si>
  <si>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</si>
  <si>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</si>
  <si>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</si>
  <si>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</si>
  <si>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</si>
  <si>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</si>
  <si>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</si>
  <si>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</si>
  <si>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</si>
  <si>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</si>
  <si>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</si>
  <si>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</si>
  <si>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</si>
  <si>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</si>
  <si>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</si>
  <si>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</si>
  <si>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</si>
  <si>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</si>
  <si>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</si>
  <si>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</si>
  <si>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</si>
  <si>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</si>
  <si>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</si>
  <si>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</si>
  <si>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</si>
  <si>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</si>
  <si>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</si>
  <si>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</si>
  <si>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</si>
  <si>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</si>
  <si>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</si>
  <si>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</si>
  <si>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</si>
  <si>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</si>
  <si>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</si>
  <si>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</si>
  <si>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</si>
  <si>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</si>
  <si>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</si>
  <si>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</si>
  <si>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</si>
  <si>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</si>
  <si>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</si>
  <si>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</si>
  <si>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</si>
  <si>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</si>
  <si>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</si>
  <si>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</si>
  <si>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</si>
  <si>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</si>
  <si>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</si>
  <si>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</si>
  <si>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</si>
  <si>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</si>
  <si>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</si>
  <si>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</si>
  <si>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</si>
  <si>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</si>
  <si>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</si>
  <si>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</si>
  <si>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</si>
  <si>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</si>
  <si>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</si>
  <si>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</si>
  <si>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</si>
  <si>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</si>
  <si>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</si>
  <si>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</si>
  <si>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</si>
  <si>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</si>
  <si>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</si>
  <si>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</si>
  <si>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</si>
  <si>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</si>
  <si>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</si>
  <si>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</si>
  <si>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</si>
  <si>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</si>
  <si>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</si>
  <si>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</si>
  <si>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</si>
  <si>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</si>
  <si>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</si>
  <si>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</si>
  <si>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</si>
  <si>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</si>
  <si>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</si>
  <si>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</si>
  <si>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</si>
  <si>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</si>
  <si>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</si>
  <si>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</si>
  <si>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</si>
  <si>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</si>
  <si>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</si>
  <si>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</si>
  <si>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</si>
  <si>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</si>
  <si>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</si>
  <si>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</si>
  <si>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</si>
  <si>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</si>
  <si>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</si>
  <si>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</si>
  <si>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</si>
  <si>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</si>
  <si>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</si>
  <si>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</si>
  <si>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</si>
  <si>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</si>
  <si>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</si>
  <si>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</si>
  <si>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</si>
  <si>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</si>
  <si>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</si>
  <si>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</si>
  <si>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</si>
  <si>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</si>
  <si>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</si>
  <si>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</si>
  <si>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</si>
  <si>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</si>
  <si>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</si>
  <si>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</si>
  <si>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</si>
  <si>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</si>
  <si>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</si>
  <si>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</si>
  <si>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</si>
  <si>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</si>
  <si>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</si>
  <si>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</si>
  <si>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</si>
  <si>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</si>
  <si>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</si>
  <si>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</si>
  <si>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</si>
  <si>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</si>
  <si>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</si>
  <si>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</si>
  <si>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</si>
  <si>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</si>
  <si>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</si>
  <si>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</si>
  <si>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</si>
  <si>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</si>
  <si>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</si>
  <si>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</si>
  <si>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</si>
  <si>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</si>
  <si>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</si>
  <si>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</si>
  <si>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</si>
  <si>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</si>
  <si>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</si>
  <si>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</si>
  <si>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</si>
  <si>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</si>
  <si>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</si>
  <si>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</si>
  <si>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</si>
  <si>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</si>
  <si>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</si>
  <si>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</si>
  <si>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</si>
  <si>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</si>
  <si>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</si>
  <si>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</si>
  <si>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</si>
  <si>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</si>
  <si>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</si>
  <si>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</si>
  <si>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</si>
  <si>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</si>
  <si>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</si>
  <si>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</si>
  <si>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</si>
  <si>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</si>
  <si>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</si>
  <si>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</si>
  <si>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</si>
  <si>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</si>
  <si>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</si>
  <si>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</si>
  <si>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</si>
  <si>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</si>
  <si>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</si>
  <si>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</si>
  <si>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</si>
  <si>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</si>
  <si>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</si>
  <si>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</si>
  <si>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</si>
  <si>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</si>
  <si>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</si>
  <si>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</si>
  <si>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</si>
  <si>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</si>
  <si>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</si>
  <si>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</si>
  <si>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</si>
  <si>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</si>
  <si>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</si>
  <si>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</si>
  <si>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</si>
  <si>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</si>
  <si>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</si>
  <si>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</si>
  <si>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</si>
  <si>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</si>
  <si>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</si>
  <si>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</si>
  <si>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</si>
  <si>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</si>
  <si>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</si>
  <si>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</si>
  <si>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</si>
  <si>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</si>
  <si>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</si>
  <si>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</si>
  <si>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</si>
  <si>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</si>
  <si>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</si>
  <si>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</si>
  <si>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</si>
  <si>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</si>
  <si>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</si>
  <si>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</si>
  <si>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</si>
  <si>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</si>
  <si>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</si>
  <si>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</si>
  <si>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</si>
  <si>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</si>
  <si>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</si>
  <si>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</si>
  <si>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</si>
  <si>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</si>
  <si>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</si>
  <si>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</si>
  <si>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</si>
  <si>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</si>
  <si>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</si>
  <si>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</si>
  <si>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</si>
  <si>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</si>
  <si>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</si>
  <si>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</si>
  <si>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</si>
  <si>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</si>
  <si>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</si>
  <si>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</si>
  <si>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</si>
  <si>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</si>
  <si>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</si>
  <si>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</si>
  <si>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</si>
  <si>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</si>
  <si>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</si>
  <si>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</si>
  <si>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</si>
  <si>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</si>
  <si>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</si>
  <si>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</si>
  <si>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</si>
  <si>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</si>
  <si>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</si>
  <si>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</si>
  <si>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</si>
  <si>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</si>
  <si>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</si>
  <si>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</si>
  <si>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</si>
  <si>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</si>
  <si>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</si>
  <si>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</si>
  <si>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</si>
  <si>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</si>
  <si>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</si>
  <si>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</si>
  <si>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</si>
  <si>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</si>
  <si>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</si>
  <si>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</si>
  <si>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</si>
  <si>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</si>
  <si>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</si>
  <si>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</si>
  <si>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</si>
  <si>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</si>
  <si>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</si>
  <si>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</si>
  <si>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</si>
  <si>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</si>
  <si>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</si>
  <si>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</si>
  <si>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</si>
  <si>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</si>
  <si>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</si>
  <si>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</si>
  <si>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</si>
  <si>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</si>
  <si>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</si>
  <si>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</si>
  <si>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</si>
  <si>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</si>
  <si>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</si>
  <si>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</si>
  <si>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</si>
  <si>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</si>
  <si>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</si>
  <si>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</si>
  <si>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</si>
  <si>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</si>
  <si>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</si>
  <si>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</si>
  <si>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</si>
  <si>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</si>
  <si>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</si>
  <si>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</si>
  <si>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</si>
  <si>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</si>
  <si>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</si>
  <si>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</si>
  <si>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</si>
  <si>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</si>
  <si>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</si>
  <si>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</si>
  <si>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</si>
  <si>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</si>
  <si>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</si>
  <si>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</si>
  <si>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</si>
  <si>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</si>
  <si>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</si>
  <si>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</si>
  <si>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</si>
  <si>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</si>
  <si>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</si>
  <si>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</si>
  <si>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</si>
  <si>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</si>
  <si>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</si>
  <si>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</si>
  <si>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</si>
  <si>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</si>
  <si>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</si>
  <si>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</si>
  <si>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</si>
  <si>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</si>
  <si>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</si>
  <si>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</si>
  <si>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</si>
  <si>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</si>
  <si>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</si>
  <si>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</si>
  <si>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</si>
  <si>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</si>
  <si>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</si>
  <si>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</si>
  <si>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</si>
  <si>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</si>
  <si>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</si>
  <si>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</si>
  <si>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</si>
  <si>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</si>
  <si>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</si>
  <si>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</si>
  <si>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</si>
  <si>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</si>
  <si>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</si>
  <si>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</si>
  <si>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</si>
  <si>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</si>
  <si>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</si>
  <si>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</si>
  <si>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</si>
  <si>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</si>
  <si>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</si>
  <si>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</si>
  <si>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</si>
  <si>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</si>
  <si>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</si>
  <si>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</si>
  <si>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</si>
  <si>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</si>
  <si>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</si>
  <si>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</si>
  <si>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</si>
  <si>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</si>
  <si>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</si>
  <si>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</si>
  <si>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</si>
  <si>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</si>
  <si>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</si>
  <si>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</si>
  <si>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</si>
  <si>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</si>
  <si>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</si>
  <si>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</si>
  <si>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</si>
  <si>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</si>
  <si>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</si>
  <si>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</si>
  <si>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</si>
  <si>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</si>
  <si>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</si>
  <si>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</si>
  <si>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</si>
  <si>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</si>
  <si>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</si>
  <si>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</si>
  <si>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</si>
  <si>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</si>
  <si>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</si>
  <si>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</si>
  <si>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</si>
  <si>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</si>
  <si>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</si>
  <si>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</si>
  <si>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</si>
  <si>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</si>
  <si>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</si>
  <si>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</si>
  <si>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</si>
  <si>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</si>
  <si>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</si>
  <si>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</si>
  <si>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</si>
  <si>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</si>
  <si>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</si>
  <si>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</si>
  <si>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</si>
  <si>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</si>
  <si>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</si>
  <si>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</si>
  <si>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</si>
  <si>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</si>
  <si>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</si>
  <si>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</si>
  <si>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</si>
  <si>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</si>
  <si>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</si>
  <si>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</si>
  <si>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</si>
  <si>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</si>
  <si>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</si>
  <si>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</si>
  <si>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</si>
  <si>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</si>
  <si>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</si>
  <si>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</si>
  <si>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</si>
  <si>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</si>
  <si>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</si>
  <si>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</si>
  <si>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</si>
  <si>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</si>
  <si>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</si>
  <si>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</si>
  <si>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</si>
  <si>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</si>
  <si>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</si>
  <si>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</si>
  <si>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</si>
  <si>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</si>
  <si>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</si>
  <si>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</si>
  <si>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</si>
  <si>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</si>
  <si>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</si>
  <si>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</si>
  <si>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</si>
  <si>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</si>
  <si>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</si>
  <si>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</si>
  <si>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</si>
  <si>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</si>
  <si>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</si>
  <si>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</si>
  <si>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</si>
  <si>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</si>
  <si>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</si>
  <si>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</si>
  <si>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</si>
  <si>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</si>
  <si>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</si>
  <si>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</si>
  <si>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</si>
  <si>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</si>
  <si>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</si>
  <si>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</si>
  <si>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</si>
  <si>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</si>
  <si>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</si>
  <si>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</si>
  <si>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</si>
  <si>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</si>
  <si>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</si>
  <si>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</si>
  <si>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</si>
  <si>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</si>
  <si>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</si>
  <si>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</si>
  <si>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</si>
  <si>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</si>
  <si>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</si>
  <si>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</si>
  <si>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</si>
  <si>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</si>
  <si>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</si>
  <si>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</si>
  <si>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</si>
  <si>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</si>
  <si>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</si>
  <si>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</si>
  <si>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</si>
  <si>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</si>
  <si>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</si>
  <si>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</si>
  <si>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</si>
  <si>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</si>
  <si>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</si>
  <si>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</si>
  <si>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</si>
  <si>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</si>
  <si>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</si>
  <si>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</si>
  <si>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</si>
  <si>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</si>
  <si>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</si>
  <si>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</si>
  <si>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</si>
  <si>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</si>
  <si>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</si>
  <si>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</si>
  <si>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</si>
  <si>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</si>
  <si>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</si>
  <si>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</si>
  <si>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</si>
  <si>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</si>
  <si>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</si>
  <si>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</si>
  <si>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</si>
  <si>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</si>
  <si>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</si>
  <si>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</si>
  <si>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</si>
  <si>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</si>
  <si>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</si>
  <si>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</si>
  <si>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</si>
  <si>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</si>
  <si>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</si>
  <si>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</si>
  <si>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</si>
  <si>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</si>
  <si>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</si>
  <si>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</si>
  <si>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</si>
  <si>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</si>
  <si>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</si>
  <si>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</si>
  <si>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</si>
  <si>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</si>
  <si>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</si>
  <si>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</si>
  <si>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</si>
  <si>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</si>
  <si>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</si>
  <si>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</si>
  <si>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</si>
  <si>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</si>
  <si>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</si>
  <si>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</si>
  <si>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</si>
  <si>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</si>
  <si>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</si>
  <si>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</si>
  <si>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</si>
  <si>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</si>
  <si>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</si>
  <si>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</si>
  <si>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</si>
  <si>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</si>
  <si>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</si>
  <si>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</si>
  <si>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</si>
  <si>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</si>
  <si>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</si>
  <si>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</si>
  <si>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</si>
  <si>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</si>
  <si>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</si>
  <si>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</si>
  <si>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</si>
  <si>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</si>
  <si>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</si>
  <si>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</si>
  <si>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</si>
  <si>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</si>
  <si>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</si>
  <si>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</si>
  <si>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</si>
  <si>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</si>
  <si>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</si>
  <si>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</si>
  <si>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</si>
  <si>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</si>
  <si>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</si>
  <si>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</si>
  <si>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</si>
  <si>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</si>
  <si>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</si>
  <si>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</si>
  <si>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</si>
  <si>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</si>
  <si>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</si>
  <si>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</si>
  <si>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</si>
  <si>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</si>
  <si>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</si>
  <si>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</si>
  <si>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</si>
  <si>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</si>
  <si>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</si>
  <si>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</si>
  <si>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</si>
  <si>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</si>
  <si>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</si>
  <si>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</si>
  <si>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</si>
  <si>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</si>
  <si>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</si>
  <si>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</si>
  <si>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</si>
  <si>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</si>
  <si>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</si>
  <si>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</si>
  <si>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</si>
  <si>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</si>
  <si>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</si>
  <si>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</si>
  <si>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</si>
  <si>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</si>
  <si>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</si>
  <si>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</si>
  <si>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</si>
  <si>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</si>
  <si>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</si>
  <si>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</si>
  <si>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</si>
  <si>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</si>
  <si>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</si>
  <si>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</si>
  <si>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</si>
  <si>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</si>
  <si>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</si>
  <si>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</si>
  <si>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</si>
  <si>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</si>
  <si>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</si>
  <si>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</si>
  <si>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</si>
  <si>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</si>
  <si>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</si>
  <si>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</si>
  <si>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</si>
  <si>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</si>
  <si>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</si>
  <si>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</si>
  <si>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</si>
  <si>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</si>
  <si>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</si>
  <si>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</si>
  <si>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</si>
  <si>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</si>
  <si>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</si>
  <si>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</si>
  <si>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</si>
  <si>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</si>
  <si>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</si>
  <si>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</si>
  <si>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</si>
  <si>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</si>
  <si>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</si>
  <si>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</si>
  <si>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</si>
  <si>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</si>
  <si>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</si>
  <si>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</si>
  <si>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</si>
  <si>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</si>
  <si>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</si>
  <si>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</si>
  <si>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</si>
  <si>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</si>
  <si>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</si>
  <si>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</si>
  <si>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</si>
  <si>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</si>
  <si>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</si>
  <si>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</si>
  <si>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</si>
  <si>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</si>
  <si>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</si>
  <si>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</si>
  <si>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</si>
  <si>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</si>
  <si>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</si>
  <si>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</si>
  <si>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</si>
  <si>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</si>
  <si>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</si>
  <si>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</si>
  <si>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</si>
  <si>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</si>
  <si>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</si>
  <si>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</si>
  <si>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</si>
  <si>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</si>
  <si>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</si>
  <si>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</si>
  <si>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</si>
  <si>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</si>
  <si>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</si>
  <si>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</si>
  <si>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</si>
  <si>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</si>
  <si>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</si>
  <si>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</si>
  <si>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</si>
  <si>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</si>
  <si>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</si>
  <si>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</si>
  <si>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</si>
  <si>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</si>
  <si>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</si>
  <si>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</si>
  <si>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</si>
  <si>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</si>
  <si>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</si>
  <si>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</si>
  <si>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</si>
  <si>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</si>
  <si>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</si>
  <si>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</si>
  <si>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</si>
  <si>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</si>
  <si>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</si>
  <si>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</si>
  <si>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</si>
  <si>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</si>
  <si>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</si>
  <si>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</si>
  <si>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</si>
  <si>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</si>
  <si>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</si>
  <si>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</si>
  <si>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</si>
  <si>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</si>
  <si>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</si>
  <si>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</si>
  <si>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</si>
  <si>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</si>
  <si>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</si>
  <si>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</si>
  <si>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</si>
  <si>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</si>
  <si>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</si>
  <si>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</si>
  <si>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</si>
  <si>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</si>
  <si>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</si>
  <si>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</si>
  <si>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</si>
  <si>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</si>
  <si>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</si>
  <si>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</si>
  <si>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</si>
  <si>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</si>
  <si>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</si>
  <si>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</si>
  <si>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</si>
  <si>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</si>
  <si>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</si>
  <si>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</si>
  <si>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</si>
  <si>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</si>
  <si>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</si>
  <si>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</si>
  <si>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</si>
  <si>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</si>
  <si>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</si>
  <si>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</si>
  <si>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</si>
  <si>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</si>
  <si>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</si>
  <si>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</si>
  <si>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</si>
  <si>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</si>
  <si>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</si>
  <si>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</si>
  <si>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</si>
  <si>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</si>
  <si>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</si>
  <si>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</si>
  <si>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</si>
  <si>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</si>
  <si>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</si>
  <si>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</si>
  <si>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</si>
  <si>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</si>
  <si>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</si>
  <si>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</si>
  <si>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</si>
  <si>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</si>
  <si>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</si>
  <si>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</si>
  <si>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</si>
  <si>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</si>
  <si>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</si>
  <si>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</si>
  <si>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</si>
  <si>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</si>
  <si>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</si>
  <si>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</si>
  <si>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</si>
  <si>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</si>
  <si>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</si>
  <si>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</si>
  <si>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</si>
  <si>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</si>
  <si>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</si>
  <si>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</si>
  <si>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</si>
  <si>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</si>
  <si>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</si>
  <si>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</si>
  <si>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</si>
  <si>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</si>
  <si>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</si>
  <si>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</si>
  <si>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</si>
  <si>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</si>
  <si>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</si>
  <si>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</si>
  <si>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</si>
  <si>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</si>
  <si>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</si>
  <si>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</si>
  <si>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</si>
  <si>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</si>
  <si>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</si>
  <si>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</si>
  <si>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</si>
  <si>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</si>
  <si>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</si>
  <si>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</si>
  <si>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</si>
  <si>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</si>
  <si>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</si>
  <si>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</si>
  <si>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</si>
  <si>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</si>
  <si>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</si>
  <si>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</si>
  <si>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</si>
  <si>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</si>
  <si>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</si>
  <si>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</si>
  <si>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</si>
  <si>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</si>
  <si>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</si>
  <si>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</si>
  <si>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</si>
  <si>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</si>
  <si>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</si>
  <si>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</si>
  <si>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</si>
  <si>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</si>
  <si>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</si>
  <si>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</si>
  <si>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</si>
  <si>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</si>
  <si>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</si>
  <si>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</si>
  <si>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</si>
  <si>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</si>
  <si>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</si>
  <si>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</si>
  <si>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</si>
  <si>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</si>
  <si>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</si>
  <si>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</si>
  <si>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</si>
  <si>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</si>
  <si>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</si>
  <si>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</si>
  <si>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</si>
  <si>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</si>
  <si>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</si>
  <si>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</si>
  <si>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</si>
  <si>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</si>
  <si>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</si>
  <si>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</si>
  <si>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</si>
  <si>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</si>
  <si>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</si>
  <si>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</si>
  <si>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</si>
  <si>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</si>
  <si>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</si>
  <si>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</si>
  <si>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</si>
  <si>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</si>
  <si>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</si>
  <si>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</si>
  <si>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</si>
  <si>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</si>
  <si>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</si>
  <si>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</si>
  <si>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</si>
  <si>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</si>
  <si>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</si>
  <si>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</si>
  <si>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</si>
  <si>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</si>
  <si>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</si>
  <si>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</si>
  <si>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</si>
  <si>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</si>
  <si>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</si>
  <si>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</si>
  <si>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</si>
  <si>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</si>
  <si>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</si>
  <si>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</si>
  <si>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</si>
  <si>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</si>
  <si>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</si>
  <si>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</si>
  <si>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</si>
  <si>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</si>
  <si>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</si>
  <si>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</si>
  <si>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</si>
  <si>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</si>
  <si>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</si>
  <si>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</si>
  <si>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</si>
  <si>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</si>
  <si>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</si>
  <si>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</si>
  <si>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</si>
  <si>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</si>
  <si>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</si>
  <si>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</si>
  <si>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</si>
  <si>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</si>
  <si>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</si>
  <si>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</si>
  <si>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</si>
  <si>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</si>
  <si>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</si>
  <si>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</si>
  <si>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</si>
  <si>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</si>
  <si>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</si>
  <si>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</si>
  <si>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</si>
  <si>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</si>
  <si>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</si>
  <si>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</si>
  <si>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</si>
  <si>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</si>
  <si>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</si>
  <si>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</si>
  <si>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</si>
  <si>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</si>
  <si>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</si>
  <si>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</si>
  <si>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</si>
  <si>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</si>
  <si>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</si>
  <si>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</si>
  <si>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</si>
  <si>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</si>
  <si>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</si>
  <si>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</si>
  <si>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</si>
  <si>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</si>
  <si>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</si>
  <si>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</si>
  <si>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</si>
  <si>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</si>
  <si>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</si>
  <si>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</si>
  <si>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</si>
  <si>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</si>
  <si>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</si>
  <si>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</si>
  <si>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</si>
  <si>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</si>
  <si>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</si>
  <si>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</si>
  <si>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</si>
  <si>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</si>
  <si>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</si>
  <si>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</si>
  <si>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</si>
  <si>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</si>
  <si>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</si>
  <si>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</si>
  <si>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</si>
  <si>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</si>
  <si>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</si>
  <si>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</si>
  <si>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</si>
  <si>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</si>
  <si>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</si>
  <si>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</si>
  <si>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</si>
  <si>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</si>
  <si>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</si>
  <si>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</si>
  <si>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</si>
  <si>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</si>
  <si>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</si>
  <si>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</si>
  <si>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</si>
  <si>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</si>
  <si>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</si>
  <si>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</si>
  <si>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</si>
  <si>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</si>
  <si>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</si>
  <si>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</si>
  <si>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</si>
  <si>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</si>
  <si>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</si>
  <si>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</si>
  <si>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</si>
  <si>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</si>
  <si>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</si>
  <si>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</si>
  <si>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</si>
  <si>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</si>
  <si>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</si>
  <si>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</si>
  <si>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</si>
  <si>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</si>
  <si>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</si>
  <si>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</si>
  <si>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</si>
  <si>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</si>
  <si>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</si>
  <si>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</si>
  <si>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</si>
  <si>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</si>
  <si>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</si>
  <si>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</si>
  <si>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</si>
  <si>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</si>
  <si>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</si>
  <si>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</si>
  <si>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</si>
  <si>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</si>
  <si>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</si>
  <si>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</si>
  <si>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</si>
  <si>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</si>
  <si>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</si>
  <si>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</si>
  <si>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</si>
  <si>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</si>
  <si>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</si>
  <si>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</si>
  <si>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</si>
  <si>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</si>
  <si>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</si>
  <si>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</si>
  <si>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</si>
  <si>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</si>
  <si>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</si>
  <si>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</si>
  <si>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</si>
  <si>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</si>
  <si>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</si>
  <si>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</si>
  <si>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</si>
  <si>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</si>
  <si>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</si>
  <si>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</si>
  <si>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</si>
  <si>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</si>
  <si>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</si>
  <si>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</si>
  <si>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</si>
  <si>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</si>
  <si>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</si>
  <si>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</si>
  <si>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</si>
  <si>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</si>
  <si>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</si>
  <si>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</si>
  <si>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</si>
  <si>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</si>
  <si>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</si>
  <si>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</si>
  <si>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</si>
  <si>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</si>
  <si>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</si>
  <si>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</si>
  <si>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</si>
  <si>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</si>
  <si>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</si>
  <si>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</si>
  <si>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</si>
  <si>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</si>
  <si>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</si>
  <si>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</si>
  <si>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</si>
  <si>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</si>
  <si>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</si>
  <si>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</si>
  <si>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</si>
  <si>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</si>
  <si>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</si>
  <si>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</si>
  <si>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</si>
  <si>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</si>
  <si>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</si>
  <si>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</si>
  <si>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</si>
  <si>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</si>
  <si>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</si>
  <si>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</si>
  <si>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</si>
  <si>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</si>
  <si>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</si>
  <si>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</si>
  <si>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</si>
  <si>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</si>
  <si>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</si>
  <si>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</si>
  <si>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</si>
  <si>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</si>
  <si>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</si>
  <si>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</si>
  <si>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</si>
  <si>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</si>
  <si>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</si>
  <si>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</si>
  <si>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</si>
  <si>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</si>
  <si>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</si>
  <si>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</si>
  <si>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</si>
  <si>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</si>
  <si>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</si>
  <si>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</si>
  <si>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</si>
  <si>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</si>
  <si>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</si>
  <si>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</si>
  <si>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</si>
  <si>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</si>
  <si>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</si>
  <si>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</si>
  <si>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</si>
  <si>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</si>
  <si>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</si>
  <si>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</si>
  <si>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</si>
  <si>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</si>
  <si>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</si>
  <si>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</si>
  <si>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</si>
  <si>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</si>
  <si>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</si>
  <si>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</si>
  <si>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</si>
  <si>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</si>
  <si>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</si>
  <si>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</si>
  <si>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</si>
  <si>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</si>
  <si>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</si>
  <si>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</si>
  <si>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</si>
  <si>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</si>
  <si>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</si>
  <si>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</si>
  <si>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</si>
  <si>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</si>
  <si>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</si>
  <si>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</si>
  <si>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</si>
  <si>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</si>
  <si>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</si>
  <si>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</si>
  <si>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</si>
  <si>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</si>
  <si>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</si>
  <si>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</si>
  <si>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</si>
  <si>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</si>
  <si>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</si>
  <si>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</si>
  <si>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</si>
  <si>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</si>
  <si>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</si>
  <si>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</si>
  <si>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</si>
  <si>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</si>
  <si>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</si>
  <si>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</si>
  <si>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</si>
  <si>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</si>
  <si>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</si>
  <si>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</si>
  <si>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</si>
  <si>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</si>
  <si>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</si>
  <si>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</si>
  <si>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</si>
  <si>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</si>
  <si>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</si>
  <si>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</si>
  <si>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</si>
  <si>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</si>
  <si>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</si>
  <si>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</si>
  <si>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</si>
  <si>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</si>
  <si>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</si>
  <si>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</si>
  <si>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</si>
  <si>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</si>
  <si>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</si>
  <si>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</si>
  <si>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</si>
  <si>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</si>
  <si>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</si>
  <si>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</si>
  <si>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</si>
  <si>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</si>
  <si>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</si>
  <si>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</si>
  <si>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</si>
  <si>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</si>
  <si>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</si>
  <si>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</si>
  <si>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</si>
  <si>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</si>
  <si>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</si>
  <si>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</si>
  <si>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</si>
  <si>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</si>
  <si>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</si>
  <si>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</si>
  <si>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</si>
  <si>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</si>
  <si>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</si>
  <si>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</si>
  <si>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</si>
  <si>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</si>
  <si>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</si>
  <si>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</si>
  <si>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</si>
  <si>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</si>
  <si>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</si>
  <si>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</si>
  <si>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</si>
  <si>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</si>
  <si>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</si>
  <si>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</si>
  <si>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</si>
  <si>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</si>
  <si>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</si>
  <si>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</si>
  <si>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</si>
  <si>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</si>
  <si>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</si>
  <si>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</si>
  <si>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</si>
  <si>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</si>
  <si>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</si>
  <si>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</si>
  <si>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</si>
  <si>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</si>
  <si>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</si>
  <si>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</si>
  <si>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</si>
  <si>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</si>
  <si>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</si>
  <si>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</si>
  <si>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</si>
  <si>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</si>
  <si>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</si>
  <si>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</si>
  <si>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</si>
  <si>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</si>
  <si>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</si>
  <si>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</si>
  <si>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</si>
  <si>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</si>
  <si>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</si>
  <si>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</si>
  <si>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</si>
  <si>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</si>
  <si>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</si>
  <si>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</si>
  <si>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</si>
  <si>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</si>
  <si>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</si>
  <si>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</si>
  <si>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</si>
  <si>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</si>
  <si>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</si>
  <si>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</si>
  <si>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</si>
  <si>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</si>
  <si>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</si>
  <si>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</si>
  <si>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</si>
  <si>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</si>
  <si>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</si>
  <si>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</si>
  <si>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</si>
  <si>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</si>
  <si>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</si>
  <si>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</si>
  <si>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</si>
  <si>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</si>
  <si>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</si>
  <si>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</si>
  <si>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</si>
  <si>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</si>
  <si>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</si>
  <si>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</si>
  <si>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</si>
  <si>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</si>
  <si>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</si>
  <si>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</si>
  <si>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</si>
  <si>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</si>
  <si>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</si>
  <si>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</si>
  <si>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</si>
  <si>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</si>
  <si>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</si>
  <si>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</si>
  <si>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</si>
  <si>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</si>
  <si>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</si>
  <si>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</si>
  <si>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</si>
  <si>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</si>
  <si>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</si>
  <si>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</si>
  <si>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</si>
  <si>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</si>
  <si>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</si>
  <si>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</si>
  <si>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</si>
  <si>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</si>
  <si>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</si>
  <si>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</si>
  <si>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</si>
  <si>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</si>
  <si>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</si>
  <si>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</si>
  <si>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</si>
  <si>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</si>
  <si>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</si>
  <si>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</si>
  <si>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</si>
  <si>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</si>
  <si>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</si>
  <si>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</si>
  <si>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</si>
  <si>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</si>
  <si>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</si>
  <si>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</si>
  <si>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</si>
  <si>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</si>
  <si>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</si>
  <si>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</si>
  <si>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</si>
  <si>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</si>
  <si>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</si>
  <si>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</si>
  <si>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</si>
  <si>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</si>
  <si>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</si>
  <si>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</si>
  <si>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</si>
  <si>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</si>
  <si>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</si>
  <si>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</si>
  <si>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</si>
  <si>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</si>
  <si>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</si>
  <si>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</si>
  <si>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</si>
  <si>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</si>
  <si>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</si>
  <si>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</si>
  <si>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</si>
  <si>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</si>
  <si>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</si>
  <si>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</si>
  <si>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</si>
  <si>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</si>
  <si>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</si>
  <si>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</si>
  <si>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</si>
  <si>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</si>
  <si>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</si>
  <si>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</si>
  <si>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</si>
  <si>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</si>
  <si>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</si>
  <si>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</si>
  <si>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</si>
  <si>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</si>
  <si>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</si>
  <si>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</si>
  <si>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</si>
  <si>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</si>
  <si>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</si>
  <si>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</si>
  <si>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</si>
  <si>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</si>
  <si>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</si>
  <si>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</si>
  <si>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</si>
  <si>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</si>
  <si>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</si>
  <si>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</si>
  <si>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</si>
  <si>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</si>
  <si>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</si>
  <si>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</si>
  <si>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</si>
  <si>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</si>
  <si>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</si>
  <si>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</si>
  <si>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</si>
  <si>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</si>
  <si>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</si>
  <si>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</si>
  <si>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</si>
  <si>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</si>
  <si>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</si>
  <si>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</si>
  <si>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</si>
  <si>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</si>
  <si>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</si>
  <si>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</si>
  <si>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</si>
  <si>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</si>
  <si>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</si>
  <si>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</si>
  <si>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</si>
  <si>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</si>
  <si>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</si>
  <si>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</si>
  <si>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</si>
  <si>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</si>
  <si>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</si>
  <si>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</si>
  <si>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</si>
  <si>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</si>
  <si>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</si>
  <si>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</si>
  <si>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</si>
  <si>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</si>
  <si>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</si>
  <si>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</si>
  <si>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</si>
  <si>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</si>
  <si>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</si>
  <si>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</si>
  <si>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</si>
  <si>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</si>
  <si>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</si>
  <si>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</si>
  <si>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</si>
  <si>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</si>
  <si>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</si>
  <si>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</si>
  <si>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</si>
  <si>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</si>
  <si>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</si>
  <si>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</si>
  <si>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</si>
  <si>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</si>
  <si>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</si>
  <si>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</si>
  <si>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</si>
  <si>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</si>
  <si>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</si>
  <si>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</si>
  <si>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</si>
  <si>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</si>
  <si>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</si>
  <si>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</si>
  <si>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</si>
  <si>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</si>
  <si>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</si>
  <si>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</si>
  <si>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</si>
  <si>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</si>
  <si>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</si>
  <si>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</si>
  <si>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</si>
  <si>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</si>
  <si>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</si>
  <si>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</si>
  <si>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</si>
  <si>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</si>
  <si>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</si>
  <si>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</si>
  <si>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</si>
  <si>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</si>
  <si>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</si>
  <si>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</si>
  <si>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</si>
  <si>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</si>
  <si>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</si>
  <si>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</si>
  <si>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</si>
  <si>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</si>
  <si>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</si>
  <si>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</si>
  <si>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</si>
  <si>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</si>
  <si>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</si>
  <si>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</si>
  <si>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</si>
  <si>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</si>
  <si>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</si>
  <si>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</si>
  <si>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</si>
  <si>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</si>
  <si>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</si>
  <si>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</si>
  <si>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</si>
  <si>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</si>
  <si>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</si>
  <si>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</si>
  <si>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</si>
  <si>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</si>
  <si>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</si>
  <si>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</si>
  <si>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</si>
  <si>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</si>
  <si>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</si>
  <si>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</si>
  <si>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</si>
  <si>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</si>
  <si>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</si>
  <si>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</si>
  <si>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</si>
  <si>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</si>
  <si>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</si>
  <si>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</si>
  <si>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</si>
  <si>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</si>
  <si>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</si>
  <si>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</si>
  <si>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</si>
  <si>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</si>
  <si>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</si>
  <si>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</si>
  <si>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</si>
  <si>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</si>
  <si>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</si>
  <si>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</si>
  <si>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</si>
  <si>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</si>
  <si>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</si>
  <si>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</si>
  <si>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</si>
  <si>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</si>
  <si>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</si>
  <si>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</si>
  <si>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</si>
  <si>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</si>
  <si>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</si>
  <si>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</si>
  <si>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</si>
  <si>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</si>
  <si>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</si>
  <si>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</si>
  <si>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</si>
  <si>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</si>
  <si>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</si>
  <si>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</si>
  <si>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</si>
  <si>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</si>
  <si>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</si>
  <si>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</si>
  <si>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</si>
  <si>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</si>
  <si>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</si>
  <si>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</si>
  <si>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</si>
  <si>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</si>
  <si>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</si>
  <si>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</si>
  <si>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</si>
  <si>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</si>
  <si>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</si>
  <si>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</si>
  <si>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</si>
  <si>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</si>
  <si>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</si>
  <si>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</si>
  <si>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</si>
  <si>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</si>
  <si>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</si>
  <si>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</si>
  <si>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</si>
  <si>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</si>
  <si>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</si>
  <si>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</si>
  <si>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</si>
  <si>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</si>
  <si>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</si>
  <si>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</si>
  <si>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</si>
  <si>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</si>
  <si>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</si>
  <si>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</si>
  <si>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</si>
  <si>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</si>
  <si>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</si>
  <si>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</si>
  <si>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</si>
  <si>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</si>
  <si>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</si>
  <si>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</si>
  <si>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</si>
  <si>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</si>
  <si>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</si>
  <si>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</si>
  <si>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</si>
  <si>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</si>
  <si>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</si>
  <si>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</si>
  <si>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</si>
  <si>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</si>
  <si>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</si>
  <si>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</si>
  <si>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</si>
  <si>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</si>
  <si>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</si>
  <si>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</si>
  <si>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</si>
  <si>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</si>
  <si>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</si>
  <si>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</si>
  <si>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</si>
  <si>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</si>
  <si>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</si>
  <si>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</si>
  <si>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</si>
  <si>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</si>
  <si>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</si>
  <si>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</si>
  <si>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</si>
  <si>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</si>
  <si>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</si>
  <si>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</si>
  <si>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</si>
  <si>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</si>
  <si>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</si>
  <si>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</si>
  <si>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</si>
  <si>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</si>
  <si>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</si>
  <si>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</si>
  <si>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</si>
  <si>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</si>
  <si>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</si>
  <si>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</si>
  <si>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</si>
  <si>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</si>
  <si>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</si>
  <si>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</si>
  <si>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</si>
  <si>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</si>
  <si>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</si>
  <si>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</si>
  <si>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</si>
  <si>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</si>
  <si>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</si>
  <si>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</si>
  <si>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</si>
  <si>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</si>
  <si>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</si>
  <si>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</si>
  <si>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</si>
  <si>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</si>
  <si>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</si>
  <si>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</si>
  <si>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</si>
  <si>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</si>
  <si>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</si>
  <si>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</si>
  <si>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</si>
  <si>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</si>
  <si>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</si>
  <si>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</si>
  <si>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</si>
  <si>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</si>
  <si>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</si>
  <si>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</si>
  <si>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</si>
  <si>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</si>
  <si>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</si>
  <si>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</si>
  <si>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</si>
  <si>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</si>
  <si>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</si>
  <si>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</si>
  <si>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</si>
  <si>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</si>
  <si>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</si>
  <si>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</si>
  <si>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</si>
  <si>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</si>
  <si>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</si>
  <si>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</si>
  <si>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</si>
  <si>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</si>
  <si>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</si>
  <si>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</si>
  <si>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</si>
  <si>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</si>
  <si>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</si>
  <si>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</si>
  <si>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</si>
  <si>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</si>
  <si>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</si>
  <si>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</si>
  <si>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</si>
  <si>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</si>
  <si>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</si>
  <si>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</si>
  <si>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</si>
  <si>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</si>
  <si>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</si>
  <si>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</si>
  <si>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</si>
  <si>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</si>
  <si>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</si>
  <si>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</si>
  <si>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</si>
  <si>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</si>
  <si>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</si>
  <si>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</si>
  <si>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</si>
  <si>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</si>
  <si>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</si>
  <si>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</si>
  <si>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</si>
  <si>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</si>
  <si>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</si>
  <si>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</si>
  <si>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</si>
  <si>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</si>
  <si>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</si>
  <si>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</si>
  <si>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</si>
  <si>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</si>
  <si>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</si>
  <si>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</si>
  <si>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</si>
  <si>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</si>
  <si>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</si>
  <si>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</si>
  <si>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</si>
  <si>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</si>
  <si>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</si>
  <si>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</si>
  <si>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</si>
  <si>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</si>
  <si>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</si>
  <si>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</si>
  <si>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</si>
  <si>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</si>
  <si>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</si>
  <si>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</si>
  <si>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</si>
  <si>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</si>
  <si>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</si>
  <si>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</si>
  <si>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</si>
  <si>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</si>
  <si>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</si>
  <si>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</si>
  <si>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</si>
  <si>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</si>
  <si>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</si>
  <si>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</si>
  <si>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</si>
  <si>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</si>
  <si>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</si>
  <si>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</si>
  <si>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</si>
  <si>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</si>
  <si>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</si>
  <si>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</si>
  <si>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</si>
  <si>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</si>
  <si>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</si>
  <si>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</si>
  <si>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</si>
  <si>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</si>
  <si>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</si>
  <si>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</si>
  <si>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</si>
  <si>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</si>
  <si>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</si>
  <si>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</si>
  <si>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</si>
  <si>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</si>
  <si>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</si>
  <si>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</si>
  <si>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</si>
  <si>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</si>
  <si>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</si>
  <si>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</si>
  <si>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</si>
  <si>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</si>
  <si>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</si>
  <si>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</si>
  <si>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</si>
  <si>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</si>
  <si>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</si>
  <si>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</si>
  <si>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</si>
  <si>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</si>
  <si>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</si>
  <si>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</si>
  <si>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</si>
  <si>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</si>
  <si>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</si>
  <si>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</si>
  <si>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</si>
  <si>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</si>
  <si>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</si>
  <si>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</si>
  <si>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</si>
  <si>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</si>
  <si>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</si>
  <si>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</si>
  <si>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</si>
  <si>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</si>
  <si>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</si>
  <si>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</si>
  <si>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</si>
  <si>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</si>
  <si>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</si>
  <si>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</si>
  <si>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</si>
  <si>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</si>
  <si>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</si>
  <si>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</si>
  <si>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</si>
  <si>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</si>
  <si>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</si>
  <si>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</si>
  <si>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</si>
  <si>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</si>
  <si>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</si>
  <si>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</si>
  <si>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</si>
  <si>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</si>
  <si>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</si>
  <si>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</si>
  <si>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</si>
  <si>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</si>
  <si>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</si>
  <si>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</si>
  <si>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</si>
  <si>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</si>
  <si>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</si>
  <si>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</si>
  <si>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</si>
  <si>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</si>
  <si>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</si>
  <si>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</si>
  <si>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</si>
  <si>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</si>
  <si>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</si>
  <si>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</si>
  <si>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</si>
  <si>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</si>
  <si>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</si>
  <si>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</si>
  <si>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</si>
  <si>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</si>
  <si>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</si>
  <si>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</si>
  <si>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</si>
  <si>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</si>
  <si>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</si>
  <si>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</si>
  <si>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</si>
  <si>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</si>
  <si>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</si>
  <si>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</si>
  <si>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</si>
  <si>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</si>
  <si>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</si>
  <si>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</si>
  <si>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</si>
  <si>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</si>
  <si>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</si>
  <si>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</si>
  <si>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</si>
  <si>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</si>
  <si>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</si>
  <si>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</si>
  <si>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</si>
  <si>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</si>
  <si>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</si>
  <si>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</si>
  <si>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</si>
  <si>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</si>
  <si>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</si>
  <si>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</si>
  <si>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</si>
  <si>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</si>
  <si>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</si>
  <si>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</si>
  <si>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</si>
  <si>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</si>
  <si>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</si>
  <si>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</si>
  <si>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</si>
  <si>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</si>
  <si>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</si>
  <si>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</si>
  <si>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</si>
  <si>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</si>
  <si>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</si>
  <si>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</si>
  <si>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</si>
  <si>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</si>
  <si>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</si>
  <si>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</si>
  <si>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</si>
  <si>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</si>
  <si>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</si>
  <si>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</si>
  <si>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</si>
  <si>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</si>
  <si>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</si>
  <si>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</si>
  <si>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</si>
  <si>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</si>
  <si>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</si>
  <si>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</si>
  <si>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</si>
  <si>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</si>
  <si>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</si>
  <si>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</si>
  <si>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</si>
  <si>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</si>
  <si>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</si>
  <si>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</si>
  <si>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</si>
  <si>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</si>
  <si>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</si>
  <si>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</si>
  <si>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</si>
  <si>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</si>
  <si>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</si>
  <si>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</si>
  <si>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</si>
  <si>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</si>
  <si>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</si>
  <si>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</si>
  <si>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</si>
  <si>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</si>
  <si>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</si>
  <si>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</si>
  <si>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</si>
  <si>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PSCALA_205 Printed Matter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</si>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</sst>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9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07.618293518521" createdVersion="7" refreshedVersion="8" minRefreshableVersion="3" recordCount="1802" xr:uid="{11839AE3-6158-4318-87AD-2C711D0BF451}">
  <cacheSource type="worksheet">
    <worksheetSource name="Proc"/>
  </cacheSource>
  <cacheFields count="19">
    <cacheField name="App" numFmtId="0">
      <sharedItems containsBlank="1" count="142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5-29T16:16:50"/>
    </cacheField>
    <cacheField name="DateMapped" numFmtId="14">
      <sharedItems containsNonDate="0" containsDate="1" containsString="0" containsBlank="1" minDate="2023-09-01T00:00:00" maxDate="2025-05-31T00:00:00"/>
    </cacheField>
    <cacheField name="DateClosed" numFmtId="14">
      <sharedItems containsNonDate="0" containsDate="1" containsString="0" containsBlank="1" minDate="2023-09-06T00:00:00" maxDate="2025-05-3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15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0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5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0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6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3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3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3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3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3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3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3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3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3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3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3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3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3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3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3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3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3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3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3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3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3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3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3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3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3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3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3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3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3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3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3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3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3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3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3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3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3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3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3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3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3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2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2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2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2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2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1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1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1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1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1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0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0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78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78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7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4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4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4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4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4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4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4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4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4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4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3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68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68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68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3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3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3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3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3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3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3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3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59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59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59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4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3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3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3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39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39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38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28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3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3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3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3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3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3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3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3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3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3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3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3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3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3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3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3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3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0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0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0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0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9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9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9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8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8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8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8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8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8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8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0"/>
    <n v="4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0"/>
    <n v="4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0"/>
    <n v="4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0"/>
    <n v="4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1"/>
    <x v="5"/>
    <s v="CSCALA_1820$A060_A19"/>
    <s v="H000000393"/>
    <s v="DFLTPGCOH_BF-A4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103_AM5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05_AC7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05_H99"/>
    <s v="H000000393"/>
    <s v="DFLTPGCOH_DIV-31_001820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A870 A870 ANZ Entities Cross Charge"/>
    <s v="H000000393"/>
    <s v="H000000888"/>
    <s v="Non-LFF"/>
    <s v=""/>
    <m/>
    <b v="0"/>
    <x v="1"/>
    <x v="3"/>
    <d v="2025-05-29T10:21:30"/>
    <m/>
    <m/>
    <x v="0"/>
    <n v="1"/>
    <s v="Carlo Umali"/>
    <m/>
  </r>
  <r>
    <x v="236"/>
    <x v="1"/>
    <x v="5"/>
    <s v="CSCALA_1820$Q300_E65"/>
    <s v="H000000393"/>
    <s v="DFLTPGCOH_BF-A4_001820"/>
    <s v="Non-LFF"/>
    <s v=""/>
    <m/>
    <b v="0"/>
    <x v="1"/>
    <x v="3"/>
    <d v="2025-05-29T10:21:30"/>
    <m/>
    <m/>
    <x v="0"/>
    <n v="1"/>
    <s v="Carlo Umali"/>
    <m/>
  </r>
  <r>
    <x v="237"/>
    <x v="1"/>
    <x v="5"/>
    <s v="CNOW_7210$$$0000010311 "/>
    <s v="L000013262"/>
    <s v="DFLTPGCOH_002098 Sigma-Aldrich Corporation, USA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57266 "/>
    <s v="L000009969"/>
    <s v="DFLTPGCOH_002047 Sigma-Aldrich Company Limited, UK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10312 "/>
    <s v="L000008362"/>
    <s v="DFLTPGCOH_002098 Sigma-Aldrich Corporation, USA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15221 "/>
    <s v="L000010037"/>
    <s v="DFLTPGCOH_002002 Sigma-Aldrich Chemie GmbH, Germany"/>
    <s v="Non-LFF"/>
    <s v=""/>
    <m/>
    <b v="0"/>
    <x v="2"/>
    <x v="3"/>
    <d v="2025-05-29T10:41:08"/>
    <m/>
    <m/>
    <x v="0"/>
    <n v="1"/>
    <s v="Joan Rose Pena"/>
    <m/>
  </r>
  <r>
    <x v="237"/>
    <x v="1"/>
    <x v="5"/>
    <s v="CNOW_7210$$$0000040962 "/>
    <s v="L000009797"/>
    <s v="L000010182 Milwaukee Packaging Operations -G"/>
    <s v="Non-LFF"/>
    <s v=""/>
    <m/>
    <b v="0"/>
    <x v="2"/>
    <x v="3"/>
    <d v="2025-05-29T10:41:08"/>
    <m/>
    <m/>
    <x v="0"/>
    <n v="1"/>
    <s v="Joan Rose Pena"/>
    <m/>
  </r>
  <r>
    <x v="238"/>
    <x v="1"/>
    <x v="6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m/>
    <m/>
    <x v="0"/>
    <n v="1"/>
    <s v="Ruby Grace Garcia"/>
    <m/>
  </r>
  <r>
    <x v="239"/>
    <x v="1"/>
    <x v="5"/>
    <s v="CEMERAL_64016401108608 M Lab project cost collection"/>
    <s v="L000012393"/>
    <s v="L000011664"/>
    <s v="Non-LFF"/>
    <s v=""/>
    <m/>
    <b v="0"/>
    <x v="2"/>
    <x v="3"/>
    <d v="2025-05-28T11:53:42"/>
    <m/>
    <m/>
    <x v="0"/>
    <n v="2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422">
        <item m="1" x="806"/>
        <item x="0"/>
        <item m="1" x="876"/>
        <item m="1" x="1297"/>
        <item m="1" x="459"/>
        <item m="1" x="1314"/>
        <item m="1" x="836"/>
        <item m="1" x="926"/>
        <item m="1" x="1347"/>
        <item m="1" x="1141"/>
        <item m="1" x="829"/>
        <item m="1" x="1413"/>
        <item m="1" x="1159"/>
        <item m="1" x="1403"/>
        <item m="1" x="777"/>
        <item m="1" x="678"/>
        <item m="1" x="382"/>
        <item m="1" x="643"/>
        <item m="1" x="1367"/>
        <item m="1" x="435"/>
        <item m="1" x="743"/>
        <item m="1" x="1111"/>
        <item m="1" x="826"/>
        <item m="1" x="919"/>
        <item m="1" x="1215"/>
        <item m="1" x="1400"/>
        <item m="1" x="861"/>
        <item m="1" x="883"/>
        <item m="1" x="648"/>
        <item m="1" x="1049"/>
        <item m="1" x="808"/>
        <item m="1" x="1354"/>
        <item m="1" x="1011"/>
        <item m="1" x="444"/>
        <item m="1" x="552"/>
        <item m="1" x="1339"/>
        <item m="1" x="1103"/>
        <item m="1" x="357"/>
        <item m="1" x="1189"/>
        <item m="1" x="855"/>
        <item m="1" x="1150"/>
        <item m="1" x="736"/>
        <item m="1" x="1088"/>
        <item m="1" x="347"/>
        <item m="1" x="377"/>
        <item m="1" x="1416"/>
        <item m="1" x="1095"/>
        <item m="1" x="1163"/>
        <item m="1" x="1270"/>
        <item m="1" x="1039"/>
        <item m="1" x="1137"/>
        <item m="1" x="976"/>
        <item m="1" x="431"/>
        <item m="1" x="622"/>
        <item m="1" x="1398"/>
        <item m="1" x="966"/>
        <item m="1" x="1106"/>
        <item m="1" x="634"/>
        <item m="1" x="595"/>
        <item m="1" x="887"/>
        <item m="1" x="779"/>
        <item m="1" x="812"/>
        <item m="1" x="371"/>
        <item m="1" x="510"/>
        <item m="1" x="1172"/>
        <item m="1" x="1389"/>
        <item m="1" x="575"/>
        <item m="1" x="980"/>
        <item m="1" x="990"/>
        <item m="1" x="1167"/>
        <item m="1" x="1277"/>
        <item m="1" x="1155"/>
        <item m="1" x="450"/>
        <item m="1" x="1298"/>
        <item m="1" x="1028"/>
        <item m="1" x="1015"/>
        <item m="1" x="550"/>
        <item m="1" x="903"/>
        <item m="1" x="1250"/>
        <item m="1" x="368"/>
        <item m="1" x="947"/>
        <item m="1" x="1300"/>
        <item m="1" x="1138"/>
        <item m="1" x="873"/>
        <item m="1" x="915"/>
        <item m="1" x="796"/>
        <item m="1" x="1031"/>
        <item m="1" x="843"/>
        <item m="1" x="1075"/>
        <item m="1" x="559"/>
        <item m="1" x="1388"/>
        <item m="1" x="913"/>
        <item m="1" x="1199"/>
        <item m="1" x="276"/>
        <item m="1" x="1404"/>
        <item m="1" x="940"/>
        <item m="1" x="1229"/>
        <item m="1" x="1142"/>
        <item m="1" x="920"/>
        <item m="1" x="430"/>
        <item m="1" x="437"/>
        <item m="1" x="477"/>
        <item m="1" x="659"/>
        <item m="1" x="1083"/>
        <item m="1" x="844"/>
        <item m="1" x="960"/>
        <item m="1" x="1023"/>
        <item m="1" x="1170"/>
        <item m="1" x="1253"/>
        <item m="1" x="815"/>
        <item m="1" x="536"/>
        <item m="1" x="379"/>
        <item m="1" x="522"/>
        <item m="1" x="1397"/>
        <item m="1" x="554"/>
        <item m="1" x="1235"/>
        <item m="1" x="1164"/>
        <item m="1" x="782"/>
        <item m="1" x="854"/>
        <item m="1" x="720"/>
        <item m="1" x="977"/>
        <item m="1" x="1352"/>
        <item m="1" x="528"/>
        <item m="1" x="476"/>
        <item m="1" x="411"/>
        <item m="1" x="1077"/>
        <item m="1" x="1337"/>
        <item m="1" x="1265"/>
        <item m="1" x="922"/>
        <item m="1" x="446"/>
        <item m="1" x="1171"/>
        <item m="1" x="623"/>
        <item m="1" x="877"/>
        <item m="1" x="1052"/>
        <item m="1" x="1160"/>
        <item m="1" x="280"/>
        <item m="1" x="1109"/>
        <item m="1" x="1072"/>
        <item m="1" x="513"/>
        <item m="1" x="961"/>
        <item m="1" x="849"/>
        <item m="1" x="802"/>
        <item m="1" x="535"/>
        <item m="1" x="471"/>
        <item m="1" x="711"/>
        <item m="1" x="898"/>
        <item m="1" x="305"/>
        <item m="1" x="644"/>
        <item m="1" x="503"/>
        <item m="1" x="245"/>
        <item m="1" x="755"/>
        <item m="1" x="956"/>
        <item m="1" x="838"/>
        <item m="1" x="884"/>
        <item m="1" x="1203"/>
        <item m="1" x="785"/>
        <item m="1" x="1311"/>
        <item m="1" x="1035"/>
        <item m="1" x="974"/>
        <item m="1" x="488"/>
        <item m="1" x="1121"/>
        <item m="1" x="1399"/>
        <item m="1" x="1087"/>
        <item m="1" x="1071"/>
        <item m="1" x="358"/>
        <item m="1" x="406"/>
        <item m="1" x="941"/>
        <item m="1" x="447"/>
        <item m="1" x="1384"/>
        <item m="1" x="1050"/>
        <item m="1" x="975"/>
        <item m="1" x="927"/>
        <item m="1" x="728"/>
        <item m="1" x="356"/>
        <item m="1" x="456"/>
        <item m="1" x="562"/>
        <item m="1" x="1295"/>
        <item m="1" x="1327"/>
        <item m="1" x="1026"/>
        <item m="1" x="753"/>
        <item m="1" x="841"/>
        <item m="1" x="351"/>
        <item m="1" x="391"/>
        <item m="1" x="730"/>
        <item m="1" x="955"/>
        <item m="1" x="868"/>
        <item m="1" x="526"/>
        <item m="1" x="759"/>
        <item m="1" x="473"/>
        <item m="1" x="668"/>
        <item m="1" x="590"/>
        <item m="1" x="425"/>
        <item m="1" x="561"/>
        <item m="1" x="931"/>
        <item m="1" x="341"/>
        <item m="1" x="580"/>
        <item m="1" x="372"/>
        <item m="1" x="1065"/>
        <item m="1" x="1254"/>
        <item m="1" x="864"/>
        <item m="1" x="508"/>
        <item m="1" x="1158"/>
        <item m="1" x="1003"/>
        <item m="1" x="520"/>
        <item m="1" x="521"/>
        <item m="1" x="706"/>
        <item m="1" x="396"/>
        <item m="1" x="585"/>
        <item m="1" x="380"/>
        <item m="1" x="566"/>
        <item m="1" x="1134"/>
        <item m="1" x="645"/>
        <item m="1" x="1012"/>
        <item m="1" x="1062"/>
        <item m="1" x="1196"/>
        <item m="1" x="1200"/>
        <item m="1" x="917"/>
        <item m="1" x="758"/>
        <item m="1" x="797"/>
        <item m="1" x="1364"/>
        <item m="1" x="657"/>
        <item m="1" x="469"/>
        <item m="1" x="847"/>
        <item m="1" x="304"/>
        <item m="1" x="1368"/>
        <item m="1" x="831"/>
        <item m="1" x="265"/>
        <item m="1" x="1286"/>
        <item m="1" x="1329"/>
        <item m="1" x="1166"/>
        <item m="1" x="543"/>
        <item m="1" x="282"/>
        <item m="1" x="1216"/>
        <item m="1" x="607"/>
        <item m="1" x="243"/>
        <item m="1" x="1387"/>
        <item m="1" x="631"/>
        <item m="1" x="786"/>
        <item m="1" x="1231"/>
        <item m="1" x="318"/>
        <item m="1" x="1143"/>
        <item m="1" x="951"/>
        <item m="1" x="816"/>
        <item m="1" x="686"/>
        <item m="1" x="433"/>
        <item m="1" x="934"/>
        <item m="1" x="636"/>
        <item m="1" x="1174"/>
        <item m="1" x="496"/>
        <item m="1" x="1244"/>
        <item m="1" x="1251"/>
        <item m="1" x="935"/>
        <item m="1" x="1125"/>
        <item m="1" x="542"/>
        <item m="1" x="839"/>
        <item m="1" x="1128"/>
        <item m="1" x="712"/>
        <item m="1" x="1002"/>
        <item m="1" x="641"/>
        <item m="1" x="426"/>
        <item m="1" x="630"/>
        <item m="1" x="1396"/>
        <item m="1" x="1338"/>
        <item m="1" x="483"/>
        <item m="1" x="1284"/>
        <item m="1" x="290"/>
        <item m="1" x="1306"/>
        <item m="1" x="325"/>
        <item m="1" x="627"/>
        <item m="1" x="725"/>
        <item m="1" x="672"/>
        <item m="1" x="1279"/>
        <item m="1" x="1182"/>
        <item m="1" x="423"/>
        <item m="1" x="993"/>
        <item m="1" x="1201"/>
        <item m="1" x="1335"/>
        <item m="1" x="1242"/>
        <item m="1" x="328"/>
        <item m="1" x="1408"/>
        <item m="1" x="479"/>
        <item m="1" x="760"/>
        <item m="1" x="1204"/>
        <item m="1" x="327"/>
        <item m="1" x="1263"/>
        <item m="1" x="492"/>
        <item m="1" x="1136"/>
        <item m="1" x="1000"/>
        <item m="1" x="978"/>
        <item m="1" x="557"/>
        <item m="1" x="519"/>
        <item m="1" x="1331"/>
        <item m="1" x="272"/>
        <item m="1" x="454"/>
        <item m="1" x="1113"/>
        <item m="1" x="1224"/>
        <item m="1" x="1151"/>
        <item m="1" x="1355"/>
        <item m="1" x="859"/>
        <item m="1" x="486"/>
        <item m="1" x="606"/>
        <item m="1" x="925"/>
        <item m="1" x="667"/>
        <item m="1" x="995"/>
        <item m="1" x="608"/>
        <item m="1" x="410"/>
        <item m="1" x="1063"/>
        <item m="1" x="465"/>
        <item m="1" x="345"/>
        <item m="1" x="1197"/>
        <item m="1" x="1344"/>
        <item m="1" x="1045"/>
        <item m="1" x="310"/>
        <item m="1" x="1236"/>
        <item m="1" x="1034"/>
        <item m="1" x="1144"/>
        <item m="1" x="1283"/>
        <item m="1" x="511"/>
        <item m="1" x="703"/>
        <item m="1" x="541"/>
        <item m="1" x="809"/>
        <item m="1" x="733"/>
        <item m="1" x="763"/>
        <item m="1" x="1299"/>
        <item m="1" x="745"/>
        <item m="1" x="948"/>
        <item m="1" x="480"/>
        <item m="1" x="679"/>
        <item m="1" x="653"/>
        <item m="1" x="996"/>
        <item m="1" x="899"/>
        <item m="1" x="1127"/>
        <item m="1" x="649"/>
        <item m="1" x="1285"/>
        <item m="1" x="487"/>
        <item m="1" x="413"/>
        <item m="1" x="669"/>
        <item m="1" x="1210"/>
        <item m="1" x="320"/>
        <item m="1" x="321"/>
        <item m="1" x="617"/>
        <item m="1" x="1290"/>
        <item m="1" x="684"/>
        <item m="1" x="329"/>
        <item m="1" x="489"/>
        <item m="1" x="731"/>
        <item m="1" x="1042"/>
        <item m="1" x="1014"/>
        <item m="1" x="685"/>
        <item m="1" x="266"/>
        <item m="1" x="404"/>
        <item m="1" x="616"/>
        <item m="1" x="504"/>
        <item m="1" x="261"/>
        <item m="1" x="1214"/>
        <item m="1" x="1343"/>
        <item m="1" x="813"/>
        <item m="1" x="1243"/>
        <item m="1" x="1303"/>
        <item m="1" x="326"/>
        <item m="1" x="1341"/>
        <item m="1" x="1079"/>
        <item m="1" x="502"/>
        <item m="1" x="688"/>
        <item m="1" x="592"/>
        <item m="1" x="954"/>
        <item m="1" x="525"/>
        <item m="1" x="741"/>
        <item m="1" x="1036"/>
        <item m="1" x="1161"/>
        <item m="1" x="664"/>
        <item m="1" x="792"/>
        <item m="1" x="604"/>
        <item m="1" x="530"/>
        <item m="1" x="1041"/>
        <item m="1" x="1156"/>
        <item m="1" x="1318"/>
        <item m="1" x="360"/>
        <item m="1" x="564"/>
        <item m="1" x="1004"/>
        <item m="1" x="405"/>
        <item m="1" x="692"/>
        <item m="1" x="1073"/>
        <item m="1" x="338"/>
        <item m="1" x="548"/>
        <item m="1" x="658"/>
        <item m="1" x="1264"/>
        <item m="1" x="497"/>
        <item m="1" x="767"/>
        <item m="1" x="1320"/>
        <item m="1" x="448"/>
        <item m="1" x="637"/>
        <item m="1" x="825"/>
        <item m="1" x="1162"/>
        <item m="1" x="460"/>
        <item m="1" x="716"/>
        <item m="1" x="558"/>
        <item m="1" x="1054"/>
        <item m="1" x="1240"/>
        <item m="1" x="366"/>
        <item m="1" x="586"/>
        <item m="1" x="1322"/>
        <item m="1" x="1287"/>
        <item m="1" x="387"/>
        <item m="1" x="704"/>
        <item m="1" x="1228"/>
        <item m="1" x="1359"/>
        <item m="1" x="1230"/>
        <item m="1" x="1205"/>
        <item m="1" x="336"/>
        <item m="1" x="512"/>
        <item m="1" x="594"/>
        <item m="1" x="583"/>
        <item m="1" x="810"/>
        <item m="1" x="298"/>
        <item m="1" x="997"/>
        <item m="1" x="1068"/>
        <item m="1" x="250"/>
        <item m="1" x="1328"/>
        <item m="1" x="1190"/>
        <item m="1" x="1319"/>
        <item m="1" x="1349"/>
        <item m="1" x="1385"/>
        <item m="1" x="1323"/>
        <item m="1" x="687"/>
        <item m="1" x="1047"/>
        <item m="1" x="654"/>
        <item m="1" x="1060"/>
        <item m="1" x="1025"/>
        <item m="1" x="463"/>
        <item m="1" x="501"/>
        <item m="1" x="639"/>
        <item m="1" x="1104"/>
        <item m="1" x="624"/>
        <item m="1" x="370"/>
        <item m="1" x="1369"/>
        <item m="1" x="1119"/>
        <item m="1" x="952"/>
        <item m="1" x="984"/>
        <item m="1" x="1033"/>
        <item m="1" x="458"/>
        <item m="1" x="800"/>
        <item m="1" x="1145"/>
        <item m="1" x="296"/>
        <item m="1" x="539"/>
        <item m="1" x="439"/>
        <item m="1" x="436"/>
        <item m="1" x="440"/>
        <item m="1" x="241"/>
        <item m="1" x="462"/>
        <item m="1" x="1259"/>
        <item m="1" x="263"/>
        <item m="1" x="909"/>
        <item m="1" x="1346"/>
        <item m="1" x="1157"/>
        <item m="1" x="417"/>
        <item m="1" x="1417"/>
        <item m="1" x="346"/>
        <item m="1" x="713"/>
        <item m="1" x="936"/>
        <item m="1" x="392"/>
        <item m="1" x="845"/>
        <item m="1" x="1005"/>
        <item m="1" x="1273"/>
        <item m="1" x="1175"/>
        <item m="1" x="254"/>
        <item m="1" x="937"/>
        <item m="1" x="337"/>
        <item m="1" x="573"/>
        <item m="1" x="545"/>
        <item m="1" x="307"/>
        <item m="1" x="900"/>
        <item m="1" x="907"/>
        <item m="1" x="1007"/>
        <item m="1" x="756"/>
        <item m="1" x="1256"/>
        <item m="1" x="665"/>
        <item m="1" x="1375"/>
        <item m="1" x="1010"/>
        <item m="1" x="901"/>
        <item m="1" x="565"/>
        <item m="1" x="973"/>
        <item m="1" x="1271"/>
        <item m="1" x="1336"/>
        <item m="1" x="1315"/>
        <item m="1" x="1245"/>
        <item m="1" x="994"/>
        <item m="1" x="1107"/>
        <item m="1" x="620"/>
        <item m="1" x="1069"/>
        <item m="1" x="894"/>
        <item m="1" x="853"/>
        <item m="1" x="851"/>
        <item m="1" x="852"/>
        <item m="1" x="549"/>
        <item m="1" x="593"/>
        <item m="1" x="1206"/>
        <item m="1" x="771"/>
        <item m="1" x="613"/>
        <item m="1" x="655"/>
        <item m="1" x="701"/>
        <item m="1" x="953"/>
        <item m="1" x="1291"/>
        <item m="1" x="1380"/>
        <item m="1" x="498"/>
        <item m="1" x="449"/>
        <item m="1" x="286"/>
        <item m="1" x="308"/>
        <item m="1" x="605"/>
        <item m="1" x="393"/>
        <item m="1" x="721"/>
        <item m="1" x="1257"/>
        <item m="1" x="598"/>
        <item m="1" x="390"/>
        <item m="1" x="1149"/>
        <item m="1" x="267"/>
        <item m="1" x="1275"/>
        <item m="1" x="1350"/>
        <item m="1" x="1414"/>
        <item m="1" x="1289"/>
        <item m="1" x="532"/>
        <item m="1" x="309"/>
        <item m="1" x="773"/>
        <item m="1" x="857"/>
        <item m="1" x="1053"/>
        <item m="1" x="1021"/>
        <item m="1" x="1057"/>
        <item m="1" x="834"/>
        <item m="1" x="872"/>
        <item m="1" x="1313"/>
        <item m="1" x="1076"/>
        <item m="1" x="1046"/>
        <item m="1" x="985"/>
        <item m="1" x="1058"/>
        <item m="1" x="259"/>
        <item m="1" x="264"/>
        <item m="1" x="867"/>
        <item m="1" x="1252"/>
        <item m="1" x="822"/>
        <item m="1" x="1392"/>
        <item m="1" x="791"/>
        <item m="1" x="967"/>
        <item m="1" x="1038"/>
        <item m="1" x="652"/>
        <item m="1" x="484"/>
        <item m="1" x="860"/>
        <item m="1" x="546"/>
        <item m="1" x="1401"/>
        <item m="1" x="1316"/>
        <item m="1" x="1129"/>
        <item m="1" x="386"/>
        <item m="1" x="313"/>
        <item m="1" x="886"/>
        <item m="1" x="1130"/>
        <item m="1" x="1419"/>
        <item m="1" x="765"/>
        <item m="1" x="1366"/>
        <item m="1" x="300"/>
        <item m="1" x="414"/>
        <item m="1" x="726"/>
        <item m="1" x="817"/>
        <item m="1" x="1246"/>
        <item m="1" x="570"/>
        <item m="1" x="1249"/>
        <item m="1" x="666"/>
        <item m="1" x="1238"/>
        <item m="1" x="1402"/>
        <item m="1" x="330"/>
        <item m="1" x="1386"/>
        <item m="1" x="277"/>
        <item m="1" x="1139"/>
        <item m="1" x="757"/>
        <item m="1" x="588"/>
        <item m="1" x="551"/>
        <item m="1" x="695"/>
        <item m="1" x="294"/>
        <item m="1" x="1379"/>
        <item m="1" x="378"/>
        <item m="1" x="399"/>
        <item m="1" x="1272"/>
        <item m="1" x="1351"/>
        <item m="1" x="865"/>
        <item m="1" x="1006"/>
        <item m="1" x="707"/>
        <item m="1" x="820"/>
        <item m="1" x="969"/>
        <item m="1" x="1086"/>
        <item m="1" x="673"/>
        <item m="1" x="949"/>
        <item m="1" x="768"/>
        <item m="1" x="1405"/>
        <item m="1" x="258"/>
        <item m="1" x="697"/>
        <item m="1" x="638"/>
        <item m="1" x="599"/>
        <item m="1" x="1393"/>
        <item m="1" x="1211"/>
        <item m="1" x="1342"/>
        <item m="1" x="355"/>
        <item m="1" x="1353"/>
        <item m="1" x="1340"/>
        <item m="1" x="1217"/>
        <item m="1" x="452"/>
        <item m="1" x="821"/>
        <item m="1" x="914"/>
        <item m="1" x="660"/>
        <item m="1" x="1258"/>
        <item m="1" x="1044"/>
        <item m="1" x="1064"/>
        <item m="1" x="958"/>
        <item m="1" x="301"/>
        <item m="1" x="1131"/>
        <item m="1" x="1293"/>
        <item m="1" x="698"/>
        <item m="1" x="1412"/>
        <item m="1" x="906"/>
        <item m="1" x="493"/>
        <item m="1" x="626"/>
        <item m="1" x="662"/>
        <item m="1" x="1321"/>
        <item m="1" x="1305"/>
        <item m="1" x="365"/>
        <item m="1" x="367"/>
        <item m="1" x="281"/>
        <item m="1" x="1241"/>
        <item m="1" x="283"/>
        <item m="1" x="700"/>
        <item m="1" x="600"/>
        <item m="1" x="1056"/>
        <item m="1" x="999"/>
        <item m="1" x="1348"/>
        <item m="1" x="1280"/>
        <item m="1" x="772"/>
        <item m="1" x="986"/>
        <item m="1" x="1221"/>
        <item m="1" x="334"/>
        <item m="1" x="766"/>
        <item m="1" x="696"/>
        <item m="1" x="1390"/>
        <item m="1" x="1357"/>
        <item m="1" x="788"/>
        <item m="1" x="394"/>
        <item m="1" x="689"/>
        <item m="1" x="862"/>
        <item m="1" x="316"/>
        <item m="1" x="1152"/>
        <item m="1" x="746"/>
        <item m="1" x="556"/>
        <item m="1" x="650"/>
        <item m="1" x="1096"/>
        <item m="1" x="1395"/>
        <item m="1" x="474"/>
        <item m="1" x="1247"/>
        <item m="1" x="468"/>
        <item m="1" x="1032"/>
        <item m="1" x="804"/>
        <item m="1" x="735"/>
        <item m="1" x="457"/>
        <item m="1" x="524"/>
        <item m="1" x="312"/>
        <item m="1" x="1112"/>
        <item m="1" x="625"/>
        <item m="1" x="349"/>
        <item m="1" x="963"/>
        <item m="1" x="1278"/>
        <item m="1" x="818"/>
        <item m="1" x="776"/>
        <item m="1" x="247"/>
        <item m="1" x="1383"/>
        <item m="1" x="633"/>
        <item m="1" x="693"/>
        <item m="1" x="1100"/>
        <item m="1" x="1377"/>
        <item m="1" x="1302"/>
        <item m="1" x="1153"/>
        <item m="1" x="1268"/>
        <item m="1" x="429"/>
        <item m="1" x="628"/>
        <item m="1" x="461"/>
        <item m="1" x="253"/>
        <item m="1" x="866"/>
        <item m="1" x="315"/>
        <item m="1" x="537"/>
        <item m="1" x="481"/>
        <item m="1" x="427"/>
        <item m="1" x="1382"/>
        <item m="1" x="478"/>
        <item m="1" x="1080"/>
        <item m="1" x="1292"/>
        <item m="1" x="418"/>
        <item m="1" x="322"/>
        <item m="1" x="1115"/>
        <item m="1" x="1091"/>
        <item m="1" x="1132"/>
        <item m="1" x="1051"/>
        <item m="1" x="395"/>
        <item m="1" x="751"/>
        <item m="1" x="1019"/>
        <item m="1" x="1269"/>
        <item m="1" x="863"/>
        <item m="1" x="981"/>
        <item m="1" x="1325"/>
        <item m="1" x="737"/>
        <item m="1" x="581"/>
        <item m="1" x="814"/>
        <item m="1" x="761"/>
        <item m="1" x="691"/>
        <item m="1" x="1208"/>
        <item m="1" x="895"/>
        <item m="1" x="991"/>
        <item m="1" x="242"/>
        <item m="1" x="787"/>
        <item m="1" x="389"/>
        <item m="1" x="656"/>
        <item m="1" x="794"/>
        <item m="1" x="324"/>
        <item m="1" x="441"/>
        <item m="1" x="896"/>
        <item m="1" x="1093"/>
        <item m="1" x="1363"/>
        <item m="1" x="1406"/>
        <item m="1" x="1016"/>
        <item m="1" x="364"/>
        <item m="1" x="292"/>
        <item m="1" x="878"/>
        <item m="1" x="500"/>
        <item m="1" x="774"/>
        <item m="1" x="402"/>
        <item m="1" x="505"/>
        <item m="1" x="932"/>
        <item m="1" x="1288"/>
        <item m="1" x="1219"/>
        <item m="1" x="635"/>
        <item m="1" x="670"/>
        <item m="1" x="946"/>
        <item m="1" x="1376"/>
        <item m="1" x="1102"/>
        <item m="1" x="268"/>
        <item m="1" x="1330"/>
        <item m="1" x="376"/>
        <item m="1" x="1022"/>
        <item m="1" x="1067"/>
        <item m="1" x="1070"/>
        <item m="1" x="1410"/>
        <item m="1" x="303"/>
        <item m="1" x="1081"/>
        <item m="1" x="1178"/>
        <item m="1" x="950"/>
        <item m="1" x="1120"/>
        <item m="1" x="362"/>
        <item m="1" x="754"/>
        <item m="1" x="601"/>
        <item m="1" x="1213"/>
        <item m="1" x="1308"/>
        <item m="1" x="837"/>
        <item m="1" x="1276"/>
        <item m="1" x="1324"/>
        <item m="1" x="677"/>
        <item m="1" x="1180"/>
        <item m="1" x="1043"/>
        <item m="1" x="1326"/>
        <item m="1" x="1370"/>
        <item m="1" x="1108"/>
        <item m="1" x="718"/>
        <item m="1" x="523"/>
        <item m="1" x="1358"/>
        <item m="1" x="905"/>
        <item m="1" x="879"/>
        <item m="1" x="888"/>
        <item m="1" x="1409"/>
        <item m="1" x="1133"/>
        <item m="1" x="828"/>
        <item m="1" x="1097"/>
        <item m="1" x="1074"/>
        <item m="1" x="690"/>
        <item m="1" x="591"/>
        <item m="1" x="1090"/>
        <item m="1" x="485"/>
        <item m="1" x="442"/>
        <item m="1" x="384"/>
        <item m="1" x="1371"/>
        <item m="1" x="987"/>
        <item m="1" x="722"/>
        <item m="1" x="803"/>
        <item m="1" x="284"/>
        <item m="1" x="1360"/>
        <item m="1" x="911"/>
        <item m="1" x="1059"/>
        <item m="1" x="507"/>
        <item m="1" x="1191"/>
        <item m="1" x="694"/>
        <item m="1" x="587"/>
        <item m="1" x="1415"/>
        <item m="1" x="717"/>
        <item m="1" x="1356"/>
        <item m="1" x="942"/>
        <item m="1" x="618"/>
        <item m="1" x="409"/>
        <item m="1" x="352"/>
        <item m="1" x="646"/>
        <item m="1" x="343"/>
        <item m="1" x="314"/>
        <item m="1" x="331"/>
        <item m="1" x="610"/>
        <item m="1" x="455"/>
        <item m="1" x="762"/>
        <item m="1" x="819"/>
        <item m="1" x="918"/>
        <item m="1" x="789"/>
        <item m="1" x="1122"/>
        <item m="1" x="1186"/>
        <item m="1" x="398"/>
        <item m="1" x="408"/>
        <item m="1" x="597"/>
        <item m="1" x="739"/>
        <item m="1" x="529"/>
        <item m="1" x="1082"/>
        <item m="1" x="832"/>
        <item m="1" x="749"/>
        <item m="1" x="882"/>
        <item m="1" x="1188"/>
        <item m="1" x="1126"/>
        <item m="1" x="1212"/>
        <item m="1" x="968"/>
        <item m="1" x="388"/>
        <item m="1" x="1394"/>
        <item m="1" x="807"/>
        <item m="1" x="422"/>
        <item m="1" x="246"/>
        <item m="1" x="1391"/>
        <item m="1" x="875"/>
        <item m="1" x="842"/>
        <item m="1" x="614"/>
        <item m="1" x="494"/>
        <item m="1" x="578"/>
        <item m="1" x="732"/>
        <item m="1" x="1307"/>
        <item m="1" x="1226"/>
        <item m="1" x="602"/>
        <item m="1" x="675"/>
        <item m="1" x="682"/>
        <item m="1" x="1220"/>
        <item m="1" x="823"/>
        <item m="1" x="295"/>
        <item m="1" x="856"/>
        <item m="1" x="1135"/>
        <item m="1" x="1261"/>
        <item m="1" x="1154"/>
        <item m="1" x="962"/>
        <item m="1" x="1260"/>
        <item m="1" x="274"/>
        <item m="1" x="1177"/>
        <item m="1" x="256"/>
        <item m="1" x="596"/>
        <item m="1" x="260"/>
        <item m="1" x="419"/>
        <item m="1" x="509"/>
        <item m="1" x="515"/>
        <item m="1" x="933"/>
        <item m="1" x="1187"/>
        <item m="1" x="714"/>
        <item m="1" x="285"/>
        <item m="1" x="491"/>
        <item m="1" x="279"/>
        <item m="1" x="1274"/>
        <item m="1" x="499"/>
        <item m="1" x="835"/>
        <item m="1" x="1294"/>
        <item m="1" x="621"/>
        <item m="1" x="563"/>
        <item m="1" x="959"/>
        <item m="1" x="516"/>
        <item m="1" x="824"/>
        <item m="1" x="1118"/>
        <item m="1" x="257"/>
        <item m="1" x="770"/>
        <item m="1" x="889"/>
        <item m="1" x="381"/>
        <item m="1" x="723"/>
        <item m="1" x="858"/>
        <item m="1" x="609"/>
        <item m="1" x="647"/>
        <item m="1" x="374"/>
        <item m="1" x="780"/>
        <item m="1" x="244"/>
        <item m="1" x="916"/>
        <item m="1" x="1309"/>
        <item m="1" x="1030"/>
        <item m="1" x="1024"/>
        <item m="1" x="923"/>
        <item m="1" x="249"/>
        <item m="1" x="1055"/>
        <item m="1" x="1098"/>
        <item m="1" x="904"/>
        <item m="1" x="248"/>
        <item m="1" x="1255"/>
        <item m="1" x="1222"/>
        <item m="1" x="252"/>
        <item m="1" x="531"/>
        <item m="1" x="921"/>
        <item m="1" x="1176"/>
        <item m="1" x="373"/>
        <item m="1" x="269"/>
        <item m="1" x="428"/>
        <item m="1" x="319"/>
        <item m="1" x="727"/>
        <item m="1" x="540"/>
        <item m="1" x="538"/>
        <item m="1" x="709"/>
        <item m="1" x="811"/>
        <item m="1" x="715"/>
        <item m="1" x="912"/>
        <item m="1" x="764"/>
        <item m="1" x="629"/>
        <item m="1" x="744"/>
        <item m="1" x="1237"/>
        <item m="1" x="1332"/>
        <item m="1" x="589"/>
        <item m="1" x="1312"/>
        <item m="1" x="354"/>
        <item m="1" x="1301"/>
        <item m="1" x="998"/>
        <item m="1" x="1169"/>
        <item m="1" x="1248"/>
        <item m="1" x="928"/>
        <item m="1" x="1140"/>
        <item m="1" x="432"/>
        <item m="1" x="415"/>
        <item m="1" x="1037"/>
        <item m="1" x="1009"/>
        <item m="1" x="571"/>
        <item m="1" x="1407"/>
        <item m="1" x="979"/>
        <item m="1" x="719"/>
        <item m="1" x="793"/>
        <item m="1" x="752"/>
        <item m="1" x="1262"/>
        <item m="1" x="1266"/>
        <item m="1" x="262"/>
        <item m="1" x="1146"/>
        <item m="1" x="1192"/>
        <item m="1" x="311"/>
        <item m="1" x="683"/>
        <item m="1" x="674"/>
        <item m="1" x="1181"/>
        <item m="1" x="880"/>
        <item m="1" x="1084"/>
        <item m="1" x="750"/>
        <item m="1" x="1101"/>
        <item m="1" x="289"/>
        <item m="1" x="412"/>
        <item m="1" x="1381"/>
        <item m="1" x="1001"/>
        <item m="1" x="1373"/>
        <item m="1" x="293"/>
        <item m="1" x="553"/>
        <item m="1" x="369"/>
        <item m="1" x="302"/>
        <item m="1" x="317"/>
        <item m="1" x="869"/>
        <item m="1" x="902"/>
        <item m="1" x="574"/>
        <item m="1" x="992"/>
        <item m="1" x="1310"/>
        <item m="1" x="661"/>
        <item m="1" x="740"/>
        <item m="1" x="890"/>
        <item m="1" x="1378"/>
        <item m="1" x="555"/>
        <item m="1" x="567"/>
        <item m="1" x="577"/>
        <item m="1" x="1198"/>
        <item m="1" x="1334"/>
        <item m="1" x="251"/>
        <item m="1" x="1078"/>
        <item m="1" x="1374"/>
        <item m="1" x="475"/>
        <item m="1" x="790"/>
        <item m="1" x="1411"/>
        <item m="1" x="1317"/>
        <item m="1" x="464"/>
        <item m="1" x="576"/>
        <item m="1" x="663"/>
        <item m="1" x="988"/>
        <item m="1" x="1185"/>
        <item m="1" x="420"/>
        <item m="1" x="891"/>
        <item m="1" x="416"/>
        <item m="1" x="385"/>
        <item m="1" x="333"/>
        <item m="1" x="1304"/>
        <item m="1" x="897"/>
        <item m="1" x="1345"/>
        <item m="1" x="738"/>
        <item m="1" x="1362"/>
        <item m="1" x="1114"/>
        <item m="1" x="403"/>
        <item m="1" x="1218"/>
        <item m="1" x="1232"/>
        <item m="1" x="892"/>
        <item m="1" x="1267"/>
        <item m="1" x="1105"/>
        <item m="1" x="970"/>
        <item m="1" x="287"/>
        <item m="1" x="1116"/>
        <item m="1" x="848"/>
        <item m="1" x="781"/>
        <item m="1" x="1124"/>
        <item m="1" x="708"/>
        <item m="1" x="342"/>
        <item m="1" x="514"/>
        <item m="1" x="291"/>
        <item m="1" x="640"/>
        <item m="1" x="1018"/>
        <item m="1" x="603"/>
        <item m="1" x="466"/>
        <item m="1" x="681"/>
        <item m="1" x="359"/>
        <item m="1" x="611"/>
        <item m="1" x="482"/>
        <item m="1" x="833"/>
        <item m="1" x="1420"/>
        <item m="1" x="874"/>
        <item m="1" x="470"/>
        <item m="1" x="747"/>
        <item m="1" x="453"/>
        <item m="1" x="506"/>
        <item m="1" x="798"/>
        <item m="1" x="1066"/>
        <item m="1" x="783"/>
        <item m="1" x="1233"/>
        <item m="1" x="795"/>
        <item m="1" x="1029"/>
        <item m="1" x="344"/>
        <item m="1" x="827"/>
        <item m="1" x="467"/>
        <item m="1" x="397"/>
        <item m="1" x="1123"/>
        <item m="1" x="438"/>
        <item m="1" x="1147"/>
        <item m="1" x="339"/>
        <item m="1" x="964"/>
        <item m="1" x="971"/>
        <item m="1" x="375"/>
        <item m="1" x="893"/>
        <item m="1" x="271"/>
        <item m="1" x="1094"/>
        <item m="1" x="799"/>
        <item m="1" x="1020"/>
        <item m="1" x="989"/>
        <item m="1" x="1209"/>
        <item m="1" x="982"/>
        <item m="1" x="560"/>
        <item m="1" x="1061"/>
        <item m="1" x="1195"/>
        <item m="1" x="885"/>
        <item m="1" x="1017"/>
        <item m="1" x="350"/>
        <item m="1" x="1183"/>
        <item m="1" x="840"/>
        <item m="1" x="705"/>
        <item m="1" x="1089"/>
        <item m="1" x="615"/>
        <item m="1" x="938"/>
        <item m="1" x="472"/>
        <item m="1" x="568"/>
        <item m="1" x="965"/>
        <item m="1" x="734"/>
        <item m="1" x="278"/>
        <item m="1" x="612"/>
        <item m="1" x="1092"/>
        <item m="1" x="1194"/>
        <item m="1" x="297"/>
        <item m="1" x="582"/>
        <item m="1" x="517"/>
        <item m="1" x="850"/>
        <item m="1" x="943"/>
        <item m="1" x="383"/>
        <item m="1" x="1365"/>
        <item m="1" x="348"/>
        <item m="1" x="421"/>
        <item m="1" x="1202"/>
        <item m="1" x="710"/>
        <item m="1" x="724"/>
        <item m="1" x="778"/>
        <item m="1" x="353"/>
        <item m="1" x="632"/>
        <item m="1" x="1027"/>
        <item m="1" x="939"/>
        <item m="1" x="729"/>
        <item m="1" x="676"/>
        <item m="1" x="306"/>
        <item m="1" x="544"/>
        <item m="1" x="1008"/>
        <item m="1" x="642"/>
        <item m="1" x="805"/>
        <item m="1" x="742"/>
        <item m="1" x="924"/>
        <item m="1" x="288"/>
        <item m="1" x="769"/>
        <item m="1" x="443"/>
        <item m="1" x="846"/>
        <item m="1" x="972"/>
        <item m="1" x="1048"/>
        <item m="1" x="983"/>
        <item m="1" x="944"/>
        <item m="1" x="870"/>
        <item m="1" x="1281"/>
        <item m="1" x="1173"/>
        <item m="1" x="424"/>
        <item m="1" x="1165"/>
        <item m="1" x="619"/>
        <item m="1" x="929"/>
        <item m="1" x="335"/>
        <item m="1" x="908"/>
        <item m="1" x="775"/>
        <item m="1" x="1207"/>
        <item m="1" x="361"/>
        <item m="1" x="1418"/>
        <item m="1" x="400"/>
        <item m="1" x="340"/>
        <item m="1" x="910"/>
        <item m="1" x="1110"/>
        <item m="1" x="1013"/>
        <item m="1" x="299"/>
        <item m="1" x="451"/>
        <item m="1" x="1239"/>
        <item m="1" x="1179"/>
        <item m="1" x="434"/>
        <item m="1" x="407"/>
        <item m="1" x="702"/>
        <item m="1" x="323"/>
        <item m="1" x="930"/>
        <item m="1" x="363"/>
        <item m="1" x="533"/>
        <item m="1" x="830"/>
        <item m="1" x="1361"/>
        <item m="1" x="401"/>
        <item m="1" x="671"/>
        <item m="1" x="518"/>
        <item m="1" x="680"/>
        <item m="1" x="1234"/>
        <item m="1" x="1117"/>
        <item m="1" x="579"/>
        <item m="1" x="332"/>
        <item m="1" x="1282"/>
        <item m="1" x="445"/>
        <item m="1" x="1227"/>
        <item m="1" x="784"/>
        <item m="1" x="1168"/>
        <item m="1" x="527"/>
        <item m="1" x="699"/>
        <item m="1" x="1184"/>
        <item m="1" x="1372"/>
        <item m="1" x="1148"/>
        <item m="1" x="547"/>
        <item m="1" x="490"/>
        <item m="1" x="1193"/>
        <item m="1" x="957"/>
        <item m="1" x="801"/>
        <item m="1" x="1225"/>
        <item m="1" x="273"/>
        <item m="1" x="270"/>
        <item m="1" x="945"/>
        <item m="1" x="1085"/>
        <item m="1" x="1040"/>
        <item m="1" x="1223"/>
        <item m="1" x="748"/>
        <item m="1" x="495"/>
        <item m="1" x="569"/>
        <item m="1" x="1099"/>
        <item m="1" x="651"/>
        <item m="1" x="881"/>
        <item m="1" x="1296"/>
        <item m="1" x="534"/>
        <item m="1" x="871"/>
        <item m="1" x="255"/>
        <item m="1" x="58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37"/>
        <item x="238"/>
        <item m="1" x="572"/>
        <item m="1" x="1333"/>
        <item m="1" x="275"/>
        <item m="1" x="2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412"/>
    </i>
    <i r="2">
      <x v="8"/>
    </i>
    <i r="1">
      <x v="1414"/>
    </i>
    <i r="2">
      <x v="8"/>
    </i>
    <i r="1">
      <x v="1415"/>
    </i>
    <i r="2">
      <x v="8"/>
    </i>
    <i r="1">
      <x v="1416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60" totalsRowShown="0" totalsRowDxfId="23">
  <autoFilter ref="A1:C116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28" totalsRowShown="0">
  <autoFilter ref="A1:S2228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1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87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8" sqref="D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1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87">
        <v>13</v>
      </c>
      <c r="C5"/>
      <c r="D5"/>
      <c r="E5"/>
    </row>
    <row r="6" spans="1:6">
      <c r="A6" s="67" t="s">
        <v>4119</v>
      </c>
      <c r="B6" s="87">
        <v>1</v>
      </c>
      <c r="C6"/>
      <c r="D6"/>
      <c r="E6"/>
    </row>
    <row r="7" spans="1:6">
      <c r="A7" s="68" t="s">
        <v>370</v>
      </c>
      <c r="B7" s="87">
        <v>1</v>
      </c>
      <c r="C7"/>
      <c r="D7"/>
      <c r="E7"/>
    </row>
    <row r="8" spans="1:6">
      <c r="A8" s="67" t="s">
        <v>4095</v>
      </c>
      <c r="B8" s="87">
        <v>6</v>
      </c>
      <c r="C8" s="56"/>
      <c r="D8"/>
      <c r="E8"/>
    </row>
    <row r="9" spans="1:6">
      <c r="A9" s="68" t="s">
        <v>370</v>
      </c>
      <c r="B9" s="87">
        <v>6</v>
      </c>
      <c r="C9"/>
      <c r="D9"/>
    </row>
    <row r="10" spans="1:6">
      <c r="A10" s="67" t="s">
        <v>4105</v>
      </c>
      <c r="B10" s="87">
        <v>5</v>
      </c>
      <c r="C10" s="53"/>
      <c r="D10"/>
    </row>
    <row r="11" spans="1:6">
      <c r="A11" s="68" t="s">
        <v>370</v>
      </c>
      <c r="B11" s="87">
        <v>5</v>
      </c>
      <c r="C11"/>
      <c r="D11"/>
    </row>
    <row r="12" spans="1:6">
      <c r="A12" s="67" t="s">
        <v>4118</v>
      </c>
      <c r="B12" s="87">
        <v>1</v>
      </c>
      <c r="C12"/>
      <c r="D12"/>
    </row>
    <row r="13" spans="1:6">
      <c r="A13" s="68" t="s">
        <v>375</v>
      </c>
      <c r="B13" s="87">
        <v>1</v>
      </c>
      <c r="C13"/>
      <c r="D13"/>
    </row>
    <row r="14" spans="1:6">
      <c r="A14" s="17" t="s">
        <v>381</v>
      </c>
      <c r="B14" s="87">
        <v>13</v>
      </c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60"/>
  <sheetViews>
    <sheetView topLeftCell="A1142" workbookViewId="0">
      <selection activeCell="C1159" sqref="C1159:C116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28"/>
  <sheetViews>
    <sheetView tabSelected="1" topLeftCell="A1812" zoomScale="85" zoomScaleNormal="85" workbookViewId="0">
      <selection activeCell="I1826" sqref="I182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115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90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90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90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90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90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90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90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90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90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90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90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86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83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83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83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83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83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83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83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83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83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83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83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83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83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83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83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83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83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83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83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83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83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83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83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83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83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83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83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83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83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83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83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83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83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83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83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83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83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83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83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83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83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82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82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82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82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82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82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82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82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82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82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82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82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82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82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82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82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82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82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82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82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82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82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82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82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82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82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82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82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82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82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82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82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82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82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82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82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82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82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82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82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82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82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82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82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82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82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82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82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82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82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82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82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82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82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82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82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82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82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82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81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81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81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81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81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80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80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78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78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77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74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74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74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74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74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74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74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74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74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74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74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74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74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74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74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74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74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74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74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74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74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73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73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73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73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73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68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68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68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63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63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63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63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63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63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63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63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63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63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63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63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63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63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63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63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63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63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59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59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59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54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53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53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53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53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53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53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53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53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53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53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53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53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39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39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38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38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38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28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10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10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9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9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9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9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9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9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9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9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9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9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9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9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9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9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9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9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9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9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9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9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9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9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9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9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9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9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9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9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9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9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8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8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4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4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on track</v>
      </c>
      <c r="Q1644" s="3">
        <f ca="1">IF(Proc[[#This Row],[DateClosed]]="",ABS(NETWORKDAYS(Proc[[#This Row],[DateOpened]],TODAY()))-1,ABS(NETWORKDAYS(Proc[[#This Row],[DateOpened]],Proc[[#This Row],[DateClosed]]))-1)</f>
        <v>4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on track</v>
      </c>
      <c r="Q1645" s="3">
        <f ca="1">IF(Proc[[#This Row],[DateClosed]]="",ABS(NETWORKDAYS(Proc[[#This Row],[DateOpened]],TODAY()))-1,ABS(NETWORKDAYS(Proc[[#This Row],[DateOpened]],Proc[[#This Row],[DateClosed]]))-1)</f>
        <v>4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on track</v>
      </c>
      <c r="Q1646" s="3">
        <f ca="1">IF(Proc[[#This Row],[DateClosed]]="",ABS(NETWORKDAYS(Proc[[#This Row],[DateOpened]],TODAY()))-1,ABS(NETWORKDAYS(Proc[[#This Row],[DateOpened]],Proc[[#This Row],[DateClosed]]))-1)</f>
        <v>4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on track</v>
      </c>
      <c r="Q1647" s="3">
        <f ca="1">IF(Proc[[#This Row],[DateClosed]]="",ABS(NETWORKDAYS(Proc[[#This Row],[DateOpened]],TODAY()))-1,ABS(NETWORKDAYS(Proc[[#This Row],[DateOpened]],Proc[[#This Row],[DateClosed]]))-1)</f>
        <v>4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on track</v>
      </c>
      <c r="Q1648" s="3">
        <f ca="1">IF(Proc[[#This Row],[DateClosed]]="",ABS(NETWORKDAYS(Proc[[#This Row],[DateOpened]],TODAY()))-1,ABS(NETWORKDAYS(Proc[[#This Row],[DateOpened]],Proc[[#This Row],[DateClosed]]))-1)</f>
        <v>4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on track</v>
      </c>
      <c r="Q1649" s="3">
        <f ca="1">IF(Proc[[#This Row],[DateClosed]]="",ABS(NETWORKDAYS(Proc[[#This Row],[DateOpened]],TODAY()))-1,ABS(NETWORKDAYS(Proc[[#This Row],[DateOpened]],Proc[[#This Row],[DateClosed]]))-1)</f>
        <v>4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on track</v>
      </c>
      <c r="Q1650" s="3">
        <f ca="1">IF(Proc[[#This Row],[DateClosed]]="",ABS(NETWORKDAYS(Proc[[#This Row],[DateOpened]],TODAY()))-1,ABS(NETWORKDAYS(Proc[[#This Row],[DateOpened]],Proc[[#This Row],[DateClosed]]))-1)</f>
        <v>4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on track</v>
      </c>
      <c r="Q1651" s="3">
        <f ca="1">IF(Proc[[#This Row],[DateClosed]]="",ABS(NETWORKDAYS(Proc[[#This Row],[DateOpened]],TODAY()))-1,ABS(NETWORKDAYS(Proc[[#This Row],[DateOpened]],Proc[[#This Row],[DateClosed]]))-1)</f>
        <v>4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on track</v>
      </c>
      <c r="Q1652" s="3">
        <f ca="1">IF(Proc[[#This Row],[DateClosed]]="",ABS(NETWORKDAYS(Proc[[#This Row],[DateOpened]],TODAY()))-1,ABS(NETWORKDAYS(Proc[[#This Row],[DateOpened]],Proc[[#This Row],[DateClosed]]))-1)</f>
        <v>4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on track</v>
      </c>
      <c r="Q1653" s="3">
        <f ca="1">IF(Proc[[#This Row],[DateClosed]]="",ABS(NETWORKDAYS(Proc[[#This Row],[DateOpened]],TODAY()))-1,ABS(NETWORKDAYS(Proc[[#This Row],[DateOpened]],Proc[[#This Row],[DateClosed]]))-1)</f>
        <v>4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on track</v>
      </c>
      <c r="Q1654" s="3">
        <f ca="1">IF(Proc[[#This Row],[DateClosed]]="",ABS(NETWORKDAYS(Proc[[#This Row],[DateOpened]],TODAY()))-1,ABS(NETWORKDAYS(Proc[[#This Row],[DateOpened]],Proc[[#This Row],[DateClosed]]))-1)</f>
        <v>4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on track</v>
      </c>
      <c r="Q1655" s="3">
        <f ca="1">IF(Proc[[#This Row],[DateClosed]]="",ABS(NETWORKDAYS(Proc[[#This Row],[DateOpened]],TODAY()))-1,ABS(NETWORKDAYS(Proc[[#This Row],[DateOpened]],Proc[[#This Row],[DateClosed]]))-1)</f>
        <v>4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on track</v>
      </c>
      <c r="Q1656" s="3">
        <f ca="1">IF(Proc[[#This Row],[DateClosed]]="",ABS(NETWORKDAYS(Proc[[#This Row],[DateOpened]],TODAY()))-1,ABS(NETWORKDAYS(Proc[[#This Row],[DateOpened]],Proc[[#This Row],[DateClosed]]))-1)</f>
        <v>4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on track</v>
      </c>
      <c r="Q1657" s="3">
        <f ca="1">IF(Proc[[#This Row],[DateClosed]]="",ABS(NETWORKDAYS(Proc[[#This Row],[DateOpened]],TODAY()))-1,ABS(NETWORKDAYS(Proc[[#This Row],[DateOpened]],Proc[[#This Row],[DateClosed]]))-1)</f>
        <v>4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on track</v>
      </c>
      <c r="Q1658" s="3">
        <f ca="1">IF(Proc[[#This Row],[DateClosed]]="",ABS(NETWORKDAYS(Proc[[#This Row],[DateOpened]],TODAY()))-1,ABS(NETWORKDAYS(Proc[[#This Row],[DateOpened]],Proc[[#This Row],[DateClosed]]))-1)</f>
        <v>4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on track</v>
      </c>
      <c r="Q1659" s="3">
        <f ca="1">IF(Proc[[#This Row],[DateClosed]]="",ABS(NETWORKDAYS(Proc[[#This Row],[DateOpened]],TODAY()))-1,ABS(NETWORKDAYS(Proc[[#This Row],[DateOpened]],Proc[[#This Row],[DateClosed]]))-1)</f>
        <v>4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on track</v>
      </c>
      <c r="Q1660" s="3">
        <f ca="1">IF(Proc[[#This Row],[DateClosed]]="",ABS(NETWORKDAYS(Proc[[#This Row],[DateOpened]],TODAY()))-1,ABS(NETWORKDAYS(Proc[[#This Row],[DateOpened]],Proc[[#This Row],[DateClosed]]))-1)</f>
        <v>4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on track</v>
      </c>
      <c r="Q1661" s="3">
        <f ca="1">IF(Proc[[#This Row],[DateClosed]]="",ABS(NETWORKDAYS(Proc[[#This Row],[DateOpened]],TODAY()))-1,ABS(NETWORKDAYS(Proc[[#This Row],[DateOpened]],Proc[[#This Row],[DateClosed]]))-1)</f>
        <v>4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on track</v>
      </c>
      <c r="Q1662" s="3">
        <f ca="1">IF(Proc[[#This Row],[DateClosed]]="",ABS(NETWORKDAYS(Proc[[#This Row],[DateOpened]],TODAY()))-1,ABS(NETWORKDAYS(Proc[[#This Row],[DateOpened]],Proc[[#This Row],[DateClosed]]))-1)</f>
        <v>4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on track</v>
      </c>
      <c r="Q1663" s="3">
        <f ca="1">IF(Proc[[#This Row],[DateClosed]]="",ABS(NETWORKDAYS(Proc[[#This Row],[DateOpened]],TODAY()))-1,ABS(NETWORKDAYS(Proc[[#This Row],[DateOpened]],Proc[[#This Row],[DateClosed]]))-1)</f>
        <v>4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on track</v>
      </c>
      <c r="Q1664" s="3">
        <f ca="1">IF(Proc[[#This Row],[DateClosed]]="",ABS(NETWORKDAYS(Proc[[#This Row],[DateOpened]],TODAY()))-1,ABS(NETWORKDAYS(Proc[[#This Row],[DateOpened]],Proc[[#This Row],[DateClosed]]))-1)</f>
        <v>4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on track</v>
      </c>
      <c r="Q1665" s="3">
        <f ca="1">IF(Proc[[#This Row],[DateClosed]]="",ABS(NETWORKDAYS(Proc[[#This Row],[DateOpened]],TODAY()))-1,ABS(NETWORKDAYS(Proc[[#This Row],[DateOpened]],Proc[[#This Row],[DateClosed]]))-1)</f>
        <v>4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on track</v>
      </c>
      <c r="Q1666" s="3">
        <f ca="1">IF(Proc[[#This Row],[DateClosed]]="",ABS(NETWORKDAYS(Proc[[#This Row],[DateOpened]],TODAY()))-1,ABS(NETWORKDAYS(Proc[[#This Row],[DateOpened]],Proc[[#This Row],[DateClosed]]))-1)</f>
        <v>4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4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4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on track</v>
      </c>
      <c r="Q1693" s="3">
        <f ca="1">IF(Proc[[#This Row],[DateClosed]]="",ABS(NETWORKDAYS(Proc[[#This Row],[DateOpened]],TODAY()))-1,ABS(NETWORKDAYS(Proc[[#This Row],[DateOpened]],Proc[[#This Row],[DateClosed]]))-1)</f>
        <v>4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on track</v>
      </c>
      <c r="Q1694" s="3">
        <f ca="1">IF(Proc[[#This Row],[DateClosed]]="",ABS(NETWORKDAYS(Proc[[#This Row],[DateOpened]],TODAY()))-1,ABS(NETWORKDAYS(Proc[[#This Row],[DateOpened]],Proc[[#This Row],[DateClosed]]))-1)</f>
        <v>4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on track</v>
      </c>
      <c r="Q1695" s="3">
        <f ca="1">IF(Proc[[#This Row],[DateClosed]]="",ABS(NETWORKDAYS(Proc[[#This Row],[DateOpened]],TODAY()))-1,ABS(NETWORKDAYS(Proc[[#This Row],[DateOpened]],Proc[[#This Row],[DateClosed]]))-1)</f>
        <v>4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on track</v>
      </c>
      <c r="Q1696" s="3">
        <f ca="1">IF(Proc[[#This Row],[DateClosed]]="",ABS(NETWORKDAYS(Proc[[#This Row],[DateOpened]],TODAY()))-1,ABS(NETWORKDAYS(Proc[[#This Row],[DateOpened]],Proc[[#This Row],[DateClosed]]))-1)</f>
        <v>4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on track</v>
      </c>
      <c r="Q1697" s="3">
        <f ca="1">IF(Proc[[#This Row],[DateClosed]]="",ABS(NETWORKDAYS(Proc[[#This Row],[DateOpened]],TODAY()))-1,ABS(NETWORKDAYS(Proc[[#This Row],[DateOpened]],Proc[[#This Row],[DateClosed]]))-1)</f>
        <v>4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on track</v>
      </c>
      <c r="Q1698" s="3">
        <f ca="1">IF(Proc[[#This Row],[DateClosed]]="",ABS(NETWORKDAYS(Proc[[#This Row],[DateOpened]],TODAY()))-1,ABS(NETWORKDAYS(Proc[[#This Row],[DateOpened]],Proc[[#This Row],[DateClosed]]))-1)</f>
        <v>4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on track</v>
      </c>
      <c r="Q1699" s="3">
        <f ca="1">IF(Proc[[#This Row],[DateClosed]]="",ABS(NETWORKDAYS(Proc[[#This Row],[DateOpened]],TODAY()))-1,ABS(NETWORKDAYS(Proc[[#This Row],[DateOpened]],Proc[[#This Row],[DateClosed]]))-1)</f>
        <v>4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on track</v>
      </c>
      <c r="Q1700" s="3">
        <f ca="1">IF(Proc[[#This Row],[DateClosed]]="",ABS(NETWORKDAYS(Proc[[#This Row],[DateOpened]],TODAY()))-1,ABS(NETWORKDAYS(Proc[[#This Row],[DateOpened]],Proc[[#This Row],[DateClosed]]))-1)</f>
        <v>4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on track</v>
      </c>
      <c r="Q1701" s="3">
        <f ca="1">IF(Proc[[#This Row],[DateClosed]]="",ABS(NETWORKDAYS(Proc[[#This Row],[DateOpened]],TODAY()))-1,ABS(NETWORKDAYS(Proc[[#This Row],[DateOpened]],Proc[[#This Row],[DateClosed]]))-1)</f>
        <v>4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on track</v>
      </c>
      <c r="Q1702" s="3">
        <f ca="1">IF(Proc[[#This Row],[DateClosed]]="",ABS(NETWORKDAYS(Proc[[#This Row],[DateOpened]],TODAY()))-1,ABS(NETWORKDAYS(Proc[[#This Row],[DateOpened]],Proc[[#This Row],[DateClosed]]))-1)</f>
        <v>4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on track</v>
      </c>
      <c r="Q1703" s="3">
        <f ca="1">IF(Proc[[#This Row],[DateClosed]]="",ABS(NETWORKDAYS(Proc[[#This Row],[DateOpened]],TODAY()))-1,ABS(NETWORKDAYS(Proc[[#This Row],[DateOpened]],Proc[[#This Row],[DateClosed]]))-1)</f>
        <v>4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on track</v>
      </c>
      <c r="Q1704" s="3">
        <f ca="1">IF(Proc[[#This Row],[DateClosed]]="",ABS(NETWORKDAYS(Proc[[#This Row],[DateOpened]],TODAY()))-1,ABS(NETWORKDAYS(Proc[[#This Row],[DateOpened]],Proc[[#This Row],[DateClosed]]))-1)</f>
        <v>4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on track</v>
      </c>
      <c r="Q1705" s="3">
        <f ca="1">IF(Proc[[#This Row],[DateClosed]]="",ABS(NETWORKDAYS(Proc[[#This Row],[DateOpened]],TODAY()))-1,ABS(NETWORKDAYS(Proc[[#This Row],[DateOpened]],Proc[[#This Row],[DateClosed]]))-1)</f>
        <v>4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on track</v>
      </c>
      <c r="Q1706" s="3">
        <f ca="1">IF(Proc[[#This Row],[DateClosed]]="",ABS(NETWORKDAYS(Proc[[#This Row],[DateOpened]],TODAY()))-1,ABS(NETWORKDAYS(Proc[[#This Row],[DateOpened]],Proc[[#This Row],[DateClosed]]))-1)</f>
        <v>4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on track</v>
      </c>
      <c r="Q1707" s="3">
        <f ca="1">IF(Proc[[#This Row],[DateClosed]]="",ABS(NETWORKDAYS(Proc[[#This Row],[DateOpened]],TODAY()))-1,ABS(NETWORKDAYS(Proc[[#This Row],[DateOpened]],Proc[[#This Row],[DateClosed]]))-1)</f>
        <v>4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on track</v>
      </c>
      <c r="Q1708" s="3">
        <f ca="1">IF(Proc[[#This Row],[DateClosed]]="",ABS(NETWORKDAYS(Proc[[#This Row],[DateOpened]],TODAY()))-1,ABS(NETWORKDAYS(Proc[[#This Row],[DateOpened]],Proc[[#This Row],[DateClosed]]))-1)</f>
        <v>4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on track</v>
      </c>
      <c r="Q1709" s="3">
        <f ca="1">IF(Proc[[#This Row],[DateClosed]]="",ABS(NETWORKDAYS(Proc[[#This Row],[DateOpened]],TODAY()))-1,ABS(NETWORKDAYS(Proc[[#This Row],[DateOpened]],Proc[[#This Row],[DateClosed]]))-1)</f>
        <v>4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on track</v>
      </c>
      <c r="Q1710" s="3">
        <f ca="1">IF(Proc[[#This Row],[DateClosed]]="",ABS(NETWORKDAYS(Proc[[#This Row],[DateOpened]],TODAY()))-1,ABS(NETWORKDAYS(Proc[[#This Row],[DateOpened]],Proc[[#This Row],[DateClosed]]))-1)</f>
        <v>4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on track</v>
      </c>
      <c r="Q1711" s="3">
        <f ca="1">IF(Proc[[#This Row],[DateClosed]]="",ABS(NETWORKDAYS(Proc[[#This Row],[DateOpened]],TODAY()))-1,ABS(NETWORKDAYS(Proc[[#This Row],[DateOpened]],Proc[[#This Row],[DateClosed]]))-1)</f>
        <v>4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on track</v>
      </c>
      <c r="Q1712" s="3">
        <f ca="1">IF(Proc[[#This Row],[DateClosed]]="",ABS(NETWORKDAYS(Proc[[#This Row],[DateOpened]],TODAY()))-1,ABS(NETWORKDAYS(Proc[[#This Row],[DateOpened]],Proc[[#This Row],[DateClosed]]))-1)</f>
        <v>4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on track</v>
      </c>
      <c r="Q1713" s="3">
        <f ca="1">IF(Proc[[#This Row],[DateClosed]]="",ABS(NETWORKDAYS(Proc[[#This Row],[DateOpened]],TODAY()))-1,ABS(NETWORKDAYS(Proc[[#This Row],[DateOpened]],Proc[[#This Row],[DateClosed]]))-1)</f>
        <v>4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on track</v>
      </c>
      <c r="Q1714" s="3">
        <f ca="1">IF(Proc[[#This Row],[DateClosed]]="",ABS(NETWORKDAYS(Proc[[#This Row],[DateOpened]],TODAY()))-1,ABS(NETWORKDAYS(Proc[[#This Row],[DateOpened]],Proc[[#This Row],[DateClosed]]))-1)</f>
        <v>4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on track</v>
      </c>
      <c r="Q1715" s="3">
        <f ca="1">IF(Proc[[#This Row],[DateClosed]]="",ABS(NETWORKDAYS(Proc[[#This Row],[DateOpened]],TODAY()))-1,ABS(NETWORKDAYS(Proc[[#This Row],[DateOpened]],Proc[[#This Row],[DateClosed]]))-1)</f>
        <v>4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on track</v>
      </c>
      <c r="Q1716" s="3">
        <f ca="1">IF(Proc[[#This Row],[DateClosed]]="",ABS(NETWORKDAYS(Proc[[#This Row],[DateOpened]],TODAY()))-1,ABS(NETWORKDAYS(Proc[[#This Row],[DateOpened]],Proc[[#This Row],[DateClosed]]))-1)</f>
        <v>4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on track</v>
      </c>
      <c r="Q1717" s="3">
        <f ca="1">IF(Proc[[#This Row],[DateClosed]]="",ABS(NETWORKDAYS(Proc[[#This Row],[DateOpened]],TODAY()))-1,ABS(NETWORKDAYS(Proc[[#This Row],[DateOpened]],Proc[[#This Row],[DateClosed]]))-1)</f>
        <v>4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on track</v>
      </c>
      <c r="Q1718" s="3">
        <f ca="1">IF(Proc[[#This Row],[DateClosed]]="",ABS(NETWORKDAYS(Proc[[#This Row],[DateOpened]],TODAY()))-1,ABS(NETWORKDAYS(Proc[[#This Row],[DateOpened]],Proc[[#This Row],[DateClosed]]))-1)</f>
        <v>4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on track</v>
      </c>
      <c r="Q1719" s="3">
        <f ca="1">IF(Proc[[#This Row],[DateClosed]]="",ABS(NETWORKDAYS(Proc[[#This Row],[DateOpened]],TODAY()))-1,ABS(NETWORKDAYS(Proc[[#This Row],[DateOpened]],Proc[[#This Row],[DateClosed]]))-1)</f>
        <v>4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on track</v>
      </c>
      <c r="Q1720" s="3">
        <f ca="1">IF(Proc[[#This Row],[DateClosed]]="",ABS(NETWORKDAYS(Proc[[#This Row],[DateOpened]],TODAY()))-1,ABS(NETWORKDAYS(Proc[[#This Row],[DateOpened]],Proc[[#This Row],[DateClosed]]))-1)</f>
        <v>4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on track</v>
      </c>
      <c r="Q1721" s="3">
        <f ca="1">IF(Proc[[#This Row],[DateClosed]]="",ABS(NETWORKDAYS(Proc[[#This Row],[DateOpened]],TODAY()))-1,ABS(NETWORKDAYS(Proc[[#This Row],[DateOpened]],Proc[[#This Row],[DateClosed]]))-1)</f>
        <v>4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on track</v>
      </c>
      <c r="Q1722" s="3">
        <f ca="1">IF(Proc[[#This Row],[DateClosed]]="",ABS(NETWORKDAYS(Proc[[#This Row],[DateOpened]],TODAY()))-1,ABS(NETWORKDAYS(Proc[[#This Row],[DateOpened]],Proc[[#This Row],[DateClosed]]))-1)</f>
        <v>4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on track</v>
      </c>
      <c r="Q1723" s="3">
        <f ca="1">IF(Proc[[#This Row],[DateClosed]]="",ABS(NETWORKDAYS(Proc[[#This Row],[DateOpened]],TODAY()))-1,ABS(NETWORKDAYS(Proc[[#This Row],[DateOpened]],Proc[[#This Row],[DateClosed]]))-1)</f>
        <v>4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on track</v>
      </c>
      <c r="Q1724" s="3">
        <f ca="1">IF(Proc[[#This Row],[DateClosed]]="",ABS(NETWORKDAYS(Proc[[#This Row],[DateOpened]],TODAY()))-1,ABS(NETWORKDAYS(Proc[[#This Row],[DateOpened]],Proc[[#This Row],[DateClosed]]))-1)</f>
        <v>4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on track</v>
      </c>
      <c r="Q1725" s="3">
        <f ca="1">IF(Proc[[#This Row],[DateClosed]]="",ABS(NETWORKDAYS(Proc[[#This Row],[DateOpened]],TODAY()))-1,ABS(NETWORKDAYS(Proc[[#This Row],[DateOpened]],Proc[[#This Row],[DateClosed]]))-1)</f>
        <v>4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on track</v>
      </c>
      <c r="Q1726" s="3">
        <f ca="1">IF(Proc[[#This Row],[DateClosed]]="",ABS(NETWORKDAYS(Proc[[#This Row],[DateOpened]],TODAY()))-1,ABS(NETWORKDAYS(Proc[[#This Row],[DateOpened]],Proc[[#This Row],[DateClosed]]))-1)</f>
        <v>4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on track</v>
      </c>
      <c r="Q1727" s="3">
        <f ca="1">IF(Proc[[#This Row],[DateClosed]]="",ABS(NETWORKDAYS(Proc[[#This Row],[DateOpened]],TODAY()))-1,ABS(NETWORKDAYS(Proc[[#This Row],[DateOpened]],Proc[[#This Row],[DateClosed]]))-1)</f>
        <v>4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on track</v>
      </c>
      <c r="Q1728" s="3">
        <f ca="1">IF(Proc[[#This Row],[DateClosed]]="",ABS(NETWORKDAYS(Proc[[#This Row],[DateOpened]],TODAY()))-1,ABS(NETWORKDAYS(Proc[[#This Row],[DateOpened]],Proc[[#This Row],[DateClosed]]))-1)</f>
        <v>4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on track</v>
      </c>
      <c r="Q1729" s="3">
        <f ca="1">IF(Proc[[#This Row],[DateClosed]]="",ABS(NETWORKDAYS(Proc[[#This Row],[DateOpened]],TODAY()))-1,ABS(NETWORKDAYS(Proc[[#This Row],[DateOpened]],Proc[[#This Row],[DateClosed]]))-1)</f>
        <v>4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on track</v>
      </c>
      <c r="Q1730" s="3">
        <f ca="1">IF(Proc[[#This Row],[DateClosed]]="",ABS(NETWORKDAYS(Proc[[#This Row],[DateOpened]],TODAY()))-1,ABS(NETWORKDAYS(Proc[[#This Row],[DateOpened]],Proc[[#This Row],[DateClosed]]))-1)</f>
        <v>4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on track</v>
      </c>
      <c r="Q1731" s="3">
        <f ca="1">IF(Proc[[#This Row],[DateClosed]]="",ABS(NETWORKDAYS(Proc[[#This Row],[DateOpened]],TODAY()))-1,ABS(NETWORKDAYS(Proc[[#This Row],[DateOpened]],Proc[[#This Row],[DateClosed]]))-1)</f>
        <v>4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on track</v>
      </c>
      <c r="Q1732" s="3">
        <f ca="1">IF(Proc[[#This Row],[DateClosed]]="",ABS(NETWORKDAYS(Proc[[#This Row],[DateOpened]],TODAY()))-1,ABS(NETWORKDAYS(Proc[[#This Row],[DateOpened]],Proc[[#This Row],[DateClosed]]))-1)</f>
        <v>4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on track</v>
      </c>
      <c r="Q1733" s="3">
        <f ca="1">IF(Proc[[#This Row],[DateClosed]]="",ABS(NETWORKDAYS(Proc[[#This Row],[DateOpened]],TODAY()))-1,ABS(NETWORKDAYS(Proc[[#This Row],[DateOpened]],Proc[[#This Row],[DateClosed]]))-1)</f>
        <v>4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on track</v>
      </c>
      <c r="Q1734" s="3">
        <f ca="1">IF(Proc[[#This Row],[DateClosed]]="",ABS(NETWORKDAYS(Proc[[#This Row],[DateOpened]],TODAY()))-1,ABS(NETWORKDAYS(Proc[[#This Row],[DateOpened]],Proc[[#This Row],[DateClosed]]))-1)</f>
        <v>4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on track</v>
      </c>
      <c r="Q1735" s="3">
        <f ca="1">IF(Proc[[#This Row],[DateClosed]]="",ABS(NETWORKDAYS(Proc[[#This Row],[DateOpened]],TODAY()))-1,ABS(NETWORKDAYS(Proc[[#This Row],[DateOpened]],Proc[[#This Row],[DateClosed]]))-1)</f>
        <v>4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on track</v>
      </c>
      <c r="Q1736" s="3">
        <f ca="1">IF(Proc[[#This Row],[DateClosed]]="",ABS(NETWORKDAYS(Proc[[#This Row],[DateOpened]],TODAY()))-1,ABS(NETWORKDAYS(Proc[[#This Row],[DateOpened]],Proc[[#This Row],[DateClosed]]))-1)</f>
        <v>4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on track</v>
      </c>
      <c r="Q1737" s="3">
        <f ca="1">IF(Proc[[#This Row],[DateClosed]]="",ABS(NETWORKDAYS(Proc[[#This Row],[DateOpened]],TODAY()))-1,ABS(NETWORKDAYS(Proc[[#This Row],[DateOpened]],Proc[[#This Row],[DateClosed]]))-1)</f>
        <v>4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on track</v>
      </c>
      <c r="Q1738" s="3">
        <f ca="1">IF(Proc[[#This Row],[DateClosed]]="",ABS(NETWORKDAYS(Proc[[#This Row],[DateOpened]],TODAY()))-1,ABS(NETWORKDAYS(Proc[[#This Row],[DateOpened]],Proc[[#This Row],[DateClosed]]))-1)</f>
        <v>4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on track</v>
      </c>
      <c r="Q1739" s="3">
        <f ca="1">IF(Proc[[#This Row],[DateClosed]]="",ABS(NETWORKDAYS(Proc[[#This Row],[DateOpened]],TODAY()))-1,ABS(NETWORKDAYS(Proc[[#This Row],[DateOpened]],Proc[[#This Row],[DateClosed]]))-1)</f>
        <v>4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on track</v>
      </c>
      <c r="Q1740" s="3">
        <f ca="1">IF(Proc[[#This Row],[DateClosed]]="",ABS(NETWORKDAYS(Proc[[#This Row],[DateOpened]],TODAY()))-1,ABS(NETWORKDAYS(Proc[[#This Row],[DateOpened]],Proc[[#This Row],[DateClosed]]))-1)</f>
        <v>4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on track</v>
      </c>
      <c r="Q1741" s="3">
        <f ca="1">IF(Proc[[#This Row],[DateClosed]]="",ABS(NETWORKDAYS(Proc[[#This Row],[DateOpened]],TODAY()))-1,ABS(NETWORKDAYS(Proc[[#This Row],[DateOpened]],Proc[[#This Row],[DateClosed]]))-1)</f>
        <v>4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on track</v>
      </c>
      <c r="Q1742" s="3">
        <f ca="1">IF(Proc[[#This Row],[DateClosed]]="",ABS(NETWORKDAYS(Proc[[#This Row],[DateOpened]],TODAY()))-1,ABS(NETWORKDAYS(Proc[[#This Row],[DateOpened]],Proc[[#This Row],[DateClosed]]))-1)</f>
        <v>4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on track</v>
      </c>
      <c r="Q1743" s="3">
        <f ca="1">IF(Proc[[#This Row],[DateClosed]]="",ABS(NETWORKDAYS(Proc[[#This Row],[DateOpened]],TODAY()))-1,ABS(NETWORKDAYS(Proc[[#This Row],[DateOpened]],Proc[[#This Row],[DateClosed]]))-1)</f>
        <v>4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on track</v>
      </c>
      <c r="Q1744" s="3">
        <f ca="1">IF(Proc[[#This Row],[DateClosed]]="",ABS(NETWORKDAYS(Proc[[#This Row],[DateOpened]],TODAY()))-1,ABS(NETWORKDAYS(Proc[[#This Row],[DateOpened]],Proc[[#This Row],[DateClosed]]))-1)</f>
        <v>4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on track</v>
      </c>
      <c r="Q1745" s="3">
        <f ca="1">IF(Proc[[#This Row],[DateClosed]]="",ABS(NETWORKDAYS(Proc[[#This Row],[DateOpened]],TODAY()))-1,ABS(NETWORKDAYS(Proc[[#This Row],[DateOpened]],Proc[[#This Row],[DateClosed]]))-1)</f>
        <v>4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on track</v>
      </c>
      <c r="Q1746" s="3">
        <f ca="1">IF(Proc[[#This Row],[DateClosed]]="",ABS(NETWORKDAYS(Proc[[#This Row],[DateOpened]],TODAY()))-1,ABS(NETWORKDAYS(Proc[[#This Row],[DateOpened]],Proc[[#This Row],[DateClosed]]))-1)</f>
        <v>4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on track</v>
      </c>
      <c r="Q1747" s="3">
        <f ca="1">IF(Proc[[#This Row],[DateClosed]]="",ABS(NETWORKDAYS(Proc[[#This Row],[DateOpened]],TODAY()))-1,ABS(NETWORKDAYS(Proc[[#This Row],[DateOpened]],Proc[[#This Row],[DateClosed]]))-1)</f>
        <v>4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on track</v>
      </c>
      <c r="Q1748" s="3">
        <f ca="1">IF(Proc[[#This Row],[DateClosed]]="",ABS(NETWORKDAYS(Proc[[#This Row],[DateOpened]],TODAY()))-1,ABS(NETWORKDAYS(Proc[[#This Row],[DateOpened]],Proc[[#This Row],[DateClosed]]))-1)</f>
        <v>4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on track</v>
      </c>
      <c r="Q1749" s="3">
        <f ca="1">IF(Proc[[#This Row],[DateClosed]]="",ABS(NETWORKDAYS(Proc[[#This Row],[DateOpened]],TODAY()))-1,ABS(NETWORKDAYS(Proc[[#This Row],[DateOpened]],Proc[[#This Row],[DateClosed]]))-1)</f>
        <v>4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on track</v>
      </c>
      <c r="Q1750" s="3">
        <f ca="1">IF(Proc[[#This Row],[DateClosed]]="",ABS(NETWORKDAYS(Proc[[#This Row],[DateOpened]],TODAY()))-1,ABS(NETWORKDAYS(Proc[[#This Row],[DateOpened]],Proc[[#This Row],[DateClosed]]))-1)</f>
        <v>4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on track</v>
      </c>
      <c r="Q1751" s="3">
        <f ca="1">IF(Proc[[#This Row],[DateClosed]]="",ABS(NETWORKDAYS(Proc[[#This Row],[DateOpened]],TODAY()))-1,ABS(NETWORKDAYS(Proc[[#This Row],[DateOpened]],Proc[[#This Row],[DateClosed]]))-1)</f>
        <v>4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on track</v>
      </c>
      <c r="Q1752" s="3">
        <f ca="1">IF(Proc[[#This Row],[DateClosed]]="",ABS(NETWORKDAYS(Proc[[#This Row],[DateOpened]],TODAY()))-1,ABS(NETWORKDAYS(Proc[[#This Row],[DateOpened]],Proc[[#This Row],[DateClosed]]))-1)</f>
        <v>4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on track</v>
      </c>
      <c r="Q1753" s="3">
        <f ca="1">IF(Proc[[#This Row],[DateClosed]]="",ABS(NETWORKDAYS(Proc[[#This Row],[DateOpened]],TODAY()))-1,ABS(NETWORKDAYS(Proc[[#This Row],[DateOpened]],Proc[[#This Row],[DateClosed]]))-1)</f>
        <v>4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4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4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on track</v>
      </c>
      <c r="Q1759" s="3">
        <f ca="1">IF(Proc[[#This Row],[DateClosed]]="",ABS(NETWORKDAYS(Proc[[#This Row],[DateOpened]],TODAY()))-1,ABS(NETWORKDAYS(Proc[[#This Row],[DateOpened]],Proc[[#This Row],[DateClosed]]))-1)</f>
        <v>4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on track</v>
      </c>
      <c r="Q1760" s="3">
        <f ca="1">IF(Proc[[#This Row],[DateClosed]]="",ABS(NETWORKDAYS(Proc[[#This Row],[DateOpened]],TODAY()))-1,ABS(NETWORKDAYS(Proc[[#This Row],[DateOpened]],Proc[[#This Row],[DateClosed]]))-1)</f>
        <v>4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>
      <c r="A1791" t="s">
        <v>4095</v>
      </c>
      <c r="B1791" s="87" t="str">
        <f>IFERROR(VLOOKUP(Proc[[#This Row],[App]],Table2[],3,0),"open")</f>
        <v>open</v>
      </c>
      <c r="C1791" t="s">
        <v>370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/>
      <c r="O1791" s="89"/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1</v>
      </c>
      <c r="R1791" s="92" t="s">
        <v>496</v>
      </c>
      <c r="S1791" s="87"/>
    </row>
    <row r="1792" spans="1:19">
      <c r="A1792" s="91" t="s">
        <v>4095</v>
      </c>
      <c r="B1792" s="87" t="str">
        <f>IFERROR(VLOOKUP(Proc[[#This Row],[App]],Table2[],3,0),"open")</f>
        <v>open</v>
      </c>
      <c r="C1792" s="91" t="s">
        <v>370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/>
      <c r="O1792" s="89"/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1</v>
      </c>
      <c r="R1792" s="92" t="s">
        <v>496</v>
      </c>
      <c r="S1792" s="87"/>
    </row>
    <row r="1793" spans="1:19">
      <c r="A1793" s="91" t="s">
        <v>4095</v>
      </c>
      <c r="B1793" s="87" t="str">
        <f>IFERROR(VLOOKUP(Proc[[#This Row],[App]],Table2[],3,0),"open")</f>
        <v>open</v>
      </c>
      <c r="C1793" s="91" t="s">
        <v>370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/>
      <c r="O1793" s="89"/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1</v>
      </c>
      <c r="R1793" s="92" t="s">
        <v>496</v>
      </c>
      <c r="S1793" s="87"/>
    </row>
    <row r="1794" spans="1:19">
      <c r="A1794" s="91" t="s">
        <v>4095</v>
      </c>
      <c r="B1794" s="87" t="str">
        <f>IFERROR(VLOOKUP(Proc[[#This Row],[App]],Table2[],3,0),"open")</f>
        <v>open</v>
      </c>
      <c r="C1794" s="91" t="s">
        <v>370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/>
      <c r="O1794" s="89"/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1</v>
      </c>
      <c r="R1794" s="92" t="s">
        <v>496</v>
      </c>
      <c r="S1794" s="87"/>
    </row>
    <row r="1795" spans="1:19">
      <c r="A1795" s="91" t="s">
        <v>4095</v>
      </c>
      <c r="B1795" s="87" t="str">
        <f>IFERROR(VLOOKUP(Proc[[#This Row],[App]],Table2[],3,0),"open")</f>
        <v>open</v>
      </c>
      <c r="C1795" s="91" t="s">
        <v>370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/>
      <c r="O1795" s="89"/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1</v>
      </c>
      <c r="R1795" s="92" t="s">
        <v>496</v>
      </c>
      <c r="S1795" s="87"/>
    </row>
    <row r="1796" spans="1:19">
      <c r="A1796" s="91" t="s">
        <v>4095</v>
      </c>
      <c r="B1796" s="87" t="str">
        <f>IFERROR(VLOOKUP(Proc[[#This Row],[App]],Table2[],3,0),"open")</f>
        <v>open</v>
      </c>
      <c r="C1796" s="91" t="s">
        <v>370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/>
      <c r="O1796" s="89"/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1</v>
      </c>
      <c r="R1796" s="92" t="s">
        <v>496</v>
      </c>
      <c r="S1796" s="87"/>
    </row>
    <row r="1797" spans="1:19">
      <c r="A1797" t="s">
        <v>4105</v>
      </c>
      <c r="B1797" s="87" t="str">
        <f>IFERROR(VLOOKUP(Proc[[#This Row],[App]],Table2[],3,0),"open")</f>
        <v>open</v>
      </c>
      <c r="C1797" s="91" t="s">
        <v>370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/>
      <c r="O1797" s="89"/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1</v>
      </c>
      <c r="R1797" s="92" t="s">
        <v>1003</v>
      </c>
      <c r="S1797" s="87"/>
    </row>
    <row r="1798" spans="1:19">
      <c r="A1798" s="91" t="s">
        <v>4105</v>
      </c>
      <c r="B1798" s="87" t="str">
        <f>IFERROR(VLOOKUP(Proc[[#This Row],[App]],Table2[],3,0),"open")</f>
        <v>open</v>
      </c>
      <c r="C1798" s="91" t="s">
        <v>370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/>
      <c r="O1798" s="89"/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1</v>
      </c>
      <c r="R1798" s="92" t="s">
        <v>1003</v>
      </c>
      <c r="S1798" s="87"/>
    </row>
    <row r="1799" spans="1:19">
      <c r="A1799" s="91" t="s">
        <v>4105</v>
      </c>
      <c r="B1799" s="87" t="str">
        <f>IFERROR(VLOOKUP(Proc[[#This Row],[App]],Table2[],3,0),"open")</f>
        <v>open</v>
      </c>
      <c r="C1799" s="91" t="s">
        <v>370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/>
      <c r="O1799" s="89"/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1</v>
      </c>
      <c r="R1799" s="92" t="s">
        <v>1003</v>
      </c>
      <c r="S1799" s="87"/>
    </row>
    <row r="1800" spans="1:19">
      <c r="A1800" s="91" t="s">
        <v>4105</v>
      </c>
      <c r="B1800" s="87" t="str">
        <f>IFERROR(VLOOKUP(Proc[[#This Row],[App]],Table2[],3,0),"open")</f>
        <v>open</v>
      </c>
      <c r="C1800" s="91" t="s">
        <v>370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/>
      <c r="O1800" s="89"/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1</v>
      </c>
      <c r="R1800" s="92" t="s">
        <v>1003</v>
      </c>
      <c r="S1800" s="87"/>
    </row>
    <row r="1801" spans="1:19">
      <c r="A1801" s="91" t="s">
        <v>4105</v>
      </c>
      <c r="B1801" s="87" t="str">
        <f>IFERROR(VLOOKUP(Proc[[#This Row],[App]],Table2[],3,0),"open")</f>
        <v>open</v>
      </c>
      <c r="C1801" s="91" t="s">
        <v>370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/>
      <c r="O1801" s="89"/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1</v>
      </c>
      <c r="R1801" s="92" t="s">
        <v>1003</v>
      </c>
      <c r="S1801" s="87"/>
    </row>
    <row r="1802" spans="1:19">
      <c r="A1802" t="s">
        <v>4118</v>
      </c>
      <c r="B1802" s="87" t="str">
        <f>IFERROR(VLOOKUP(Proc[[#This Row],[App]],Table2[],3,0),"open")</f>
        <v>open</v>
      </c>
      <c r="C1802" s="91" t="s">
        <v>375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/>
      <c r="O1802" s="89"/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1</v>
      </c>
      <c r="R1802" s="92" t="s">
        <v>508</v>
      </c>
      <c r="S1802" s="87"/>
    </row>
    <row r="1803" spans="1:19">
      <c r="A1803" t="s">
        <v>4119</v>
      </c>
      <c r="B1803" s="87" t="str">
        <f>IFERROR(VLOOKUP(Proc[[#This Row],[App]],Table2[],3,0),"open")</f>
        <v>open</v>
      </c>
      <c r="C1803" s="91" t="s">
        <v>370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/>
      <c r="O1803" s="89"/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2" t="s">
        <v>1325</v>
      </c>
      <c r="S1803" s="87"/>
    </row>
    <row r="1804" spans="1:19">
      <c r="A1804" t="s">
        <v>4124</v>
      </c>
      <c r="B1804" s="87" t="str">
        <f>IFERROR(VLOOKUP(Proc[[#This Row],[App]],Table2[],3,0),"open")</f>
        <v>open</v>
      </c>
      <c r="C1804" t="s">
        <v>370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/>
      <c r="O1804" s="93"/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1</v>
      </c>
      <c r="R1804" s="92" t="s">
        <v>496</v>
      </c>
      <c r="S1804" s="87"/>
    </row>
    <row r="1805" spans="1:19">
      <c r="A1805" t="s">
        <v>4127</v>
      </c>
      <c r="B1805" s="87" t="str">
        <f>IFERROR(VLOOKUP(Proc[[#This Row],[App]],Table2[],3,0),"open")</f>
        <v>open</v>
      </c>
      <c r="C1805" s="95" t="s">
        <v>370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/>
      <c r="O1805" s="93"/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0</v>
      </c>
      <c r="R1805" s="92" t="s">
        <v>766</v>
      </c>
      <c r="S1805" s="87"/>
    </row>
    <row r="1806" spans="1:19">
      <c r="A1806" s="94" t="s">
        <v>4127</v>
      </c>
      <c r="B1806" s="87" t="str">
        <f>IFERROR(VLOOKUP(Proc[[#This Row],[App]],Table2[],3,0),"open")</f>
        <v>open</v>
      </c>
      <c r="C1806" s="95" t="s">
        <v>370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/>
      <c r="O1806" s="93"/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0</v>
      </c>
      <c r="R1806" s="92" t="s">
        <v>766</v>
      </c>
      <c r="S1806" s="87"/>
    </row>
    <row r="1807" spans="1:19">
      <c r="A1807" s="94" t="s">
        <v>4127</v>
      </c>
      <c r="B1807" s="87" t="str">
        <f>IFERROR(VLOOKUP(Proc[[#This Row],[App]],Table2[],3,0),"open")</f>
        <v>open</v>
      </c>
      <c r="C1807" s="95" t="s">
        <v>370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/>
      <c r="O1807" s="93"/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0</v>
      </c>
      <c r="R1807" s="92" t="s">
        <v>766</v>
      </c>
      <c r="S1807" s="87"/>
    </row>
    <row r="1808" spans="1:19">
      <c r="A1808" s="94" t="s">
        <v>4127</v>
      </c>
      <c r="B1808" s="87" t="str">
        <f>IFERROR(VLOOKUP(Proc[[#This Row],[App]],Table2[],3,0),"open")</f>
        <v>open</v>
      </c>
      <c r="C1808" s="95" t="s">
        <v>370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/>
      <c r="O1808" s="93"/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0</v>
      </c>
      <c r="R1808" s="92" t="s">
        <v>766</v>
      </c>
      <c r="S1808" s="87"/>
    </row>
    <row r="1809" spans="1:19">
      <c r="A1809" s="94" t="s">
        <v>4127</v>
      </c>
      <c r="B1809" s="87" t="str">
        <f>IFERROR(VLOOKUP(Proc[[#This Row],[App]],Table2[],3,0),"open")</f>
        <v>open</v>
      </c>
      <c r="C1809" s="95" t="s">
        <v>370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/>
      <c r="O1809" s="93"/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0</v>
      </c>
      <c r="R1809" s="92" t="s">
        <v>766</v>
      </c>
      <c r="S1809" s="87"/>
    </row>
    <row r="1810" spans="1:19">
      <c r="A1810" s="94" t="s">
        <v>4127</v>
      </c>
      <c r="B1810" s="87" t="str">
        <f>IFERROR(VLOOKUP(Proc[[#This Row],[App]],Table2[],3,0),"open")</f>
        <v>open</v>
      </c>
      <c r="C1810" s="95" t="s">
        <v>370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/>
      <c r="O1810" s="93"/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0</v>
      </c>
      <c r="R1810" s="92" t="s">
        <v>766</v>
      </c>
      <c r="S1810" s="87"/>
    </row>
    <row r="1811" spans="1:19">
      <c r="A1811" t="s">
        <v>4138</v>
      </c>
      <c r="B1811" s="96" t="str">
        <f>IFERROR(VLOOKUP(Proc[[#This Row],[App]],Table2[],3,0),"open")</f>
        <v>open</v>
      </c>
      <c r="C1811" s="95" t="s">
        <v>370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/>
      <c r="O1811" s="93"/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0</v>
      </c>
      <c r="R1811" s="92" t="s">
        <v>4139</v>
      </c>
      <c r="S1811" s="96"/>
    </row>
    <row r="1812" spans="1:19">
      <c r="A1812" t="s">
        <v>4140</v>
      </c>
      <c r="B1812" s="96" t="str">
        <f>IFERROR(VLOOKUP(Proc[[#This Row],[App]],Table2[],3,0),"open")</f>
        <v>open</v>
      </c>
      <c r="C1812" s="95" t="s">
        <v>370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/>
      <c r="O1812" s="93"/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0</v>
      </c>
      <c r="R1812" s="92" t="s">
        <v>1044</v>
      </c>
      <c r="S1812" s="96"/>
    </row>
    <row r="1813" spans="1:19">
      <c r="A1813" s="95" t="s">
        <v>4140</v>
      </c>
      <c r="B1813" s="96" t="str">
        <f>IFERROR(VLOOKUP(Proc[[#This Row],[App]],Table2[],3,0),"open")</f>
        <v>open</v>
      </c>
      <c r="C1813" s="95" t="s">
        <v>370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/>
      <c r="O1813" s="93"/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0</v>
      </c>
      <c r="R1813" s="92" t="s">
        <v>1044</v>
      </c>
      <c r="S1813" s="96"/>
    </row>
    <row r="1814" spans="1:19">
      <c r="A1814" s="95" t="s">
        <v>4140</v>
      </c>
      <c r="B1814" s="96" t="str">
        <f>IFERROR(VLOOKUP(Proc[[#This Row],[App]],Table2[],3,0),"open")</f>
        <v>open</v>
      </c>
      <c r="C1814" s="95" t="s">
        <v>370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/>
      <c r="O1814" s="93"/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0</v>
      </c>
      <c r="R1814" s="92" t="s">
        <v>1044</v>
      </c>
      <c r="S1814" s="96"/>
    </row>
    <row r="1815" spans="1:19">
      <c r="A1815" s="95" t="s">
        <v>4140</v>
      </c>
      <c r="B1815" s="96" t="str">
        <f>IFERROR(VLOOKUP(Proc[[#This Row],[App]],Table2[],3,0),"open")</f>
        <v>open</v>
      </c>
      <c r="C1815" s="95" t="s">
        <v>370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/>
      <c r="O1815" s="93"/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0</v>
      </c>
      <c r="R1815" s="92" t="s">
        <v>1044</v>
      </c>
      <c r="S1815" s="96"/>
    </row>
    <row r="1816" spans="1:19">
      <c r="A1816" s="95" t="s">
        <v>4140</v>
      </c>
      <c r="B1816" s="96" t="str">
        <f>IFERROR(VLOOKUP(Proc[[#This Row],[App]],Table2[],3,0),"open")</f>
        <v>open</v>
      </c>
      <c r="C1816" s="95" t="s">
        <v>370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/>
      <c r="O1816" s="93"/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0</v>
      </c>
      <c r="R1816" s="92" t="s">
        <v>1044</v>
      </c>
      <c r="S1816" s="96"/>
    </row>
    <row r="1817" spans="1:19">
      <c r="A1817" s="95" t="s">
        <v>4140</v>
      </c>
      <c r="B1817" s="96" t="str">
        <f>IFERROR(VLOOKUP(Proc[[#This Row],[App]],Table2[],3,0),"open")</f>
        <v>open</v>
      </c>
      <c r="C1817" s="95" t="s">
        <v>370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/>
      <c r="O1817" s="93"/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0</v>
      </c>
      <c r="R1817" s="92" t="s">
        <v>1044</v>
      </c>
      <c r="S1817" s="96"/>
    </row>
    <row r="1818" spans="1:19">
      <c r="A1818" s="95" t="s">
        <v>4140</v>
      </c>
      <c r="B1818" s="96" t="str">
        <f>IFERROR(VLOOKUP(Proc[[#This Row],[App]],Table2[],3,0),"open")</f>
        <v>open</v>
      </c>
      <c r="C1818" s="95" t="s">
        <v>370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/>
      <c r="O1818" s="93"/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0</v>
      </c>
      <c r="R1818" s="92" t="s">
        <v>1044</v>
      </c>
      <c r="S1818" s="96"/>
    </row>
    <row r="1819" spans="1:19">
      <c r="A1819" s="95" t="s">
        <v>4140</v>
      </c>
      <c r="B1819" s="96" t="str">
        <f>IFERROR(VLOOKUP(Proc[[#This Row],[App]],Table2[],3,0),"open")</f>
        <v>open</v>
      </c>
      <c r="C1819" s="95" t="s">
        <v>370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/>
      <c r="O1819" s="93"/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0</v>
      </c>
      <c r="R1819" s="92" t="s">
        <v>1044</v>
      </c>
      <c r="S1819" s="96"/>
    </row>
    <row r="1820" spans="1:19">
      <c r="A1820" s="95" t="s">
        <v>4140</v>
      </c>
      <c r="B1820" s="96" t="str">
        <f>IFERROR(VLOOKUP(Proc[[#This Row],[App]],Table2[],3,0),"open")</f>
        <v>open</v>
      </c>
      <c r="C1820" s="95" t="s">
        <v>370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/>
      <c r="O1820" s="93"/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0</v>
      </c>
      <c r="R1820" s="92" t="s">
        <v>1044</v>
      </c>
      <c r="S1820" s="96"/>
    </row>
    <row r="1821" spans="1:19">
      <c r="A1821" s="95" t="s">
        <v>4140</v>
      </c>
      <c r="B1821" s="96" t="str">
        <f>IFERROR(VLOOKUP(Proc[[#This Row],[App]],Table2[],3,0),"open")</f>
        <v>open</v>
      </c>
      <c r="C1821" s="95" t="s">
        <v>370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/>
      <c r="O1821" s="93"/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0</v>
      </c>
      <c r="R1821" s="92" t="s">
        <v>1044</v>
      </c>
      <c r="S1821" s="96"/>
    </row>
    <row r="1822" spans="1:19">
      <c r="A1822" s="95" t="s">
        <v>4140</v>
      </c>
      <c r="B1822" s="96" t="str">
        <f>IFERROR(VLOOKUP(Proc[[#This Row],[App]],Table2[],3,0),"open")</f>
        <v>open</v>
      </c>
      <c r="C1822" s="95" t="s">
        <v>370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/>
      <c r="O1822" s="93"/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0</v>
      </c>
      <c r="R1822" s="92" t="s">
        <v>1044</v>
      </c>
      <c r="S1822" s="96"/>
    </row>
    <row r="1823" spans="1:19">
      <c r="A1823" s="95" t="s">
        <v>4140</v>
      </c>
      <c r="B1823" s="96" t="str">
        <f>IFERROR(VLOOKUP(Proc[[#This Row],[App]],Table2[],3,0),"open")</f>
        <v>open</v>
      </c>
      <c r="C1823" s="95" t="s">
        <v>370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/>
      <c r="O1823" s="93"/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0</v>
      </c>
      <c r="R1823" s="92" t="s">
        <v>1044</v>
      </c>
      <c r="S1823" s="96"/>
    </row>
    <row r="1824" spans="1:19">
      <c r="A1824" s="95" t="s">
        <v>4140</v>
      </c>
      <c r="B1824" s="96" t="str">
        <f>IFERROR(VLOOKUP(Proc[[#This Row],[App]],Table2[],3,0),"open")</f>
        <v>open</v>
      </c>
      <c r="C1824" s="95" t="s">
        <v>370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/>
      <c r="O1824" s="93"/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0</v>
      </c>
      <c r="R1824" s="92" t="s">
        <v>1044</v>
      </c>
      <c r="S1824" s="96"/>
    </row>
    <row r="1825" spans="1:19">
      <c r="A1825" s="95" t="s">
        <v>4140</v>
      </c>
      <c r="B1825" s="96" t="str">
        <f>IFERROR(VLOOKUP(Proc[[#This Row],[App]],Table2[],3,0),"open")</f>
        <v>open</v>
      </c>
      <c r="C1825" s="95" t="s">
        <v>370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/>
      <c r="O1825" s="93"/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0</v>
      </c>
      <c r="R1825" s="92" t="s">
        <v>1044</v>
      </c>
      <c r="S1825" s="96"/>
    </row>
    <row r="1826" spans="1:19">
      <c r="A1826" s="95" t="s">
        <v>4140</v>
      </c>
      <c r="B1826" s="96" t="str">
        <f>IFERROR(VLOOKUP(Proc[[#This Row],[App]],Table2[],3,0),"open")</f>
        <v>open</v>
      </c>
      <c r="C1826" s="95" t="s">
        <v>370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/>
      <c r="O1826" s="93"/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0</v>
      </c>
      <c r="R1826" s="92" t="s">
        <v>1044</v>
      </c>
      <c r="S1826" s="96"/>
    </row>
    <row r="1827" spans="1:19">
      <c r="A1827" s="95" t="s">
        <v>4140</v>
      </c>
      <c r="B1827" s="96" t="str">
        <f>IFERROR(VLOOKUP(Proc[[#This Row],[App]],Table2[],3,0),"open")</f>
        <v>open</v>
      </c>
      <c r="C1827" s="95" t="s">
        <v>370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/>
      <c r="O1827" s="93"/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0</v>
      </c>
      <c r="R1827" s="92" t="s">
        <v>1044</v>
      </c>
      <c r="S1827" s="96"/>
    </row>
    <row r="1828" spans="1:19">
      <c r="A1828" s="95" t="s">
        <v>4140</v>
      </c>
      <c r="B1828" s="96" t="str">
        <f>IFERROR(VLOOKUP(Proc[[#This Row],[App]],Table2[],3,0),"open")</f>
        <v>open</v>
      </c>
      <c r="C1828" s="95" t="s">
        <v>370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/>
      <c r="O1828" s="93"/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0</v>
      </c>
      <c r="R1828" s="92" t="s">
        <v>1044</v>
      </c>
      <c r="S1828" s="96"/>
    </row>
    <row r="1829" spans="1:19">
      <c r="A1829" s="95" t="s">
        <v>4140</v>
      </c>
      <c r="B1829" s="96" t="str">
        <f>IFERROR(VLOOKUP(Proc[[#This Row],[App]],Table2[],3,0),"open")</f>
        <v>open</v>
      </c>
      <c r="C1829" s="95" t="s">
        <v>370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/>
      <c r="O1829" s="93"/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0</v>
      </c>
      <c r="R1829" s="92" t="s">
        <v>1044</v>
      </c>
      <c r="S1829" s="96"/>
    </row>
    <row r="1830" spans="1:19">
      <c r="A1830" s="95" t="s">
        <v>4140</v>
      </c>
      <c r="B1830" s="96" t="str">
        <f>IFERROR(VLOOKUP(Proc[[#This Row],[App]],Table2[],3,0),"open")</f>
        <v>open</v>
      </c>
      <c r="C1830" s="95" t="s">
        <v>370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/>
      <c r="O1830" s="93"/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0</v>
      </c>
      <c r="R1830" s="92" t="s">
        <v>1044</v>
      </c>
      <c r="S1830" s="96"/>
    </row>
    <row r="1831" spans="1:19">
      <c r="A1831" s="95" t="s">
        <v>4140</v>
      </c>
      <c r="B1831" s="96" t="str">
        <f>IFERROR(VLOOKUP(Proc[[#This Row],[App]],Table2[],3,0),"open")</f>
        <v>open</v>
      </c>
      <c r="C1831" s="95" t="s">
        <v>370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/>
      <c r="O1831" s="93"/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0</v>
      </c>
      <c r="R1831" s="92" t="s">
        <v>1044</v>
      </c>
      <c r="S1831" s="96"/>
    </row>
    <row r="1832" spans="1:19">
      <c r="A1832" s="95" t="s">
        <v>4140</v>
      </c>
      <c r="B1832" s="96" t="str">
        <f>IFERROR(VLOOKUP(Proc[[#This Row],[App]],Table2[],3,0),"open")</f>
        <v>open</v>
      </c>
      <c r="C1832" s="95" t="s">
        <v>370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/>
      <c r="O1832" s="93"/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0</v>
      </c>
      <c r="R1832" s="92" t="s">
        <v>1044</v>
      </c>
      <c r="S1832" s="96"/>
    </row>
    <row r="1833" spans="1:19">
      <c r="A1833" s="95" t="s">
        <v>4140</v>
      </c>
      <c r="B1833" s="96" t="str">
        <f>IFERROR(VLOOKUP(Proc[[#This Row],[App]],Table2[],3,0),"open")</f>
        <v>open</v>
      </c>
      <c r="C1833" s="95" t="s">
        <v>370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/>
      <c r="O1833" s="93"/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0</v>
      </c>
      <c r="R1833" s="92" t="s">
        <v>1044</v>
      </c>
      <c r="S1833" s="96"/>
    </row>
    <row r="1834" spans="1:19">
      <c r="A1834" s="95" t="s">
        <v>4140</v>
      </c>
      <c r="B1834" s="96" t="str">
        <f>IFERROR(VLOOKUP(Proc[[#This Row],[App]],Table2[],3,0),"open")</f>
        <v>open</v>
      </c>
      <c r="C1834" s="95" t="s">
        <v>370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/>
      <c r="O1834" s="93"/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0</v>
      </c>
      <c r="R1834" s="92" t="s">
        <v>1044</v>
      </c>
      <c r="S1834" s="96"/>
    </row>
    <row r="1835" spans="1:19">
      <c r="A1835" s="95" t="s">
        <v>4140</v>
      </c>
      <c r="B1835" s="96" t="str">
        <f>IFERROR(VLOOKUP(Proc[[#This Row],[App]],Table2[],3,0),"open")</f>
        <v>open</v>
      </c>
      <c r="C1835" s="95" t="s">
        <v>370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/>
      <c r="O1835" s="93"/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0</v>
      </c>
      <c r="R1835" s="92" t="s">
        <v>1044</v>
      </c>
      <c r="S1835" s="96"/>
    </row>
    <row r="1836" spans="1:19">
      <c r="A1836" s="95" t="s">
        <v>4140</v>
      </c>
      <c r="B1836" s="96" t="str">
        <f>IFERROR(VLOOKUP(Proc[[#This Row],[App]],Table2[],3,0),"open")</f>
        <v>open</v>
      </c>
      <c r="C1836" s="95" t="s">
        <v>370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/>
      <c r="O1836" s="93"/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0</v>
      </c>
      <c r="R1836" s="92" t="s">
        <v>1044</v>
      </c>
      <c r="S1836" s="96"/>
    </row>
    <row r="1837" spans="1:19">
      <c r="A1837" s="95" t="s">
        <v>4140</v>
      </c>
      <c r="B1837" s="96" t="str">
        <f>IFERROR(VLOOKUP(Proc[[#This Row],[App]],Table2[],3,0),"open")</f>
        <v>open</v>
      </c>
      <c r="C1837" s="95" t="s">
        <v>370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/>
      <c r="O1837" s="93"/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0</v>
      </c>
      <c r="R1837" s="92" t="s">
        <v>1044</v>
      </c>
      <c r="S1837" s="96"/>
    </row>
    <row r="1838" spans="1:19">
      <c r="A1838" s="95" t="s">
        <v>4140</v>
      </c>
      <c r="B1838" s="96" t="str">
        <f>IFERROR(VLOOKUP(Proc[[#This Row],[App]],Table2[],3,0),"open")</f>
        <v>open</v>
      </c>
      <c r="C1838" s="95" t="s">
        <v>370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/>
      <c r="O1838" s="93"/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0</v>
      </c>
      <c r="R1838" s="92" t="s">
        <v>1044</v>
      </c>
      <c r="S1838" s="96"/>
    </row>
    <row r="1839" spans="1:19">
      <c r="A1839" s="95" t="s">
        <v>4140</v>
      </c>
      <c r="B1839" s="96" t="str">
        <f>IFERROR(VLOOKUP(Proc[[#This Row],[App]],Table2[],3,0),"open")</f>
        <v>open</v>
      </c>
      <c r="C1839" s="95" t="s">
        <v>370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/>
      <c r="O1839" s="93"/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0</v>
      </c>
      <c r="R1839" s="92" t="s">
        <v>1044</v>
      </c>
      <c r="S1839" s="96"/>
    </row>
    <row r="1840" spans="1:19">
      <c r="A1840" s="95" t="s">
        <v>4140</v>
      </c>
      <c r="B1840" s="96" t="str">
        <f>IFERROR(VLOOKUP(Proc[[#This Row],[App]],Table2[],3,0),"open")</f>
        <v>open</v>
      </c>
      <c r="C1840" s="95" t="s">
        <v>370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/>
      <c r="O1840" s="93"/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0</v>
      </c>
      <c r="R1840" s="92" t="s">
        <v>1044</v>
      </c>
      <c r="S1840" s="96"/>
    </row>
    <row r="1841" spans="1:19">
      <c r="A1841" s="95" t="s">
        <v>4140</v>
      </c>
      <c r="B1841" s="96" t="str">
        <f>IFERROR(VLOOKUP(Proc[[#This Row],[App]],Table2[],3,0),"open")</f>
        <v>open</v>
      </c>
      <c r="C1841" s="95" t="s">
        <v>370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/>
      <c r="O1841" s="93"/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0</v>
      </c>
      <c r="R1841" s="92" t="s">
        <v>1044</v>
      </c>
      <c r="S1841" s="96"/>
    </row>
    <row r="1842" spans="1:19">
      <c r="A1842" s="95" t="s">
        <v>4140</v>
      </c>
      <c r="B1842" s="96" t="str">
        <f>IFERROR(VLOOKUP(Proc[[#This Row],[App]],Table2[],3,0),"open")</f>
        <v>open</v>
      </c>
      <c r="C1842" s="95" t="s">
        <v>370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/>
      <c r="O1842" s="93"/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0</v>
      </c>
      <c r="R1842" s="92" t="s">
        <v>1044</v>
      </c>
      <c r="S1842" s="96"/>
    </row>
    <row r="1843" spans="1:19">
      <c r="A1843" s="95" t="s">
        <v>4140</v>
      </c>
      <c r="B1843" s="96" t="str">
        <f>IFERROR(VLOOKUP(Proc[[#This Row],[App]],Table2[],3,0),"open")</f>
        <v>open</v>
      </c>
      <c r="C1843" s="95" t="s">
        <v>370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/>
      <c r="O1843" s="93"/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0</v>
      </c>
      <c r="R1843" s="92" t="s">
        <v>1044</v>
      </c>
      <c r="S1843" s="96"/>
    </row>
    <row r="1844" spans="1:19">
      <c r="A1844" s="95" t="s">
        <v>4140</v>
      </c>
      <c r="B1844" s="96" t="str">
        <f>IFERROR(VLOOKUP(Proc[[#This Row],[App]],Table2[],3,0),"open")</f>
        <v>open</v>
      </c>
      <c r="C1844" s="95" t="s">
        <v>370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/>
      <c r="O1844" s="93"/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0</v>
      </c>
      <c r="R1844" s="92" t="s">
        <v>1044</v>
      </c>
      <c r="S1844" s="96"/>
    </row>
    <row r="1845" spans="1:19">
      <c r="A1845" s="95" t="s">
        <v>4140</v>
      </c>
      <c r="B1845" s="96" t="str">
        <f>IFERROR(VLOOKUP(Proc[[#This Row],[App]],Table2[],3,0),"open")</f>
        <v>open</v>
      </c>
      <c r="C1845" s="95" t="s">
        <v>370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/>
      <c r="O1845" s="93"/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0</v>
      </c>
      <c r="R1845" s="92" t="s">
        <v>1044</v>
      </c>
      <c r="S1845" s="96"/>
    </row>
    <row r="1846" spans="1:19">
      <c r="A1846" s="95" t="s">
        <v>4140</v>
      </c>
      <c r="B1846" s="96" t="str">
        <f>IFERROR(VLOOKUP(Proc[[#This Row],[App]],Table2[],3,0),"open")</f>
        <v>open</v>
      </c>
      <c r="C1846" s="95" t="s">
        <v>370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/>
      <c r="O1846" s="93"/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0</v>
      </c>
      <c r="R1846" s="92" t="s">
        <v>1044</v>
      </c>
      <c r="S1846" s="96"/>
    </row>
    <row r="1847" spans="1:19">
      <c r="A1847" s="95" t="s">
        <v>4140</v>
      </c>
      <c r="B1847" s="96" t="str">
        <f>IFERROR(VLOOKUP(Proc[[#This Row],[App]],Table2[],3,0),"open")</f>
        <v>open</v>
      </c>
      <c r="C1847" s="95" t="s">
        <v>370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/>
      <c r="O1847" s="93"/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0</v>
      </c>
      <c r="R1847" s="92" t="s">
        <v>1044</v>
      </c>
      <c r="S1847" s="96"/>
    </row>
    <row r="1848" spans="1:19">
      <c r="A1848" s="95" t="s">
        <v>4140</v>
      </c>
      <c r="B1848" s="96" t="str">
        <f>IFERROR(VLOOKUP(Proc[[#This Row],[App]],Table2[],3,0),"open")</f>
        <v>open</v>
      </c>
      <c r="C1848" s="95" t="s">
        <v>370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/>
      <c r="O1848" s="93"/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0</v>
      </c>
      <c r="R1848" s="92" t="s">
        <v>1044</v>
      </c>
      <c r="S1848" s="96"/>
    </row>
    <row r="1849" spans="1:19">
      <c r="A1849" s="95" t="s">
        <v>4140</v>
      </c>
      <c r="B1849" s="96" t="str">
        <f>IFERROR(VLOOKUP(Proc[[#This Row],[App]],Table2[],3,0),"open")</f>
        <v>open</v>
      </c>
      <c r="C1849" s="95" t="s">
        <v>370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/>
      <c r="O1849" s="93"/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0</v>
      </c>
      <c r="R1849" s="92" t="s">
        <v>1044</v>
      </c>
      <c r="S1849" s="96"/>
    </row>
    <row r="1850" spans="1:19">
      <c r="A1850" s="95" t="s">
        <v>4140</v>
      </c>
      <c r="B1850" s="96" t="str">
        <f>IFERROR(VLOOKUP(Proc[[#This Row],[App]],Table2[],3,0),"open")</f>
        <v>open</v>
      </c>
      <c r="C1850" s="95" t="s">
        <v>370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/>
      <c r="O1850" s="93"/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0</v>
      </c>
      <c r="R1850" s="92" t="s">
        <v>1044</v>
      </c>
      <c r="S1850" s="96"/>
    </row>
    <row r="1851" spans="1:19">
      <c r="A1851" s="95" t="s">
        <v>4140</v>
      </c>
      <c r="B1851" s="96" t="str">
        <f>IFERROR(VLOOKUP(Proc[[#This Row],[App]],Table2[],3,0),"open")</f>
        <v>open</v>
      </c>
      <c r="C1851" s="95" t="s">
        <v>370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/>
      <c r="O1851" s="93"/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0</v>
      </c>
      <c r="R1851" s="92" t="s">
        <v>1044</v>
      </c>
      <c r="S1851" s="96"/>
    </row>
    <row r="1852" spans="1:19">
      <c r="A1852" s="95" t="s">
        <v>4140</v>
      </c>
      <c r="B1852" s="96" t="str">
        <f>IFERROR(VLOOKUP(Proc[[#This Row],[App]],Table2[],3,0),"open")</f>
        <v>open</v>
      </c>
      <c r="C1852" s="95" t="s">
        <v>370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/>
      <c r="O1852" s="93"/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0</v>
      </c>
      <c r="R1852" s="92" t="s">
        <v>1044</v>
      </c>
      <c r="S1852" s="96"/>
    </row>
    <row r="1853" spans="1:19">
      <c r="A1853" s="95" t="s">
        <v>4140</v>
      </c>
      <c r="B1853" s="96" t="str">
        <f>IFERROR(VLOOKUP(Proc[[#This Row],[App]],Table2[],3,0),"open")</f>
        <v>open</v>
      </c>
      <c r="C1853" s="95" t="s">
        <v>370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/>
      <c r="O1853" s="93"/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0</v>
      </c>
      <c r="R1853" s="92" t="s">
        <v>1044</v>
      </c>
      <c r="S1853" s="96"/>
    </row>
    <row r="1854" spans="1:19">
      <c r="A1854" s="95" t="s">
        <v>4140</v>
      </c>
      <c r="B1854" s="96" t="str">
        <f>IFERROR(VLOOKUP(Proc[[#This Row],[App]],Table2[],3,0),"open")</f>
        <v>open</v>
      </c>
      <c r="C1854" s="95" t="s">
        <v>370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/>
      <c r="O1854" s="93"/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0</v>
      </c>
      <c r="R1854" s="92" t="s">
        <v>1044</v>
      </c>
      <c r="S1854" s="96"/>
    </row>
    <row r="1855" spans="1:19">
      <c r="A1855" s="95" t="s">
        <v>4140</v>
      </c>
      <c r="B1855" s="96" t="str">
        <f>IFERROR(VLOOKUP(Proc[[#This Row],[App]],Table2[],3,0),"open")</f>
        <v>open</v>
      </c>
      <c r="C1855" s="95" t="s">
        <v>370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/>
      <c r="O1855" s="93"/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0</v>
      </c>
      <c r="R1855" s="92" t="s">
        <v>1044</v>
      </c>
      <c r="S1855" s="96"/>
    </row>
    <row r="1856" spans="1:19">
      <c r="A1856" s="95" t="s">
        <v>4140</v>
      </c>
      <c r="B1856" s="96" t="str">
        <f>IFERROR(VLOOKUP(Proc[[#This Row],[App]],Table2[],3,0),"open")</f>
        <v>open</v>
      </c>
      <c r="C1856" s="95" t="s">
        <v>370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/>
      <c r="O1856" s="93"/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0</v>
      </c>
      <c r="R1856" s="92" t="s">
        <v>1044</v>
      </c>
      <c r="S1856" s="96"/>
    </row>
    <row r="1857" spans="1:19">
      <c r="A1857" s="95" t="s">
        <v>4140</v>
      </c>
      <c r="B1857" s="96" t="str">
        <f>IFERROR(VLOOKUP(Proc[[#This Row],[App]],Table2[],3,0),"open")</f>
        <v>open</v>
      </c>
      <c r="C1857" s="95" t="s">
        <v>370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/>
      <c r="O1857" s="93"/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0</v>
      </c>
      <c r="R1857" s="92" t="s">
        <v>1044</v>
      </c>
      <c r="S1857" s="96"/>
    </row>
    <row r="1858" spans="1:19">
      <c r="A1858" s="95" t="s">
        <v>4140</v>
      </c>
      <c r="B1858" s="96" t="str">
        <f>IFERROR(VLOOKUP(Proc[[#This Row],[App]],Table2[],3,0),"open")</f>
        <v>open</v>
      </c>
      <c r="C1858" s="95" t="s">
        <v>370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/>
      <c r="O1858" s="93"/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0</v>
      </c>
      <c r="R1858" s="92" t="s">
        <v>1044</v>
      </c>
      <c r="S1858" s="96"/>
    </row>
    <row r="1859" spans="1:19">
      <c r="A1859" s="95" t="s">
        <v>4140</v>
      </c>
      <c r="B1859" s="96" t="str">
        <f>IFERROR(VLOOKUP(Proc[[#This Row],[App]],Table2[],3,0),"open")</f>
        <v>open</v>
      </c>
      <c r="C1859" s="95" t="s">
        <v>370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/>
      <c r="O1859" s="93"/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0</v>
      </c>
      <c r="R1859" s="92" t="s">
        <v>1044</v>
      </c>
      <c r="S1859" s="96"/>
    </row>
    <row r="1860" spans="1:19">
      <c r="A1860" s="95" t="s">
        <v>4140</v>
      </c>
      <c r="B1860" s="96" t="str">
        <f>IFERROR(VLOOKUP(Proc[[#This Row],[App]],Table2[],3,0),"open")</f>
        <v>open</v>
      </c>
      <c r="C1860" s="95" t="s">
        <v>370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/>
      <c r="O1860" s="93"/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0</v>
      </c>
      <c r="R1860" s="92" t="s">
        <v>1044</v>
      </c>
      <c r="S1860" s="96"/>
    </row>
    <row r="1861" spans="1:19">
      <c r="A1861" s="95" t="s">
        <v>4140</v>
      </c>
      <c r="B1861" s="96" t="str">
        <f>IFERROR(VLOOKUP(Proc[[#This Row],[App]],Table2[],3,0),"open")</f>
        <v>open</v>
      </c>
      <c r="C1861" s="95" t="s">
        <v>370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/>
      <c r="O1861" s="93"/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0</v>
      </c>
      <c r="R1861" s="92" t="s">
        <v>1044</v>
      </c>
      <c r="S1861" s="96"/>
    </row>
    <row r="1862" spans="1:19">
      <c r="A1862" s="95" t="s">
        <v>4140</v>
      </c>
      <c r="B1862" s="96" t="str">
        <f>IFERROR(VLOOKUP(Proc[[#This Row],[App]],Table2[],3,0),"open")</f>
        <v>open</v>
      </c>
      <c r="C1862" s="95" t="s">
        <v>370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/>
      <c r="O1862" s="93"/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0</v>
      </c>
      <c r="R1862" s="92" t="s">
        <v>1044</v>
      </c>
      <c r="S1862" s="96"/>
    </row>
    <row r="1863" spans="1:19">
      <c r="A1863" s="95" t="s">
        <v>4140</v>
      </c>
      <c r="B1863" s="96" t="str">
        <f>IFERROR(VLOOKUP(Proc[[#This Row],[App]],Table2[],3,0),"open")</f>
        <v>open</v>
      </c>
      <c r="C1863" s="95" t="s">
        <v>370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/>
      <c r="O1863" s="93"/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0</v>
      </c>
      <c r="R1863" s="92" t="s">
        <v>1044</v>
      </c>
      <c r="S1863" s="96"/>
    </row>
    <row r="1864" spans="1:19">
      <c r="A1864" s="95" t="s">
        <v>4140</v>
      </c>
      <c r="B1864" s="96" t="str">
        <f>IFERROR(VLOOKUP(Proc[[#This Row],[App]],Table2[],3,0),"open")</f>
        <v>open</v>
      </c>
      <c r="C1864" s="95" t="s">
        <v>370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/>
      <c r="O1864" s="93"/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0</v>
      </c>
      <c r="R1864" s="92" t="s">
        <v>1044</v>
      </c>
      <c r="S1864" s="96"/>
    </row>
    <row r="1865" spans="1:19">
      <c r="A1865" s="95" t="s">
        <v>4140</v>
      </c>
      <c r="B1865" s="96" t="str">
        <f>IFERROR(VLOOKUP(Proc[[#This Row],[App]],Table2[],3,0),"open")</f>
        <v>open</v>
      </c>
      <c r="C1865" s="95" t="s">
        <v>370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/>
      <c r="O1865" s="93"/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0</v>
      </c>
      <c r="R1865" s="92" t="s">
        <v>1044</v>
      </c>
      <c r="S1865" s="96"/>
    </row>
    <row r="1866" spans="1:19">
      <c r="A1866" s="95" t="s">
        <v>4140</v>
      </c>
      <c r="B1866" s="96" t="str">
        <f>IFERROR(VLOOKUP(Proc[[#This Row],[App]],Table2[],3,0),"open")</f>
        <v>open</v>
      </c>
      <c r="C1866" s="95" t="s">
        <v>370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/>
      <c r="O1866" s="93"/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0</v>
      </c>
      <c r="R1866" s="92" t="s">
        <v>1044</v>
      </c>
      <c r="S1866" s="96"/>
    </row>
    <row r="1867" spans="1:19">
      <c r="A1867" s="95" t="s">
        <v>4140</v>
      </c>
      <c r="B1867" s="96" t="str">
        <f>IFERROR(VLOOKUP(Proc[[#This Row],[App]],Table2[],3,0),"open")</f>
        <v>open</v>
      </c>
      <c r="C1867" s="95" t="s">
        <v>370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/>
      <c r="O1867" s="93"/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0</v>
      </c>
      <c r="R1867" s="92" t="s">
        <v>1044</v>
      </c>
      <c r="S1867" s="96"/>
    </row>
    <row r="1868" spans="1:19">
      <c r="A1868" s="95" t="s">
        <v>4140</v>
      </c>
      <c r="B1868" s="96" t="str">
        <f>IFERROR(VLOOKUP(Proc[[#This Row],[App]],Table2[],3,0),"open")</f>
        <v>open</v>
      </c>
      <c r="C1868" s="95" t="s">
        <v>370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/>
      <c r="O1868" s="93"/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0</v>
      </c>
      <c r="R1868" s="92" t="s">
        <v>1044</v>
      </c>
      <c r="S1868" s="96"/>
    </row>
    <row r="1869" spans="1:19">
      <c r="A1869" s="95" t="s">
        <v>4140</v>
      </c>
      <c r="B1869" s="96" t="str">
        <f>IFERROR(VLOOKUP(Proc[[#This Row],[App]],Table2[],3,0),"open")</f>
        <v>open</v>
      </c>
      <c r="C1869" s="95" t="s">
        <v>370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/>
      <c r="O1869" s="93"/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0</v>
      </c>
      <c r="R1869" s="92" t="s">
        <v>1044</v>
      </c>
      <c r="S1869" s="96"/>
    </row>
    <row r="1870" spans="1:19">
      <c r="A1870" s="95" t="s">
        <v>4140</v>
      </c>
      <c r="B1870" s="96" t="str">
        <f>IFERROR(VLOOKUP(Proc[[#This Row],[App]],Table2[],3,0),"open")</f>
        <v>open</v>
      </c>
      <c r="C1870" s="95" t="s">
        <v>370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/>
      <c r="O1870" s="93"/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0</v>
      </c>
      <c r="R1870" s="92" t="s">
        <v>1044</v>
      </c>
      <c r="S1870" s="96"/>
    </row>
    <row r="1871" spans="1:19">
      <c r="A1871" s="95" t="s">
        <v>4140</v>
      </c>
      <c r="B1871" s="96" t="str">
        <f>IFERROR(VLOOKUP(Proc[[#This Row],[App]],Table2[],3,0),"open")</f>
        <v>open</v>
      </c>
      <c r="C1871" s="95" t="s">
        <v>370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/>
      <c r="O1871" s="93"/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0</v>
      </c>
      <c r="R1871" s="92" t="s">
        <v>1044</v>
      </c>
      <c r="S1871" s="96"/>
    </row>
    <row r="1872" spans="1:19">
      <c r="A1872" s="95" t="s">
        <v>4140</v>
      </c>
      <c r="B1872" s="96" t="str">
        <f>IFERROR(VLOOKUP(Proc[[#This Row],[App]],Table2[],3,0),"open")</f>
        <v>open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4577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/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0</v>
      </c>
      <c r="R1872" s="92" t="s">
        <v>1044</v>
      </c>
      <c r="S1872" s="96"/>
    </row>
    <row r="1873" spans="1:19">
      <c r="A1873" s="95" t="s">
        <v>4140</v>
      </c>
      <c r="B1873" s="96" t="str">
        <f>IFERROR(VLOOKUP(Proc[[#This Row],[App]],Table2[],3,0),"open")</f>
        <v>open</v>
      </c>
      <c r="C1873" s="95" t="s">
        <v>370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/>
      <c r="O1873" s="93"/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0</v>
      </c>
      <c r="R1873" s="92" t="s">
        <v>1044</v>
      </c>
      <c r="S1873" s="96"/>
    </row>
    <row r="1874" spans="1:19">
      <c r="A1874" s="95" t="s">
        <v>4140</v>
      </c>
      <c r="B1874" s="96" t="str">
        <f>IFERROR(VLOOKUP(Proc[[#This Row],[App]],Table2[],3,0),"open")</f>
        <v>open</v>
      </c>
      <c r="C1874" s="95" t="s">
        <v>370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/>
      <c r="O1874" s="93"/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0</v>
      </c>
      <c r="R1874" s="92" t="s">
        <v>1044</v>
      </c>
      <c r="S1874" s="96"/>
    </row>
    <row r="1875" spans="1:19">
      <c r="A1875" s="95" t="s">
        <v>4140</v>
      </c>
      <c r="B1875" s="96" t="str">
        <f>IFERROR(VLOOKUP(Proc[[#This Row],[App]],Table2[],3,0),"open")</f>
        <v>open</v>
      </c>
      <c r="C1875" s="95" t="s">
        <v>370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/>
      <c r="O1875" s="93"/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0</v>
      </c>
      <c r="R1875" s="92" t="s">
        <v>1044</v>
      </c>
      <c r="S1875" s="96"/>
    </row>
    <row r="1876" spans="1:19">
      <c r="A1876" s="95" t="s">
        <v>4140</v>
      </c>
      <c r="B1876" s="96" t="str">
        <f>IFERROR(VLOOKUP(Proc[[#This Row],[App]],Table2[],3,0),"open")</f>
        <v>open</v>
      </c>
      <c r="C1876" s="95" t="s">
        <v>370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/>
      <c r="O1876" s="93"/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0</v>
      </c>
      <c r="R1876" s="92" t="s">
        <v>1044</v>
      </c>
      <c r="S1876" s="96"/>
    </row>
    <row r="1877" spans="1:19">
      <c r="A1877" s="95" t="s">
        <v>4140</v>
      </c>
      <c r="B1877" s="96" t="str">
        <f>IFERROR(VLOOKUP(Proc[[#This Row],[App]],Table2[],3,0),"open")</f>
        <v>open</v>
      </c>
      <c r="C1877" s="95" t="s">
        <v>370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/>
      <c r="O1877" s="93"/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0</v>
      </c>
      <c r="R1877" s="92" t="s">
        <v>1044</v>
      </c>
      <c r="S1877" s="96"/>
    </row>
    <row r="1878" spans="1:19">
      <c r="A1878" s="95" t="s">
        <v>4140</v>
      </c>
      <c r="B1878" s="96" t="str">
        <f>IFERROR(VLOOKUP(Proc[[#This Row],[App]],Table2[],3,0),"open")</f>
        <v>open</v>
      </c>
      <c r="C1878" s="95" t="s">
        <v>370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/>
      <c r="O1878" s="93"/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0</v>
      </c>
      <c r="R1878" s="92" t="s">
        <v>1044</v>
      </c>
      <c r="S1878" s="96"/>
    </row>
    <row r="1879" spans="1:19">
      <c r="A1879" s="95" t="s">
        <v>4140</v>
      </c>
      <c r="B1879" s="96" t="str">
        <f>IFERROR(VLOOKUP(Proc[[#This Row],[App]],Table2[],3,0),"open")</f>
        <v>open</v>
      </c>
      <c r="C1879" s="95" t="s">
        <v>370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/>
      <c r="O1879" s="93"/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0</v>
      </c>
      <c r="R1879" s="92" t="s">
        <v>1044</v>
      </c>
      <c r="S1879" s="96"/>
    </row>
    <row r="1880" spans="1:19">
      <c r="A1880" s="95" t="s">
        <v>4140</v>
      </c>
      <c r="B1880" s="96" t="str">
        <f>IFERROR(VLOOKUP(Proc[[#This Row],[App]],Table2[],3,0),"open")</f>
        <v>open</v>
      </c>
      <c r="C1880" s="95" t="s">
        <v>370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/>
      <c r="O1880" s="93"/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0</v>
      </c>
      <c r="R1880" s="92" t="s">
        <v>1044</v>
      </c>
      <c r="S1880" s="96"/>
    </row>
    <row r="1881" spans="1:19">
      <c r="A1881" s="95" t="s">
        <v>4140</v>
      </c>
      <c r="B1881" s="96" t="str">
        <f>IFERROR(VLOOKUP(Proc[[#This Row],[App]],Table2[],3,0),"open")</f>
        <v>open</v>
      </c>
      <c r="C1881" s="95" t="s">
        <v>370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/>
      <c r="O1881" s="93"/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0</v>
      </c>
      <c r="R1881" s="92" t="s">
        <v>1044</v>
      </c>
      <c r="S1881" s="96"/>
    </row>
    <row r="1882" spans="1:19">
      <c r="A1882" s="95" t="s">
        <v>4140</v>
      </c>
      <c r="B1882" s="96" t="str">
        <f>IFERROR(VLOOKUP(Proc[[#This Row],[App]],Table2[],3,0),"open")</f>
        <v>open</v>
      </c>
      <c r="C1882" s="95" t="s">
        <v>370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/>
      <c r="O1882" s="93"/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0</v>
      </c>
      <c r="R1882" s="92" t="s">
        <v>1044</v>
      </c>
      <c r="S1882" s="96"/>
    </row>
    <row r="1883" spans="1:19">
      <c r="A1883" s="95" t="s">
        <v>4140</v>
      </c>
      <c r="B1883" s="96" t="str">
        <f>IFERROR(VLOOKUP(Proc[[#This Row],[App]],Table2[],3,0),"open")</f>
        <v>open</v>
      </c>
      <c r="C1883" s="95" t="s">
        <v>370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/>
      <c r="O1883" s="93"/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0</v>
      </c>
      <c r="R1883" s="92" t="s">
        <v>1044</v>
      </c>
      <c r="S1883" s="96"/>
    </row>
    <row r="1884" spans="1:19">
      <c r="A1884" s="95" t="s">
        <v>4140</v>
      </c>
      <c r="B1884" s="96" t="str">
        <f>IFERROR(VLOOKUP(Proc[[#This Row],[App]],Table2[],3,0),"open")</f>
        <v>open</v>
      </c>
      <c r="C1884" s="95" t="s">
        <v>370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/>
      <c r="O1884" s="93"/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0</v>
      </c>
      <c r="R1884" s="92" t="s">
        <v>1044</v>
      </c>
      <c r="S1884" s="96"/>
    </row>
    <row r="1885" spans="1:19">
      <c r="A1885" s="95" t="s">
        <v>4140</v>
      </c>
      <c r="B1885" s="96" t="str">
        <f>IFERROR(VLOOKUP(Proc[[#This Row],[App]],Table2[],3,0),"open")</f>
        <v>open</v>
      </c>
      <c r="C1885" s="95" t="s">
        <v>370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/>
      <c r="O1885" s="93"/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0</v>
      </c>
      <c r="R1885" s="92" t="s">
        <v>1044</v>
      </c>
      <c r="S1885" s="96"/>
    </row>
    <row r="1886" spans="1:19">
      <c r="A1886" s="95" t="s">
        <v>4140</v>
      </c>
      <c r="B1886" s="96" t="str">
        <f>IFERROR(VLOOKUP(Proc[[#This Row],[App]],Table2[],3,0),"open")</f>
        <v>open</v>
      </c>
      <c r="C1886" s="95" t="s">
        <v>370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/>
      <c r="O1886" s="93"/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0</v>
      </c>
      <c r="R1886" s="92" t="s">
        <v>1044</v>
      </c>
      <c r="S1886" s="96"/>
    </row>
    <row r="1887" spans="1:19">
      <c r="A1887" s="95" t="s">
        <v>4140</v>
      </c>
      <c r="B1887" s="96" t="str">
        <f>IFERROR(VLOOKUP(Proc[[#This Row],[App]],Table2[],3,0),"open")</f>
        <v>open</v>
      </c>
      <c r="C1887" s="95" t="s">
        <v>370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/>
      <c r="O1887" s="93"/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0</v>
      </c>
      <c r="R1887" s="92" t="s">
        <v>1044</v>
      </c>
      <c r="S1887" s="96"/>
    </row>
    <row r="1888" spans="1:19">
      <c r="A1888" s="95" t="s">
        <v>4140</v>
      </c>
      <c r="B1888" s="96" t="str">
        <f>IFERROR(VLOOKUP(Proc[[#This Row],[App]],Table2[],3,0),"open")</f>
        <v>open</v>
      </c>
      <c r="C1888" s="95" t="s">
        <v>370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/>
      <c r="O1888" s="93"/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0</v>
      </c>
      <c r="R1888" s="92" t="s">
        <v>1044</v>
      </c>
      <c r="S1888" s="96"/>
    </row>
    <row r="1889" spans="1:19">
      <c r="A1889" s="95" t="s">
        <v>4140</v>
      </c>
      <c r="B1889" s="96" t="str">
        <f>IFERROR(VLOOKUP(Proc[[#This Row],[App]],Table2[],3,0),"open")</f>
        <v>open</v>
      </c>
      <c r="C1889" s="95" t="s">
        <v>370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/>
      <c r="O1889" s="93"/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0</v>
      </c>
      <c r="R1889" s="92" t="s">
        <v>1044</v>
      </c>
      <c r="S1889" s="96"/>
    </row>
    <row r="1890" spans="1:19">
      <c r="A1890" s="95" t="s">
        <v>4140</v>
      </c>
      <c r="B1890" s="96" t="str">
        <f>IFERROR(VLOOKUP(Proc[[#This Row],[App]],Table2[],3,0),"open")</f>
        <v>open</v>
      </c>
      <c r="C1890" s="95" t="s">
        <v>370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/>
      <c r="O1890" s="93"/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0</v>
      </c>
      <c r="R1890" s="92" t="s">
        <v>1044</v>
      </c>
      <c r="S1890" s="96"/>
    </row>
    <row r="1891" spans="1:19">
      <c r="A1891" s="95" t="s">
        <v>4140</v>
      </c>
      <c r="B1891" s="96" t="str">
        <f>IFERROR(VLOOKUP(Proc[[#This Row],[App]],Table2[],3,0),"open")</f>
        <v>open</v>
      </c>
      <c r="C1891" s="95" t="s">
        <v>370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/>
      <c r="O1891" s="93"/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0</v>
      </c>
      <c r="R1891" s="92" t="s">
        <v>1044</v>
      </c>
      <c r="S1891" s="96"/>
    </row>
    <row r="1892" spans="1:19">
      <c r="A1892" s="95" t="s">
        <v>4140</v>
      </c>
      <c r="B1892" s="96" t="str">
        <f>IFERROR(VLOOKUP(Proc[[#This Row],[App]],Table2[],3,0),"open")</f>
        <v>open</v>
      </c>
      <c r="C1892" s="95" t="s">
        <v>370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/>
      <c r="O1892" s="93"/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0</v>
      </c>
      <c r="R1892" s="92" t="s">
        <v>1044</v>
      </c>
      <c r="S1892" s="96"/>
    </row>
    <row r="1893" spans="1:19">
      <c r="A1893" s="95" t="s">
        <v>4140</v>
      </c>
      <c r="B1893" s="96" t="str">
        <f>IFERROR(VLOOKUP(Proc[[#This Row],[App]],Table2[],3,0),"open")</f>
        <v>open</v>
      </c>
      <c r="C1893" s="95" t="s">
        <v>370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/>
      <c r="O1893" s="93"/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0</v>
      </c>
      <c r="R1893" s="92" t="s">
        <v>1044</v>
      </c>
      <c r="S1893" s="96"/>
    </row>
    <row r="1894" spans="1:19">
      <c r="A1894" s="95" t="s">
        <v>4140</v>
      </c>
      <c r="B1894" s="96" t="str">
        <f>IFERROR(VLOOKUP(Proc[[#This Row],[App]],Table2[],3,0),"open")</f>
        <v>open</v>
      </c>
      <c r="C1894" s="95" t="s">
        <v>370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/>
      <c r="O1894" s="93"/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0</v>
      </c>
      <c r="R1894" s="92" t="s">
        <v>1044</v>
      </c>
      <c r="S1894" s="96"/>
    </row>
    <row r="1895" spans="1:19">
      <c r="A1895" s="95" t="s">
        <v>4140</v>
      </c>
      <c r="B1895" s="96" t="str">
        <f>IFERROR(VLOOKUP(Proc[[#This Row],[App]],Table2[],3,0),"open")</f>
        <v>open</v>
      </c>
      <c r="C1895" s="95" t="s">
        <v>370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/>
      <c r="O1895" s="93"/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0</v>
      </c>
      <c r="R1895" s="92" t="s">
        <v>1044</v>
      </c>
      <c r="S1895" s="96"/>
    </row>
    <row r="1896" spans="1:19">
      <c r="A1896" s="95" t="s">
        <v>4140</v>
      </c>
      <c r="B1896" s="96" t="str">
        <f>IFERROR(VLOOKUP(Proc[[#This Row],[App]],Table2[],3,0),"open")</f>
        <v>open</v>
      </c>
      <c r="C1896" s="95" t="s">
        <v>370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/>
      <c r="O1896" s="93"/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0</v>
      </c>
      <c r="R1896" s="92" t="s">
        <v>1044</v>
      </c>
      <c r="S1896" s="96"/>
    </row>
    <row r="1897" spans="1:19">
      <c r="A1897" s="95" t="s">
        <v>4140</v>
      </c>
      <c r="B1897" s="96" t="str">
        <f>IFERROR(VLOOKUP(Proc[[#This Row],[App]],Table2[],3,0),"open")</f>
        <v>open</v>
      </c>
      <c r="C1897" s="95" t="s">
        <v>370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/>
      <c r="O1897" s="93"/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0</v>
      </c>
      <c r="R1897" s="92" t="s">
        <v>1044</v>
      </c>
      <c r="S1897" s="96"/>
    </row>
    <row r="1898" spans="1:19">
      <c r="A1898" s="95" t="s">
        <v>4140</v>
      </c>
      <c r="B1898" s="96" t="str">
        <f>IFERROR(VLOOKUP(Proc[[#This Row],[App]],Table2[],3,0),"open")</f>
        <v>open</v>
      </c>
      <c r="C1898" s="95" t="s">
        <v>370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/>
      <c r="O1898" s="93"/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0</v>
      </c>
      <c r="R1898" s="92" t="s">
        <v>1044</v>
      </c>
      <c r="S1898" s="96"/>
    </row>
    <row r="1899" spans="1:19">
      <c r="A1899" s="95" t="s">
        <v>4140</v>
      </c>
      <c r="B1899" s="96" t="str">
        <f>IFERROR(VLOOKUP(Proc[[#This Row],[App]],Table2[],3,0),"open")</f>
        <v>open</v>
      </c>
      <c r="C1899" s="95" t="s">
        <v>370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/>
      <c r="O1899" s="93"/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0</v>
      </c>
      <c r="R1899" s="92" t="s">
        <v>1044</v>
      </c>
      <c r="S1899" s="96"/>
    </row>
    <row r="1900" spans="1:19">
      <c r="A1900" s="95" t="s">
        <v>4140</v>
      </c>
      <c r="B1900" s="96" t="str">
        <f>IFERROR(VLOOKUP(Proc[[#This Row],[App]],Table2[],3,0),"open")</f>
        <v>open</v>
      </c>
      <c r="C1900" s="95" t="s">
        <v>370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/>
      <c r="O1900" s="93"/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0</v>
      </c>
      <c r="R1900" s="92" t="s">
        <v>1044</v>
      </c>
      <c r="S1900" s="96"/>
    </row>
    <row r="1901" spans="1:19">
      <c r="A1901" s="95" t="s">
        <v>4140</v>
      </c>
      <c r="B1901" s="96" t="str">
        <f>IFERROR(VLOOKUP(Proc[[#This Row],[App]],Table2[],3,0),"open")</f>
        <v>open</v>
      </c>
      <c r="C1901" s="95" t="s">
        <v>370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/>
      <c r="O1901" s="93"/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0</v>
      </c>
      <c r="R1901" s="92" t="s">
        <v>1044</v>
      </c>
      <c r="S1901" s="96"/>
    </row>
    <row r="1902" spans="1:19">
      <c r="A1902" s="95" t="s">
        <v>4140</v>
      </c>
      <c r="B1902" s="96" t="str">
        <f>IFERROR(VLOOKUP(Proc[[#This Row],[App]],Table2[],3,0),"open")</f>
        <v>open</v>
      </c>
      <c r="C1902" s="95" t="s">
        <v>370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/>
      <c r="O1902" s="93"/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0</v>
      </c>
      <c r="R1902" s="92" t="s">
        <v>1044</v>
      </c>
      <c r="S1902" s="96"/>
    </row>
    <row r="1903" spans="1:19">
      <c r="A1903" s="95" t="s">
        <v>4140</v>
      </c>
      <c r="B1903" s="96" t="str">
        <f>IFERROR(VLOOKUP(Proc[[#This Row],[App]],Table2[],3,0),"open")</f>
        <v>open</v>
      </c>
      <c r="C1903" s="95" t="s">
        <v>370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/>
      <c r="O1903" s="93"/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0</v>
      </c>
      <c r="R1903" s="92" t="s">
        <v>1044</v>
      </c>
      <c r="S1903" s="96"/>
    </row>
    <row r="1904" spans="1:19">
      <c r="A1904" s="95" t="s">
        <v>4140</v>
      </c>
      <c r="B1904" s="96" t="str">
        <f>IFERROR(VLOOKUP(Proc[[#This Row],[App]],Table2[],3,0),"open")</f>
        <v>open</v>
      </c>
      <c r="C1904" s="95" t="s">
        <v>370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/>
      <c r="O1904" s="93"/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0</v>
      </c>
      <c r="R1904" s="92" t="s">
        <v>1044</v>
      </c>
      <c r="S1904" s="96"/>
    </row>
    <row r="1905" spans="1:19">
      <c r="A1905" s="95" t="s">
        <v>4140</v>
      </c>
      <c r="B1905" s="96" t="str">
        <f>IFERROR(VLOOKUP(Proc[[#This Row],[App]],Table2[],3,0),"open")</f>
        <v>open</v>
      </c>
      <c r="C1905" s="95" t="s">
        <v>370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/>
      <c r="O1905" s="93"/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0</v>
      </c>
      <c r="R1905" s="92" t="s">
        <v>1044</v>
      </c>
      <c r="S1905" s="96"/>
    </row>
    <row r="1906" spans="1:19">
      <c r="A1906" s="95" t="s">
        <v>4140</v>
      </c>
      <c r="B1906" s="96" t="str">
        <f>IFERROR(VLOOKUP(Proc[[#This Row],[App]],Table2[],3,0),"open")</f>
        <v>open</v>
      </c>
      <c r="C1906" s="95" t="s">
        <v>370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/>
      <c r="O1906" s="93"/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0</v>
      </c>
      <c r="R1906" s="92" t="s">
        <v>1044</v>
      </c>
      <c r="S1906" s="96"/>
    </row>
    <row r="1907" spans="1:19">
      <c r="A1907" s="95" t="s">
        <v>4140</v>
      </c>
      <c r="B1907" s="96" t="str">
        <f>IFERROR(VLOOKUP(Proc[[#This Row],[App]],Table2[],3,0),"open")</f>
        <v>open</v>
      </c>
      <c r="C1907" s="95" t="s">
        <v>370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/>
      <c r="O1907" s="93"/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0</v>
      </c>
      <c r="R1907" s="92" t="s">
        <v>1044</v>
      </c>
      <c r="S1907" s="96"/>
    </row>
    <row r="1908" spans="1:19">
      <c r="A1908" s="95" t="s">
        <v>4140</v>
      </c>
      <c r="B1908" s="96" t="str">
        <f>IFERROR(VLOOKUP(Proc[[#This Row],[App]],Table2[],3,0),"open")</f>
        <v>open</v>
      </c>
      <c r="C1908" s="95" t="s">
        <v>370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/>
      <c r="O1908" s="93"/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0</v>
      </c>
      <c r="R1908" s="92" t="s">
        <v>1044</v>
      </c>
      <c r="S1908" s="96"/>
    </row>
    <row r="1909" spans="1:19">
      <c r="A1909" s="95" t="s">
        <v>4140</v>
      </c>
      <c r="B1909" s="96" t="str">
        <f>IFERROR(VLOOKUP(Proc[[#This Row],[App]],Table2[],3,0),"open")</f>
        <v>open</v>
      </c>
      <c r="C1909" s="95" t="s">
        <v>370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/>
      <c r="O1909" s="93"/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0</v>
      </c>
      <c r="R1909" s="92" t="s">
        <v>1044</v>
      </c>
      <c r="S1909" s="96"/>
    </row>
    <row r="1910" spans="1:19">
      <c r="A1910" t="s">
        <v>4247</v>
      </c>
      <c r="B1910" s="96" t="str">
        <f>IFERROR(VLOOKUP(Proc[[#This Row],[App]],Table2[],3,0),"open")</f>
        <v>open</v>
      </c>
      <c r="C1910" s="95" t="s">
        <v>370</v>
      </c>
      <c r="D1910" t="s">
        <v>4248</v>
      </c>
      <c r="E1910" t="s">
        <v>4573</v>
      </c>
      <c r="F1910" s="96"/>
      <c r="G1910" s="95" t="s">
        <v>400</v>
      </c>
      <c r="H1910" s="96" t="str">
        <f>IF(Proc[[#This Row],[type]]="LFF (MDG-F)",MID(Proc[[#This Row],[Obj]],13,10),"")</f>
        <v/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/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0</v>
      </c>
      <c r="R1910" s="92" t="s">
        <v>1044</v>
      </c>
      <c r="S1910" s="96"/>
    </row>
    <row r="1911" spans="1:19">
      <c r="A1911" s="95" t="s">
        <v>4247</v>
      </c>
      <c r="B1911" s="96" t="str">
        <f>IFERROR(VLOOKUP(Proc[[#This Row],[App]],Table2[],3,0),"open")</f>
        <v>open</v>
      </c>
      <c r="C1911" s="95" t="s">
        <v>370</v>
      </c>
      <c r="D1911" t="s">
        <v>4249</v>
      </c>
      <c r="E1911" t="s">
        <v>4574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/>
      <c r="O1911" s="93"/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0</v>
      </c>
      <c r="R1911" s="92" t="s">
        <v>1044</v>
      </c>
      <c r="S1911" s="96"/>
    </row>
    <row r="1912" spans="1:19">
      <c r="A1912" s="95" t="s">
        <v>4247</v>
      </c>
      <c r="B1912" s="96" t="str">
        <f>IFERROR(VLOOKUP(Proc[[#This Row],[App]],Table2[],3,0),"open")</f>
        <v>open</v>
      </c>
      <c r="C1912" s="95" t="s">
        <v>370</v>
      </c>
      <c r="D1912" t="s">
        <v>4250</v>
      </c>
      <c r="E1912" t="s">
        <v>4575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/>
      <c r="O1912" s="93"/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0</v>
      </c>
      <c r="R1912" s="92" t="s">
        <v>1044</v>
      </c>
      <c r="S1912" s="96"/>
    </row>
    <row r="1913" spans="1:19">
      <c r="A1913" s="95" t="s">
        <v>4247</v>
      </c>
      <c r="B1913" s="96" t="str">
        <f>IFERROR(VLOOKUP(Proc[[#This Row],[App]],Table2[],3,0),"open")</f>
        <v>open</v>
      </c>
      <c r="C1913" s="95" t="s">
        <v>370</v>
      </c>
      <c r="D1913" t="s">
        <v>4251</v>
      </c>
      <c r="E1913" t="s">
        <v>4575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/>
      <c r="O1913" s="93"/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0</v>
      </c>
      <c r="R1913" s="92" t="s">
        <v>1044</v>
      </c>
      <c r="S1913" s="96"/>
    </row>
    <row r="1914" spans="1:19">
      <c r="A1914" s="95" t="s">
        <v>4247</v>
      </c>
      <c r="B1914" s="96" t="str">
        <f>IFERROR(VLOOKUP(Proc[[#This Row],[App]],Table2[],3,0),"open")</f>
        <v>open</v>
      </c>
      <c r="C1914" s="95" t="s">
        <v>370</v>
      </c>
      <c r="D1914" t="s">
        <v>4252</v>
      </c>
      <c r="E1914" t="s">
        <v>4575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/>
      <c r="O1914" s="93"/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0</v>
      </c>
      <c r="R1914" s="92" t="s">
        <v>1044</v>
      </c>
      <c r="S1914" s="96"/>
    </row>
    <row r="1915" spans="1:19">
      <c r="A1915" s="95" t="s">
        <v>4247</v>
      </c>
      <c r="B1915" s="96" t="str">
        <f>IFERROR(VLOOKUP(Proc[[#This Row],[App]],Table2[],3,0),"open")</f>
        <v>open</v>
      </c>
      <c r="C1915" s="95" t="s">
        <v>370</v>
      </c>
      <c r="D1915" t="s">
        <v>4253</v>
      </c>
      <c r="E1915" t="s">
        <v>4575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/>
      <c r="O1915" s="93"/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0</v>
      </c>
      <c r="R1915" s="92" t="s">
        <v>1044</v>
      </c>
      <c r="S1915" s="96"/>
    </row>
    <row r="1916" spans="1:19">
      <c r="A1916" s="95" t="s">
        <v>4247</v>
      </c>
      <c r="B1916" s="96" t="str">
        <f>IFERROR(VLOOKUP(Proc[[#This Row],[App]],Table2[],3,0),"open")</f>
        <v>open</v>
      </c>
      <c r="C1916" s="95" t="s">
        <v>370</v>
      </c>
      <c r="D1916" t="s">
        <v>4254</v>
      </c>
      <c r="E1916" t="s">
        <v>4575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/>
      <c r="O1916" s="93"/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0</v>
      </c>
      <c r="R1916" s="92" t="s">
        <v>1044</v>
      </c>
      <c r="S1916" s="96"/>
    </row>
    <row r="1917" spans="1:19">
      <c r="A1917" s="95" t="s">
        <v>4247</v>
      </c>
      <c r="B1917" s="96" t="str">
        <f>IFERROR(VLOOKUP(Proc[[#This Row],[App]],Table2[],3,0),"open")</f>
        <v>open</v>
      </c>
      <c r="C1917" s="95" t="s">
        <v>370</v>
      </c>
      <c r="D1917" t="s">
        <v>4255</v>
      </c>
      <c r="E1917" t="s">
        <v>4575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/>
      <c r="O1917" s="93"/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0</v>
      </c>
      <c r="R1917" s="92" t="s">
        <v>1044</v>
      </c>
      <c r="S1917" s="96"/>
    </row>
    <row r="1918" spans="1:19">
      <c r="A1918" s="95" t="s">
        <v>4247</v>
      </c>
      <c r="B1918" s="96" t="str">
        <f>IFERROR(VLOOKUP(Proc[[#This Row],[App]],Table2[],3,0),"open")</f>
        <v>open</v>
      </c>
      <c r="C1918" s="95" t="s">
        <v>370</v>
      </c>
      <c r="D1918" t="s">
        <v>4256</v>
      </c>
      <c r="E1918" t="s">
        <v>4575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/>
      <c r="O1918" s="93"/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0</v>
      </c>
      <c r="R1918" s="92" t="s">
        <v>1044</v>
      </c>
      <c r="S1918" s="96"/>
    </row>
    <row r="1919" spans="1:19">
      <c r="A1919" s="95" t="s">
        <v>4247</v>
      </c>
      <c r="B1919" s="96" t="str">
        <f>IFERROR(VLOOKUP(Proc[[#This Row],[App]],Table2[],3,0),"open")</f>
        <v>open</v>
      </c>
      <c r="C1919" s="95" t="s">
        <v>370</v>
      </c>
      <c r="D1919" t="s">
        <v>4257</v>
      </c>
      <c r="E1919" t="s">
        <v>4575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/>
      <c r="O1919" s="93"/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0</v>
      </c>
      <c r="R1919" s="92" t="s">
        <v>1044</v>
      </c>
      <c r="S1919" s="96"/>
    </row>
    <row r="1920" spans="1:19">
      <c r="A1920" s="95" t="s">
        <v>4247</v>
      </c>
      <c r="B1920" s="96" t="str">
        <f>IFERROR(VLOOKUP(Proc[[#This Row],[App]],Table2[],3,0),"open")</f>
        <v>open</v>
      </c>
      <c r="C1920" s="95" t="s">
        <v>370</v>
      </c>
      <c r="D1920" t="s">
        <v>4258</v>
      </c>
      <c r="E1920" t="s">
        <v>4575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/>
      <c r="O1920" s="93"/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0</v>
      </c>
      <c r="R1920" s="92" t="s">
        <v>1044</v>
      </c>
      <c r="S1920" s="96"/>
    </row>
    <row r="1921" spans="1:19">
      <c r="A1921" s="95" t="s">
        <v>4247</v>
      </c>
      <c r="B1921" s="96" t="str">
        <f>IFERROR(VLOOKUP(Proc[[#This Row],[App]],Table2[],3,0),"open")</f>
        <v>open</v>
      </c>
      <c r="C1921" s="95" t="s">
        <v>370</v>
      </c>
      <c r="D1921" t="s">
        <v>4259</v>
      </c>
      <c r="E1921" t="s">
        <v>4575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/>
      <c r="O1921" s="93"/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0</v>
      </c>
      <c r="R1921" s="92" t="s">
        <v>1044</v>
      </c>
      <c r="S1921" s="96"/>
    </row>
    <row r="1922" spans="1:19">
      <c r="A1922" s="95" t="s">
        <v>4247</v>
      </c>
      <c r="B1922" s="96" t="str">
        <f>IFERROR(VLOOKUP(Proc[[#This Row],[App]],Table2[],3,0),"open")</f>
        <v>open</v>
      </c>
      <c r="C1922" s="95" t="s">
        <v>370</v>
      </c>
      <c r="D1922" t="s">
        <v>4260</v>
      </c>
      <c r="E1922" t="s">
        <v>4575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/>
      <c r="O1922" s="93"/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0</v>
      </c>
      <c r="R1922" s="92" t="s">
        <v>1044</v>
      </c>
      <c r="S1922" s="96"/>
    </row>
    <row r="1923" spans="1:19">
      <c r="A1923" s="95" t="s">
        <v>4247</v>
      </c>
      <c r="B1923" s="96" t="str">
        <f>IFERROR(VLOOKUP(Proc[[#This Row],[App]],Table2[],3,0),"open")</f>
        <v>open</v>
      </c>
      <c r="C1923" s="95" t="s">
        <v>370</v>
      </c>
      <c r="D1923" t="s">
        <v>4261</v>
      </c>
      <c r="E1923" t="s">
        <v>4575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/>
      <c r="O1923" s="93"/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0</v>
      </c>
      <c r="R1923" s="92" t="s">
        <v>1044</v>
      </c>
      <c r="S1923" s="96"/>
    </row>
    <row r="1924" spans="1:19">
      <c r="A1924" s="95" t="s">
        <v>4247</v>
      </c>
      <c r="B1924" s="96" t="str">
        <f>IFERROR(VLOOKUP(Proc[[#This Row],[App]],Table2[],3,0),"open")</f>
        <v>open</v>
      </c>
      <c r="C1924" s="95" t="s">
        <v>370</v>
      </c>
      <c r="D1924" t="s">
        <v>4262</v>
      </c>
      <c r="E1924" t="s">
        <v>4575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/>
      <c r="O1924" s="93"/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0</v>
      </c>
      <c r="R1924" s="92" t="s">
        <v>1044</v>
      </c>
      <c r="S1924" s="96"/>
    </row>
    <row r="1925" spans="1:19">
      <c r="A1925" s="95" t="s">
        <v>4247</v>
      </c>
      <c r="B1925" s="96" t="str">
        <f>IFERROR(VLOOKUP(Proc[[#This Row],[App]],Table2[],3,0),"open")</f>
        <v>open</v>
      </c>
      <c r="C1925" s="95" t="s">
        <v>370</v>
      </c>
      <c r="D1925" t="s">
        <v>4263</v>
      </c>
      <c r="E1925" t="s">
        <v>4575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/>
      <c r="O1925" s="93"/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0</v>
      </c>
      <c r="R1925" s="92" t="s">
        <v>1044</v>
      </c>
      <c r="S1925" s="96"/>
    </row>
    <row r="1926" spans="1:19">
      <c r="A1926" s="95" t="s">
        <v>4247</v>
      </c>
      <c r="B1926" s="96" t="str">
        <f>IFERROR(VLOOKUP(Proc[[#This Row],[App]],Table2[],3,0),"open")</f>
        <v>open</v>
      </c>
      <c r="C1926" s="95" t="s">
        <v>370</v>
      </c>
      <c r="D1926" t="s">
        <v>4264</v>
      </c>
      <c r="E1926" t="s">
        <v>4575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/>
      <c r="O1926" s="93"/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0</v>
      </c>
      <c r="R1926" s="92" t="s">
        <v>1044</v>
      </c>
      <c r="S1926" s="96"/>
    </row>
    <row r="1927" spans="1:19">
      <c r="A1927" s="95" t="s">
        <v>4247</v>
      </c>
      <c r="B1927" s="96" t="str">
        <f>IFERROR(VLOOKUP(Proc[[#This Row],[App]],Table2[],3,0),"open")</f>
        <v>open</v>
      </c>
      <c r="C1927" s="95" t="s">
        <v>370</v>
      </c>
      <c r="D1927" t="s">
        <v>4265</v>
      </c>
      <c r="E1927" t="s">
        <v>4575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/>
      <c r="O1927" s="93"/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0</v>
      </c>
      <c r="R1927" s="92" t="s">
        <v>1044</v>
      </c>
      <c r="S1927" s="96"/>
    </row>
    <row r="1928" spans="1:19">
      <c r="A1928" s="95" t="s">
        <v>4247</v>
      </c>
      <c r="B1928" s="96" t="str">
        <f>IFERROR(VLOOKUP(Proc[[#This Row],[App]],Table2[],3,0),"open")</f>
        <v>open</v>
      </c>
      <c r="C1928" s="95" t="s">
        <v>370</v>
      </c>
      <c r="D1928" t="s">
        <v>4266</v>
      </c>
      <c r="E1928" t="s">
        <v>4575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/>
      <c r="O1928" s="93"/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0</v>
      </c>
      <c r="R1928" s="92" t="s">
        <v>1044</v>
      </c>
      <c r="S1928" s="96"/>
    </row>
    <row r="1929" spans="1:19">
      <c r="A1929" s="95" t="s">
        <v>4247</v>
      </c>
      <c r="B1929" s="96" t="str">
        <f>IFERROR(VLOOKUP(Proc[[#This Row],[App]],Table2[],3,0),"open")</f>
        <v>open</v>
      </c>
      <c r="C1929" s="95" t="s">
        <v>370</v>
      </c>
      <c r="D1929" t="s">
        <v>4267</v>
      </c>
      <c r="E1929" t="s">
        <v>4575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/>
      <c r="O1929" s="93"/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0</v>
      </c>
      <c r="R1929" s="92" t="s">
        <v>1044</v>
      </c>
      <c r="S1929" s="96"/>
    </row>
    <row r="1930" spans="1:19">
      <c r="A1930" s="95" t="s">
        <v>4247</v>
      </c>
      <c r="B1930" s="96" t="str">
        <f>IFERROR(VLOOKUP(Proc[[#This Row],[App]],Table2[],3,0),"open")</f>
        <v>open</v>
      </c>
      <c r="C1930" s="95" t="s">
        <v>370</v>
      </c>
      <c r="D1930" t="s">
        <v>4268</v>
      </c>
      <c r="E1930" t="s">
        <v>4575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/>
      <c r="O1930" s="93"/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0</v>
      </c>
      <c r="R1930" s="92" t="s">
        <v>1044</v>
      </c>
      <c r="S1930" s="96"/>
    </row>
    <row r="1931" spans="1:19">
      <c r="A1931" s="95" t="s">
        <v>4247</v>
      </c>
      <c r="B1931" s="96" t="str">
        <f>IFERROR(VLOOKUP(Proc[[#This Row],[App]],Table2[],3,0),"open")</f>
        <v>open</v>
      </c>
      <c r="C1931" s="95" t="s">
        <v>370</v>
      </c>
      <c r="D1931" t="s">
        <v>4269</v>
      </c>
      <c r="E1931" t="s">
        <v>4575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/>
      <c r="O1931" s="93"/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0</v>
      </c>
      <c r="R1931" s="92" t="s">
        <v>1044</v>
      </c>
      <c r="S1931" s="96"/>
    </row>
    <row r="1932" spans="1:19">
      <c r="A1932" s="95" t="s">
        <v>4247</v>
      </c>
      <c r="B1932" s="96" t="str">
        <f>IFERROR(VLOOKUP(Proc[[#This Row],[App]],Table2[],3,0),"open")</f>
        <v>open</v>
      </c>
      <c r="C1932" s="95" t="s">
        <v>370</v>
      </c>
      <c r="D1932" t="s">
        <v>4270</v>
      </c>
      <c r="E1932" t="s">
        <v>4575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/>
      <c r="O1932" s="93"/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0</v>
      </c>
      <c r="R1932" s="92" t="s">
        <v>1044</v>
      </c>
      <c r="S1932" s="96"/>
    </row>
    <row r="1933" spans="1:19">
      <c r="A1933" s="95" t="s">
        <v>4247</v>
      </c>
      <c r="B1933" s="96" t="str">
        <f>IFERROR(VLOOKUP(Proc[[#This Row],[App]],Table2[],3,0),"open")</f>
        <v>open</v>
      </c>
      <c r="C1933" s="95" t="s">
        <v>370</v>
      </c>
      <c r="D1933" t="s">
        <v>4271</v>
      </c>
      <c r="E1933" t="s">
        <v>4575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/>
      <c r="O1933" s="93"/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0</v>
      </c>
      <c r="R1933" s="92" t="s">
        <v>1044</v>
      </c>
      <c r="S1933" s="96"/>
    </row>
    <row r="1934" spans="1:19">
      <c r="A1934" s="95" t="s">
        <v>4247</v>
      </c>
      <c r="B1934" s="96" t="str">
        <f>IFERROR(VLOOKUP(Proc[[#This Row],[App]],Table2[],3,0),"open")</f>
        <v>open</v>
      </c>
      <c r="C1934" s="95" t="s">
        <v>370</v>
      </c>
      <c r="D1934" t="s">
        <v>4272</v>
      </c>
      <c r="E1934" t="s">
        <v>4575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/>
      <c r="O1934" s="93"/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0</v>
      </c>
      <c r="R1934" s="92" t="s">
        <v>1044</v>
      </c>
      <c r="S1934" s="96"/>
    </row>
    <row r="1935" spans="1:19">
      <c r="A1935" s="95" t="s">
        <v>4247</v>
      </c>
      <c r="B1935" s="96" t="str">
        <f>IFERROR(VLOOKUP(Proc[[#This Row],[App]],Table2[],3,0),"open")</f>
        <v>open</v>
      </c>
      <c r="C1935" s="95" t="s">
        <v>370</v>
      </c>
      <c r="D1935" t="s">
        <v>4273</v>
      </c>
      <c r="E1935" t="s">
        <v>4575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/>
      <c r="O1935" s="93"/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0</v>
      </c>
      <c r="R1935" s="92" t="s">
        <v>1044</v>
      </c>
      <c r="S1935" s="96"/>
    </row>
    <row r="1936" spans="1:19">
      <c r="A1936" s="95" t="s">
        <v>4247</v>
      </c>
      <c r="B1936" s="96" t="str">
        <f>IFERROR(VLOOKUP(Proc[[#This Row],[App]],Table2[],3,0),"open")</f>
        <v>open</v>
      </c>
      <c r="C1936" s="95" t="s">
        <v>370</v>
      </c>
      <c r="D1936" t="s">
        <v>4274</v>
      </c>
      <c r="E1936" t="s">
        <v>4575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/>
      <c r="O1936" s="93"/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0</v>
      </c>
      <c r="R1936" s="92" t="s">
        <v>1044</v>
      </c>
      <c r="S1936" s="96"/>
    </row>
    <row r="1937" spans="1:19">
      <c r="A1937" s="95" t="s">
        <v>4247</v>
      </c>
      <c r="B1937" s="96" t="str">
        <f>IFERROR(VLOOKUP(Proc[[#This Row],[App]],Table2[],3,0),"open")</f>
        <v>open</v>
      </c>
      <c r="C1937" s="95" t="s">
        <v>370</v>
      </c>
      <c r="D1937" t="s">
        <v>4275</v>
      </c>
      <c r="E1937" t="s">
        <v>4575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/>
      <c r="O1937" s="93"/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0</v>
      </c>
      <c r="R1937" s="92" t="s">
        <v>1044</v>
      </c>
      <c r="S1937" s="96"/>
    </row>
    <row r="1938" spans="1:19">
      <c r="A1938" s="95" t="s">
        <v>4247</v>
      </c>
      <c r="B1938" s="96" t="str">
        <f>IFERROR(VLOOKUP(Proc[[#This Row],[App]],Table2[],3,0),"open")</f>
        <v>open</v>
      </c>
      <c r="C1938" s="95" t="s">
        <v>370</v>
      </c>
      <c r="D1938" t="s">
        <v>4276</v>
      </c>
      <c r="E1938" t="s">
        <v>4575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/>
      <c r="O1938" s="93"/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0</v>
      </c>
      <c r="R1938" s="92" t="s">
        <v>1044</v>
      </c>
      <c r="S1938" s="96"/>
    </row>
    <row r="1939" spans="1:19">
      <c r="A1939" s="95" t="s">
        <v>4247</v>
      </c>
      <c r="B1939" s="96" t="str">
        <f>IFERROR(VLOOKUP(Proc[[#This Row],[App]],Table2[],3,0),"open")</f>
        <v>open</v>
      </c>
      <c r="C1939" s="95" t="s">
        <v>370</v>
      </c>
      <c r="D1939" t="s">
        <v>4277</v>
      </c>
      <c r="E1939" t="s">
        <v>4575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/>
      <c r="O1939" s="93"/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0</v>
      </c>
      <c r="R1939" s="92" t="s">
        <v>1044</v>
      </c>
      <c r="S1939" s="96"/>
    </row>
    <row r="1940" spans="1:19">
      <c r="A1940" s="95" t="s">
        <v>4247</v>
      </c>
      <c r="B1940" s="96" t="str">
        <f>IFERROR(VLOOKUP(Proc[[#This Row],[App]],Table2[],3,0),"open")</f>
        <v>open</v>
      </c>
      <c r="C1940" s="95" t="s">
        <v>370</v>
      </c>
      <c r="D1940" t="s">
        <v>4278</v>
      </c>
      <c r="E1940" t="s">
        <v>4575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/>
      <c r="O1940" s="93"/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0</v>
      </c>
      <c r="R1940" s="92" t="s">
        <v>1044</v>
      </c>
      <c r="S1940" s="96"/>
    </row>
    <row r="1941" spans="1:19">
      <c r="A1941" s="95" t="s">
        <v>4247</v>
      </c>
      <c r="B1941" s="96" t="str">
        <f>IFERROR(VLOOKUP(Proc[[#This Row],[App]],Table2[],3,0),"open")</f>
        <v>open</v>
      </c>
      <c r="C1941" s="95" t="s">
        <v>370</v>
      </c>
      <c r="D1941" t="s">
        <v>4279</v>
      </c>
      <c r="E1941" t="s">
        <v>4575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/>
      <c r="O1941" s="93"/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0</v>
      </c>
      <c r="R1941" s="92" t="s">
        <v>1044</v>
      </c>
      <c r="S1941" s="96"/>
    </row>
    <row r="1942" spans="1:19">
      <c r="A1942" s="95" t="s">
        <v>4247</v>
      </c>
      <c r="B1942" s="96" t="str">
        <f>IFERROR(VLOOKUP(Proc[[#This Row],[App]],Table2[],3,0),"open")</f>
        <v>open</v>
      </c>
      <c r="C1942" s="95" t="s">
        <v>370</v>
      </c>
      <c r="D1942" t="s">
        <v>4280</v>
      </c>
      <c r="E1942" t="s">
        <v>4575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/>
      <c r="O1942" s="93"/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0</v>
      </c>
      <c r="R1942" s="92" t="s">
        <v>1044</v>
      </c>
      <c r="S1942" s="96"/>
    </row>
    <row r="1943" spans="1:19">
      <c r="A1943" s="95" t="s">
        <v>4247</v>
      </c>
      <c r="B1943" s="96" t="str">
        <f>IFERROR(VLOOKUP(Proc[[#This Row],[App]],Table2[],3,0),"open")</f>
        <v>open</v>
      </c>
      <c r="C1943" s="95" t="s">
        <v>370</v>
      </c>
      <c r="D1943" t="s">
        <v>4281</v>
      </c>
      <c r="E1943" t="s">
        <v>4575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/>
      <c r="O1943" s="93"/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0</v>
      </c>
      <c r="R1943" s="92" t="s">
        <v>1044</v>
      </c>
      <c r="S1943" s="96"/>
    </row>
    <row r="1944" spans="1:19">
      <c r="A1944" s="95" t="s">
        <v>4247</v>
      </c>
      <c r="B1944" s="96" t="str">
        <f>IFERROR(VLOOKUP(Proc[[#This Row],[App]],Table2[],3,0),"open")</f>
        <v>open</v>
      </c>
      <c r="C1944" s="95" t="s">
        <v>370</v>
      </c>
      <c r="D1944" t="s">
        <v>4282</v>
      </c>
      <c r="E1944" t="s">
        <v>4575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/>
      <c r="O1944" s="93"/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0</v>
      </c>
      <c r="R1944" s="92" t="s">
        <v>1044</v>
      </c>
      <c r="S1944" s="96"/>
    </row>
    <row r="1945" spans="1:19">
      <c r="A1945" s="95" t="s">
        <v>4247</v>
      </c>
      <c r="B1945" s="96" t="str">
        <f>IFERROR(VLOOKUP(Proc[[#This Row],[App]],Table2[],3,0),"open")</f>
        <v>open</v>
      </c>
      <c r="C1945" s="95" t="s">
        <v>370</v>
      </c>
      <c r="D1945" t="s">
        <v>4283</v>
      </c>
      <c r="E1945" t="s">
        <v>4575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/>
      <c r="O1945" s="93"/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0</v>
      </c>
      <c r="R1945" s="92" t="s">
        <v>1044</v>
      </c>
      <c r="S1945" s="96"/>
    </row>
    <row r="1946" spans="1:19">
      <c r="A1946" s="95" t="s">
        <v>4247</v>
      </c>
      <c r="B1946" s="96" t="str">
        <f>IFERROR(VLOOKUP(Proc[[#This Row],[App]],Table2[],3,0),"open")</f>
        <v>open</v>
      </c>
      <c r="C1946" s="95" t="s">
        <v>370</v>
      </c>
      <c r="D1946" t="s">
        <v>4284</v>
      </c>
      <c r="E1946" t="s">
        <v>4575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/>
      <c r="O1946" s="93"/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0</v>
      </c>
      <c r="R1946" s="92" t="s">
        <v>1044</v>
      </c>
      <c r="S1946" s="96"/>
    </row>
    <row r="1947" spans="1:19">
      <c r="A1947" s="95" t="s">
        <v>4247</v>
      </c>
      <c r="B1947" s="96" t="str">
        <f>IFERROR(VLOOKUP(Proc[[#This Row],[App]],Table2[],3,0),"open")</f>
        <v>open</v>
      </c>
      <c r="C1947" s="95" t="s">
        <v>370</v>
      </c>
      <c r="D1947" t="s">
        <v>4285</v>
      </c>
      <c r="E1947" t="s">
        <v>4575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/>
      <c r="O1947" s="93"/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0</v>
      </c>
      <c r="R1947" s="92" t="s">
        <v>1044</v>
      </c>
      <c r="S1947" s="96"/>
    </row>
    <row r="1948" spans="1:19">
      <c r="A1948" s="95" t="s">
        <v>4247</v>
      </c>
      <c r="B1948" s="96" t="str">
        <f>IFERROR(VLOOKUP(Proc[[#This Row],[App]],Table2[],3,0),"open")</f>
        <v>open</v>
      </c>
      <c r="C1948" s="95" t="s">
        <v>370</v>
      </c>
      <c r="D1948" t="s">
        <v>4286</v>
      </c>
      <c r="E1948" t="s">
        <v>4575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/>
      <c r="O1948" s="93"/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0</v>
      </c>
      <c r="R1948" s="92" t="s">
        <v>1044</v>
      </c>
      <c r="S1948" s="96"/>
    </row>
    <row r="1949" spans="1:19">
      <c r="A1949" s="95" t="s">
        <v>4247</v>
      </c>
      <c r="B1949" s="96" t="str">
        <f>IFERROR(VLOOKUP(Proc[[#This Row],[App]],Table2[],3,0),"open")</f>
        <v>open</v>
      </c>
      <c r="C1949" s="95" t="s">
        <v>370</v>
      </c>
      <c r="D1949" t="s">
        <v>4287</v>
      </c>
      <c r="E1949" t="s">
        <v>4575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/>
      <c r="O1949" s="93"/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0</v>
      </c>
      <c r="R1949" s="92" t="s">
        <v>1044</v>
      </c>
      <c r="S1949" s="96"/>
    </row>
    <row r="1950" spans="1:19">
      <c r="A1950" s="95" t="s">
        <v>4247</v>
      </c>
      <c r="B1950" s="96" t="str">
        <f>IFERROR(VLOOKUP(Proc[[#This Row],[App]],Table2[],3,0),"open")</f>
        <v>open</v>
      </c>
      <c r="C1950" s="95" t="s">
        <v>370</v>
      </c>
      <c r="D1950" t="s">
        <v>4288</v>
      </c>
      <c r="E1950" t="s">
        <v>4575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/>
      <c r="O1950" s="93"/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0</v>
      </c>
      <c r="R1950" s="92" t="s">
        <v>1044</v>
      </c>
      <c r="S1950" s="96"/>
    </row>
    <row r="1951" spans="1:19">
      <c r="A1951" s="95" t="s">
        <v>4247</v>
      </c>
      <c r="B1951" s="96" t="str">
        <f>IFERROR(VLOOKUP(Proc[[#This Row],[App]],Table2[],3,0),"open")</f>
        <v>open</v>
      </c>
      <c r="C1951" s="95" t="s">
        <v>370</v>
      </c>
      <c r="D1951" t="s">
        <v>4289</v>
      </c>
      <c r="E1951" t="s">
        <v>4575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/>
      <c r="O1951" s="93"/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0</v>
      </c>
      <c r="R1951" s="92" t="s">
        <v>1044</v>
      </c>
      <c r="S1951" s="96"/>
    </row>
    <row r="1952" spans="1:19">
      <c r="A1952" s="95" t="s">
        <v>4247</v>
      </c>
      <c r="B1952" s="96" t="str">
        <f>IFERROR(VLOOKUP(Proc[[#This Row],[App]],Table2[],3,0),"open")</f>
        <v>open</v>
      </c>
      <c r="C1952" s="95" t="s">
        <v>370</v>
      </c>
      <c r="D1952" t="s">
        <v>4290</v>
      </c>
      <c r="E1952" t="s">
        <v>4575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/>
      <c r="O1952" s="93"/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0</v>
      </c>
      <c r="R1952" s="92" t="s">
        <v>1044</v>
      </c>
      <c r="S1952" s="96"/>
    </row>
    <row r="1953" spans="1:19">
      <c r="A1953" s="95" t="s">
        <v>4247</v>
      </c>
      <c r="B1953" s="96" t="str">
        <f>IFERROR(VLOOKUP(Proc[[#This Row],[App]],Table2[],3,0),"open")</f>
        <v>open</v>
      </c>
      <c r="C1953" s="95" t="s">
        <v>370</v>
      </c>
      <c r="D1953" t="s">
        <v>4291</v>
      </c>
      <c r="E1953" t="s">
        <v>4575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/>
      <c r="O1953" s="93"/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0</v>
      </c>
      <c r="R1953" s="92" t="s">
        <v>1044</v>
      </c>
      <c r="S1953" s="96"/>
    </row>
    <row r="1954" spans="1:19">
      <c r="A1954" s="95" t="s">
        <v>4247</v>
      </c>
      <c r="B1954" s="96" t="str">
        <f>IFERROR(VLOOKUP(Proc[[#This Row],[App]],Table2[],3,0),"open")</f>
        <v>open</v>
      </c>
      <c r="C1954" s="95" t="s">
        <v>370</v>
      </c>
      <c r="D1954" t="s">
        <v>4292</v>
      </c>
      <c r="E1954" t="s">
        <v>4575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/>
      <c r="O1954" s="93"/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0</v>
      </c>
      <c r="R1954" s="92" t="s">
        <v>1044</v>
      </c>
      <c r="S1954" s="96"/>
    </row>
    <row r="1955" spans="1:19">
      <c r="A1955" s="95" t="s">
        <v>4247</v>
      </c>
      <c r="B1955" s="96" t="str">
        <f>IFERROR(VLOOKUP(Proc[[#This Row],[App]],Table2[],3,0),"open")</f>
        <v>open</v>
      </c>
      <c r="C1955" s="95" t="s">
        <v>370</v>
      </c>
      <c r="D1955" t="s">
        <v>4293</v>
      </c>
      <c r="E1955" t="s">
        <v>4575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/>
      <c r="O1955" s="93"/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0</v>
      </c>
      <c r="R1955" s="92" t="s">
        <v>1044</v>
      </c>
      <c r="S1955" s="96"/>
    </row>
    <row r="1956" spans="1:19">
      <c r="A1956" s="95" t="s">
        <v>4247</v>
      </c>
      <c r="B1956" s="96" t="str">
        <f>IFERROR(VLOOKUP(Proc[[#This Row],[App]],Table2[],3,0),"open")</f>
        <v>open</v>
      </c>
      <c r="C1956" s="95" t="s">
        <v>370</v>
      </c>
      <c r="D1956" t="s">
        <v>4294</v>
      </c>
      <c r="E1956" t="s">
        <v>4575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/>
      <c r="O1956" s="93"/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0</v>
      </c>
      <c r="R1956" s="92" t="s">
        <v>1044</v>
      </c>
      <c r="S1956" s="96"/>
    </row>
    <row r="1957" spans="1:19">
      <c r="A1957" s="95" t="s">
        <v>4247</v>
      </c>
      <c r="B1957" s="96" t="str">
        <f>IFERROR(VLOOKUP(Proc[[#This Row],[App]],Table2[],3,0),"open")</f>
        <v>open</v>
      </c>
      <c r="C1957" s="95" t="s">
        <v>370</v>
      </c>
      <c r="D1957" t="s">
        <v>4295</v>
      </c>
      <c r="E1957" t="s">
        <v>4575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/>
      <c r="O1957" s="93"/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0</v>
      </c>
      <c r="R1957" s="92" t="s">
        <v>1044</v>
      </c>
      <c r="S1957" s="96"/>
    </row>
    <row r="1958" spans="1:19">
      <c r="A1958" s="95" t="s">
        <v>4247</v>
      </c>
      <c r="B1958" s="96" t="str">
        <f>IFERROR(VLOOKUP(Proc[[#This Row],[App]],Table2[],3,0),"open")</f>
        <v>open</v>
      </c>
      <c r="C1958" s="95" t="s">
        <v>370</v>
      </c>
      <c r="D1958" t="s">
        <v>4296</v>
      </c>
      <c r="E1958" t="s">
        <v>4575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/>
      <c r="O1958" s="93"/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0</v>
      </c>
      <c r="R1958" s="92" t="s">
        <v>1044</v>
      </c>
      <c r="S1958" s="96"/>
    </row>
    <row r="1959" spans="1:19">
      <c r="A1959" s="95" t="s">
        <v>4247</v>
      </c>
      <c r="B1959" s="96" t="str">
        <f>IFERROR(VLOOKUP(Proc[[#This Row],[App]],Table2[],3,0),"open")</f>
        <v>open</v>
      </c>
      <c r="C1959" s="95" t="s">
        <v>370</v>
      </c>
      <c r="D1959" t="s">
        <v>4297</v>
      </c>
      <c r="E1959" t="s">
        <v>4573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/>
      <c r="O1959" s="93"/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0</v>
      </c>
      <c r="R1959" s="92" t="s">
        <v>1044</v>
      </c>
      <c r="S1959" s="96"/>
    </row>
    <row r="1960" spans="1:19">
      <c r="A1960" s="95" t="s">
        <v>4247</v>
      </c>
      <c r="B1960" s="96" t="str">
        <f>IFERROR(VLOOKUP(Proc[[#This Row],[App]],Table2[],3,0),"open")</f>
        <v>open</v>
      </c>
      <c r="C1960" s="95" t="s">
        <v>370</v>
      </c>
      <c r="D1960" t="s">
        <v>4298</v>
      </c>
      <c r="E1960" t="s">
        <v>4574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/>
      <c r="O1960" s="93"/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0</v>
      </c>
      <c r="R1960" s="92" t="s">
        <v>1044</v>
      </c>
      <c r="S1960" s="96"/>
    </row>
    <row r="1961" spans="1:19">
      <c r="A1961" s="95" t="s">
        <v>4247</v>
      </c>
      <c r="B1961" s="96" t="str">
        <f>IFERROR(VLOOKUP(Proc[[#This Row],[App]],Table2[],3,0),"open")</f>
        <v>open</v>
      </c>
      <c r="C1961" s="95" t="s">
        <v>370</v>
      </c>
      <c r="D1961" t="s">
        <v>4299</v>
      </c>
      <c r="E1961" t="s">
        <v>4575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/>
      <c r="O1961" s="93"/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0</v>
      </c>
      <c r="R1961" s="92" t="s">
        <v>1044</v>
      </c>
      <c r="S1961" s="96"/>
    </row>
    <row r="1962" spans="1:19">
      <c r="A1962" s="95" t="s">
        <v>4247</v>
      </c>
      <c r="B1962" s="96" t="str">
        <f>IFERROR(VLOOKUP(Proc[[#This Row],[App]],Table2[],3,0),"open")</f>
        <v>open</v>
      </c>
      <c r="C1962" s="95" t="s">
        <v>370</v>
      </c>
      <c r="D1962" t="s">
        <v>4300</v>
      </c>
      <c r="E1962" t="s">
        <v>4575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/>
      <c r="O1962" s="93"/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0</v>
      </c>
      <c r="R1962" s="92" t="s">
        <v>1044</v>
      </c>
      <c r="S1962" s="96"/>
    </row>
    <row r="1963" spans="1:19">
      <c r="A1963" s="95" t="s">
        <v>4247</v>
      </c>
      <c r="B1963" s="96" t="str">
        <f>IFERROR(VLOOKUP(Proc[[#This Row],[App]],Table2[],3,0),"open")</f>
        <v>open</v>
      </c>
      <c r="C1963" s="95" t="s">
        <v>370</v>
      </c>
      <c r="D1963" t="s">
        <v>4301</v>
      </c>
      <c r="E1963" t="s">
        <v>4575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/>
      <c r="O1963" s="93"/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0</v>
      </c>
      <c r="R1963" s="92" t="s">
        <v>1044</v>
      </c>
      <c r="S1963" s="96"/>
    </row>
    <row r="1964" spans="1:19">
      <c r="A1964" s="95" t="s">
        <v>4247</v>
      </c>
      <c r="B1964" s="96" t="str">
        <f>IFERROR(VLOOKUP(Proc[[#This Row],[App]],Table2[],3,0),"open")</f>
        <v>open</v>
      </c>
      <c r="C1964" s="95" t="s">
        <v>370</v>
      </c>
      <c r="D1964" t="s">
        <v>4302</v>
      </c>
      <c r="E1964" t="s">
        <v>4575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/>
      <c r="O1964" s="93"/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0</v>
      </c>
      <c r="R1964" s="92" t="s">
        <v>1044</v>
      </c>
      <c r="S1964" s="96"/>
    </row>
    <row r="1965" spans="1:19">
      <c r="A1965" s="95" t="s">
        <v>4247</v>
      </c>
      <c r="B1965" s="96" t="str">
        <f>IFERROR(VLOOKUP(Proc[[#This Row],[App]],Table2[],3,0),"open")</f>
        <v>open</v>
      </c>
      <c r="C1965" s="95" t="s">
        <v>370</v>
      </c>
      <c r="D1965" t="s">
        <v>4303</v>
      </c>
      <c r="E1965" t="s">
        <v>4575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/>
      <c r="O1965" s="93"/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0</v>
      </c>
      <c r="R1965" s="92" t="s">
        <v>1044</v>
      </c>
      <c r="S1965" s="96"/>
    </row>
    <row r="1966" spans="1:19">
      <c r="A1966" s="95" t="s">
        <v>4247</v>
      </c>
      <c r="B1966" s="96" t="str">
        <f>IFERROR(VLOOKUP(Proc[[#This Row],[App]],Table2[],3,0),"open")</f>
        <v>open</v>
      </c>
      <c r="C1966" s="95" t="s">
        <v>370</v>
      </c>
      <c r="D1966" t="s">
        <v>4304</v>
      </c>
      <c r="E1966" t="s">
        <v>4575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/>
      <c r="O1966" s="93"/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0</v>
      </c>
      <c r="R1966" s="92" t="s">
        <v>1044</v>
      </c>
      <c r="S1966" s="96"/>
    </row>
    <row r="1967" spans="1:19">
      <c r="A1967" s="95" t="s">
        <v>4247</v>
      </c>
      <c r="B1967" s="96" t="str">
        <f>IFERROR(VLOOKUP(Proc[[#This Row],[App]],Table2[],3,0),"open")</f>
        <v>open</v>
      </c>
      <c r="C1967" s="95" t="s">
        <v>370</v>
      </c>
      <c r="D1967" t="s">
        <v>4305</v>
      </c>
      <c r="E1967" t="s">
        <v>4575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/>
      <c r="O1967" s="93"/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0</v>
      </c>
      <c r="R1967" s="92" t="s">
        <v>1044</v>
      </c>
      <c r="S1967" s="96"/>
    </row>
    <row r="1968" spans="1:19">
      <c r="A1968" s="95" t="s">
        <v>4247</v>
      </c>
      <c r="B1968" s="96" t="str">
        <f>IFERROR(VLOOKUP(Proc[[#This Row],[App]],Table2[],3,0),"open")</f>
        <v>open</v>
      </c>
      <c r="C1968" s="95" t="s">
        <v>370</v>
      </c>
      <c r="D1968" t="s">
        <v>4306</v>
      </c>
      <c r="E1968" t="s">
        <v>4575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/>
      <c r="O1968" s="93"/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0</v>
      </c>
      <c r="R1968" s="92" t="s">
        <v>1044</v>
      </c>
      <c r="S1968" s="96"/>
    </row>
    <row r="1969" spans="1:19">
      <c r="A1969" s="95" t="s">
        <v>4247</v>
      </c>
      <c r="B1969" s="96" t="str">
        <f>IFERROR(VLOOKUP(Proc[[#This Row],[App]],Table2[],3,0),"open")</f>
        <v>open</v>
      </c>
      <c r="C1969" s="95" t="s">
        <v>370</v>
      </c>
      <c r="D1969" t="s">
        <v>4307</v>
      </c>
      <c r="E1969" t="s">
        <v>4575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/>
      <c r="O1969" s="93"/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0</v>
      </c>
      <c r="R1969" s="92" t="s">
        <v>1044</v>
      </c>
      <c r="S1969" s="96"/>
    </row>
    <row r="1970" spans="1:19">
      <c r="A1970" s="95" t="s">
        <v>4247</v>
      </c>
      <c r="B1970" s="96" t="str">
        <f>IFERROR(VLOOKUP(Proc[[#This Row],[App]],Table2[],3,0),"open")</f>
        <v>open</v>
      </c>
      <c r="C1970" s="95" t="s">
        <v>370</v>
      </c>
      <c r="D1970" t="s">
        <v>4308</v>
      </c>
      <c r="E1970" t="s">
        <v>4575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/>
      <c r="O1970" s="93"/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0</v>
      </c>
      <c r="R1970" s="92" t="s">
        <v>1044</v>
      </c>
      <c r="S1970" s="96"/>
    </row>
    <row r="1971" spans="1:19">
      <c r="A1971" s="95" t="s">
        <v>4247</v>
      </c>
      <c r="B1971" s="96" t="str">
        <f>IFERROR(VLOOKUP(Proc[[#This Row],[App]],Table2[],3,0),"open")</f>
        <v>open</v>
      </c>
      <c r="C1971" s="95" t="s">
        <v>370</v>
      </c>
      <c r="D1971" t="s">
        <v>4309</v>
      </c>
      <c r="E1971" t="s">
        <v>4575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/>
      <c r="O1971" s="93"/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0</v>
      </c>
      <c r="R1971" s="92" t="s">
        <v>1044</v>
      </c>
      <c r="S1971" s="96"/>
    </row>
    <row r="1972" spans="1:19">
      <c r="A1972" s="95" t="s">
        <v>4247</v>
      </c>
      <c r="B1972" s="96" t="str">
        <f>IFERROR(VLOOKUP(Proc[[#This Row],[App]],Table2[],3,0),"open")</f>
        <v>open</v>
      </c>
      <c r="C1972" s="95" t="s">
        <v>370</v>
      </c>
      <c r="D1972" t="s">
        <v>4310</v>
      </c>
      <c r="E1972" t="s">
        <v>4575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/>
      <c r="O1972" s="93"/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0</v>
      </c>
      <c r="R1972" s="92" t="s">
        <v>1044</v>
      </c>
      <c r="S1972" s="96"/>
    </row>
    <row r="1973" spans="1:19">
      <c r="A1973" s="95" t="s">
        <v>4247</v>
      </c>
      <c r="B1973" s="96" t="str">
        <f>IFERROR(VLOOKUP(Proc[[#This Row],[App]],Table2[],3,0),"open")</f>
        <v>open</v>
      </c>
      <c r="C1973" s="95" t="s">
        <v>370</v>
      </c>
      <c r="D1973" t="s">
        <v>4311</v>
      </c>
      <c r="E1973" t="s">
        <v>4575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/>
      <c r="O1973" s="93"/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0</v>
      </c>
      <c r="R1973" s="92" t="s">
        <v>1044</v>
      </c>
      <c r="S1973" s="96"/>
    </row>
    <row r="1974" spans="1:19">
      <c r="A1974" s="95" t="s">
        <v>4247</v>
      </c>
      <c r="B1974" s="96" t="str">
        <f>IFERROR(VLOOKUP(Proc[[#This Row],[App]],Table2[],3,0),"open")</f>
        <v>open</v>
      </c>
      <c r="C1974" s="95" t="s">
        <v>370</v>
      </c>
      <c r="D1974" t="s">
        <v>4312</v>
      </c>
      <c r="E1974" t="s">
        <v>4575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/>
      <c r="O1974" s="93"/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0</v>
      </c>
      <c r="R1974" s="92" t="s">
        <v>1044</v>
      </c>
      <c r="S1974" s="96"/>
    </row>
    <row r="1975" spans="1:19">
      <c r="A1975" s="95" t="s">
        <v>4247</v>
      </c>
      <c r="B1975" s="96" t="str">
        <f>IFERROR(VLOOKUP(Proc[[#This Row],[App]],Table2[],3,0),"open")</f>
        <v>open</v>
      </c>
      <c r="C1975" s="95" t="s">
        <v>370</v>
      </c>
      <c r="D1975" t="s">
        <v>4313</v>
      </c>
      <c r="E1975" t="s">
        <v>4575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/>
      <c r="O1975" s="93"/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0</v>
      </c>
      <c r="R1975" s="92" t="s">
        <v>1044</v>
      </c>
      <c r="S1975" s="96"/>
    </row>
    <row r="1976" spans="1:19">
      <c r="A1976" s="95" t="s">
        <v>4247</v>
      </c>
      <c r="B1976" s="96" t="str">
        <f>IFERROR(VLOOKUP(Proc[[#This Row],[App]],Table2[],3,0),"open")</f>
        <v>open</v>
      </c>
      <c r="C1976" s="95" t="s">
        <v>370</v>
      </c>
      <c r="D1976" t="s">
        <v>4314</v>
      </c>
      <c r="E1976" t="s">
        <v>4575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/>
      <c r="O1976" s="93"/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0</v>
      </c>
      <c r="R1976" s="92" t="s">
        <v>1044</v>
      </c>
      <c r="S1976" s="96"/>
    </row>
    <row r="1977" spans="1:19">
      <c r="A1977" s="95" t="s">
        <v>4247</v>
      </c>
      <c r="B1977" s="96" t="str">
        <f>IFERROR(VLOOKUP(Proc[[#This Row],[App]],Table2[],3,0),"open")</f>
        <v>open</v>
      </c>
      <c r="C1977" s="95" t="s">
        <v>370</v>
      </c>
      <c r="D1977" t="s">
        <v>4315</v>
      </c>
      <c r="E1977" t="s">
        <v>4575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/>
      <c r="O1977" s="93"/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0</v>
      </c>
      <c r="R1977" s="92" t="s">
        <v>1044</v>
      </c>
      <c r="S1977" s="96"/>
    </row>
    <row r="1978" spans="1:19">
      <c r="A1978" s="95" t="s">
        <v>4247</v>
      </c>
      <c r="B1978" s="96" t="str">
        <f>IFERROR(VLOOKUP(Proc[[#This Row],[App]],Table2[],3,0),"open")</f>
        <v>open</v>
      </c>
      <c r="C1978" s="95" t="s">
        <v>370</v>
      </c>
      <c r="D1978" t="s">
        <v>4316</v>
      </c>
      <c r="E1978" t="s">
        <v>4575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/>
      <c r="O1978" s="93"/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0</v>
      </c>
      <c r="R1978" s="92" t="s">
        <v>1044</v>
      </c>
      <c r="S1978" s="96"/>
    </row>
    <row r="1979" spans="1:19">
      <c r="A1979" s="95" t="s">
        <v>4247</v>
      </c>
      <c r="B1979" s="96" t="str">
        <f>IFERROR(VLOOKUP(Proc[[#This Row],[App]],Table2[],3,0),"open")</f>
        <v>open</v>
      </c>
      <c r="C1979" s="95" t="s">
        <v>370</v>
      </c>
      <c r="D1979" t="s">
        <v>4317</v>
      </c>
      <c r="E1979" t="s">
        <v>4575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/>
      <c r="O1979" s="93"/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0</v>
      </c>
      <c r="R1979" s="92" t="s">
        <v>1044</v>
      </c>
      <c r="S1979" s="96"/>
    </row>
    <row r="1980" spans="1:19">
      <c r="A1980" s="95" t="s">
        <v>4247</v>
      </c>
      <c r="B1980" s="96" t="str">
        <f>IFERROR(VLOOKUP(Proc[[#This Row],[App]],Table2[],3,0),"open")</f>
        <v>open</v>
      </c>
      <c r="C1980" s="95" t="s">
        <v>370</v>
      </c>
      <c r="D1980" t="s">
        <v>4318</v>
      </c>
      <c r="E1980" t="s">
        <v>4575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/>
      <c r="O1980" s="93"/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0</v>
      </c>
      <c r="R1980" s="92" t="s">
        <v>1044</v>
      </c>
      <c r="S1980" s="96"/>
    </row>
    <row r="1981" spans="1:19">
      <c r="A1981" s="95" t="s">
        <v>4247</v>
      </c>
      <c r="B1981" s="96" t="str">
        <f>IFERROR(VLOOKUP(Proc[[#This Row],[App]],Table2[],3,0),"open")</f>
        <v>open</v>
      </c>
      <c r="C1981" s="95" t="s">
        <v>370</v>
      </c>
      <c r="D1981" t="s">
        <v>4319</v>
      </c>
      <c r="E1981" t="s">
        <v>4575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/>
      <c r="O1981" s="93"/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0</v>
      </c>
      <c r="R1981" s="92" t="s">
        <v>1044</v>
      </c>
      <c r="S1981" s="96"/>
    </row>
    <row r="1982" spans="1:19">
      <c r="A1982" s="95" t="s">
        <v>4247</v>
      </c>
      <c r="B1982" s="96" t="str">
        <f>IFERROR(VLOOKUP(Proc[[#This Row],[App]],Table2[],3,0),"open")</f>
        <v>open</v>
      </c>
      <c r="C1982" s="95" t="s">
        <v>370</v>
      </c>
      <c r="D1982" t="s">
        <v>4320</v>
      </c>
      <c r="E1982" t="s">
        <v>4575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/>
      <c r="O1982" s="93"/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0</v>
      </c>
      <c r="R1982" s="92" t="s">
        <v>1044</v>
      </c>
      <c r="S1982" s="96"/>
    </row>
    <row r="1983" spans="1:19">
      <c r="A1983" s="95" t="s">
        <v>4247</v>
      </c>
      <c r="B1983" s="96" t="str">
        <f>IFERROR(VLOOKUP(Proc[[#This Row],[App]],Table2[],3,0),"open")</f>
        <v>open</v>
      </c>
      <c r="C1983" s="95" t="s">
        <v>370</v>
      </c>
      <c r="D1983" t="s">
        <v>4321</v>
      </c>
      <c r="E1983" t="s">
        <v>4575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/>
      <c r="O1983" s="93"/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0</v>
      </c>
      <c r="R1983" s="92" t="s">
        <v>1044</v>
      </c>
      <c r="S1983" s="96"/>
    </row>
    <row r="1984" spans="1:19">
      <c r="A1984" s="95" t="s">
        <v>4247</v>
      </c>
      <c r="B1984" s="96" t="str">
        <f>IFERROR(VLOOKUP(Proc[[#This Row],[App]],Table2[],3,0),"open")</f>
        <v>open</v>
      </c>
      <c r="C1984" s="95" t="s">
        <v>370</v>
      </c>
      <c r="D1984" t="s">
        <v>4322</v>
      </c>
      <c r="E1984" t="s">
        <v>4575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/>
      <c r="O1984" s="93"/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0</v>
      </c>
      <c r="R1984" s="92" t="s">
        <v>1044</v>
      </c>
      <c r="S1984" s="96"/>
    </row>
    <row r="1985" spans="1:19">
      <c r="A1985" s="95" t="s">
        <v>4247</v>
      </c>
      <c r="B1985" s="96" t="str">
        <f>IFERROR(VLOOKUP(Proc[[#This Row],[App]],Table2[],3,0),"open")</f>
        <v>open</v>
      </c>
      <c r="C1985" s="95" t="s">
        <v>370</v>
      </c>
      <c r="D1985" t="s">
        <v>4323</v>
      </c>
      <c r="E1985" t="s">
        <v>4575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/>
      <c r="O1985" s="93"/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0</v>
      </c>
      <c r="R1985" s="92" t="s">
        <v>1044</v>
      </c>
      <c r="S1985" s="96"/>
    </row>
    <row r="1986" spans="1:19">
      <c r="A1986" s="95" t="s">
        <v>4247</v>
      </c>
      <c r="B1986" s="96" t="str">
        <f>IFERROR(VLOOKUP(Proc[[#This Row],[App]],Table2[],3,0),"open")</f>
        <v>open</v>
      </c>
      <c r="C1986" s="95" t="s">
        <v>370</v>
      </c>
      <c r="D1986" t="s">
        <v>4324</v>
      </c>
      <c r="E1986" t="s">
        <v>4575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/>
      <c r="O1986" s="93"/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0</v>
      </c>
      <c r="R1986" s="92" t="s">
        <v>1044</v>
      </c>
      <c r="S1986" s="96"/>
    </row>
    <row r="1987" spans="1:19">
      <c r="A1987" s="95" t="s">
        <v>4247</v>
      </c>
      <c r="B1987" s="96" t="str">
        <f>IFERROR(VLOOKUP(Proc[[#This Row],[App]],Table2[],3,0),"open")</f>
        <v>open</v>
      </c>
      <c r="C1987" s="95" t="s">
        <v>370</v>
      </c>
      <c r="D1987" t="s">
        <v>4325</v>
      </c>
      <c r="E1987" t="s">
        <v>4575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/>
      <c r="O1987" s="93"/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0</v>
      </c>
      <c r="R1987" s="92" t="s">
        <v>1044</v>
      </c>
      <c r="S1987" s="96"/>
    </row>
    <row r="1988" spans="1:19">
      <c r="A1988" s="95" t="s">
        <v>4247</v>
      </c>
      <c r="B1988" s="96" t="str">
        <f>IFERROR(VLOOKUP(Proc[[#This Row],[App]],Table2[],3,0),"open")</f>
        <v>open</v>
      </c>
      <c r="C1988" s="95" t="s">
        <v>370</v>
      </c>
      <c r="D1988" t="s">
        <v>4326</v>
      </c>
      <c r="E1988" t="s">
        <v>4575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/>
      <c r="O1988" s="93"/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0</v>
      </c>
      <c r="R1988" s="92" t="s">
        <v>1044</v>
      </c>
      <c r="S1988" s="96"/>
    </row>
    <row r="1989" spans="1:19">
      <c r="A1989" s="95" t="s">
        <v>4247</v>
      </c>
      <c r="B1989" s="96" t="str">
        <f>IFERROR(VLOOKUP(Proc[[#This Row],[App]],Table2[],3,0),"open")</f>
        <v>open</v>
      </c>
      <c r="C1989" s="95" t="s">
        <v>370</v>
      </c>
      <c r="D1989" t="s">
        <v>4327</v>
      </c>
      <c r="E1989" t="s">
        <v>4575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/>
      <c r="O1989" s="93"/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0</v>
      </c>
      <c r="R1989" s="92" t="s">
        <v>1044</v>
      </c>
      <c r="S1989" s="96"/>
    </row>
    <row r="1990" spans="1:19">
      <c r="A1990" s="95" t="s">
        <v>4247</v>
      </c>
      <c r="B1990" s="96" t="str">
        <f>IFERROR(VLOOKUP(Proc[[#This Row],[App]],Table2[],3,0),"open")</f>
        <v>open</v>
      </c>
      <c r="C1990" s="95" t="s">
        <v>370</v>
      </c>
      <c r="D1990" t="s">
        <v>4328</v>
      </c>
      <c r="E1990" t="s">
        <v>4575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/>
      <c r="O1990" s="93"/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0</v>
      </c>
      <c r="R1990" s="92" t="s">
        <v>1044</v>
      </c>
      <c r="S1990" s="96"/>
    </row>
    <row r="1991" spans="1:19">
      <c r="A1991" s="95" t="s">
        <v>4247</v>
      </c>
      <c r="B1991" s="96" t="str">
        <f>IFERROR(VLOOKUP(Proc[[#This Row],[App]],Table2[],3,0),"open")</f>
        <v>open</v>
      </c>
      <c r="C1991" s="95" t="s">
        <v>370</v>
      </c>
      <c r="D1991" t="s">
        <v>4329</v>
      </c>
      <c r="E1991" t="s">
        <v>4575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/>
      <c r="O1991" s="93"/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0</v>
      </c>
      <c r="R1991" s="92" t="s">
        <v>1044</v>
      </c>
      <c r="S1991" s="96"/>
    </row>
    <row r="1992" spans="1:19">
      <c r="A1992" s="95" t="s">
        <v>4247</v>
      </c>
      <c r="B1992" s="96" t="str">
        <f>IFERROR(VLOOKUP(Proc[[#This Row],[App]],Table2[],3,0),"open")</f>
        <v>open</v>
      </c>
      <c r="C1992" s="95" t="s">
        <v>370</v>
      </c>
      <c r="D1992" t="s">
        <v>4330</v>
      </c>
      <c r="E1992" t="s">
        <v>4575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/>
      <c r="O1992" s="93"/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0</v>
      </c>
      <c r="R1992" s="92" t="s">
        <v>1044</v>
      </c>
      <c r="S1992" s="96"/>
    </row>
    <row r="1993" spans="1:19">
      <c r="A1993" s="95" t="s">
        <v>4247</v>
      </c>
      <c r="B1993" s="96" t="str">
        <f>IFERROR(VLOOKUP(Proc[[#This Row],[App]],Table2[],3,0),"open")</f>
        <v>open</v>
      </c>
      <c r="C1993" s="95" t="s">
        <v>370</v>
      </c>
      <c r="D1993" t="s">
        <v>4331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/>
      <c r="O1993" s="93"/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0</v>
      </c>
      <c r="R1993" s="92" t="s">
        <v>1044</v>
      </c>
      <c r="S1993" s="96"/>
    </row>
    <row r="1994" spans="1:19">
      <c r="A1994" s="95" t="s">
        <v>4247</v>
      </c>
      <c r="B1994" s="96" t="str">
        <f>IFERROR(VLOOKUP(Proc[[#This Row],[App]],Table2[],3,0),"open")</f>
        <v>open</v>
      </c>
      <c r="C1994" s="95" t="s">
        <v>370</v>
      </c>
      <c r="D1994" t="s">
        <v>4332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/>
      <c r="O1994" s="93"/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0</v>
      </c>
      <c r="R1994" s="92" t="s">
        <v>1044</v>
      </c>
      <c r="S1994" s="96"/>
    </row>
    <row r="1995" spans="1:19">
      <c r="A1995" s="95" t="s">
        <v>4247</v>
      </c>
      <c r="B1995" s="96" t="str">
        <f>IFERROR(VLOOKUP(Proc[[#This Row],[App]],Table2[],3,0),"open")</f>
        <v>open</v>
      </c>
      <c r="C1995" s="95" t="s">
        <v>370</v>
      </c>
      <c r="D1995" t="s">
        <v>4333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/>
      <c r="O1995" s="93"/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0</v>
      </c>
      <c r="R1995" s="92" t="s">
        <v>1044</v>
      </c>
      <c r="S1995" s="96"/>
    </row>
    <row r="1996" spans="1:19">
      <c r="A1996" s="95" t="s">
        <v>4247</v>
      </c>
      <c r="B1996" s="96" t="str">
        <f>IFERROR(VLOOKUP(Proc[[#This Row],[App]],Table2[],3,0),"open")</f>
        <v>open</v>
      </c>
      <c r="C1996" s="95" t="s">
        <v>370</v>
      </c>
      <c r="D1996" t="s">
        <v>4334</v>
      </c>
      <c r="E1996" t="s">
        <v>4575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/>
      <c r="O1996" s="93"/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0</v>
      </c>
      <c r="R1996" s="92" t="s">
        <v>1044</v>
      </c>
      <c r="S1996" s="96"/>
    </row>
    <row r="1997" spans="1:19">
      <c r="A1997" s="95" t="s">
        <v>4247</v>
      </c>
      <c r="B1997" s="96" t="str">
        <f>IFERROR(VLOOKUP(Proc[[#This Row],[App]],Table2[],3,0),"open")</f>
        <v>open</v>
      </c>
      <c r="C1997" s="95" t="s">
        <v>370</v>
      </c>
      <c r="D1997" t="s">
        <v>4335</v>
      </c>
      <c r="E1997" t="s">
        <v>4575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/>
      <c r="O1997" s="93"/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0</v>
      </c>
      <c r="R1997" s="92" t="s">
        <v>1044</v>
      </c>
      <c r="S1997" s="96"/>
    </row>
    <row r="1998" spans="1:19">
      <c r="A1998" s="95" t="s">
        <v>4247</v>
      </c>
      <c r="B1998" s="96" t="str">
        <f>IFERROR(VLOOKUP(Proc[[#This Row],[App]],Table2[],3,0),"open")</f>
        <v>open</v>
      </c>
      <c r="C1998" s="95" t="s">
        <v>370</v>
      </c>
      <c r="D1998" t="s">
        <v>4336</v>
      </c>
      <c r="E1998" t="s">
        <v>4575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/>
      <c r="O1998" s="93"/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0</v>
      </c>
      <c r="R1998" s="92" t="s">
        <v>1044</v>
      </c>
      <c r="S1998" s="96"/>
    </row>
    <row r="1999" spans="1:19">
      <c r="A1999" s="95" t="s">
        <v>4247</v>
      </c>
      <c r="B1999" s="96" t="str">
        <f>IFERROR(VLOOKUP(Proc[[#This Row],[App]],Table2[],3,0),"open")</f>
        <v>open</v>
      </c>
      <c r="C1999" s="95" t="s">
        <v>370</v>
      </c>
      <c r="D1999" t="s">
        <v>4337</v>
      </c>
      <c r="E1999" t="s">
        <v>4575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/>
      <c r="O1999" s="93"/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0</v>
      </c>
      <c r="R1999" s="92" t="s">
        <v>1044</v>
      </c>
      <c r="S1999" s="96"/>
    </row>
    <row r="2000" spans="1:19">
      <c r="A2000" s="95" t="s">
        <v>4247</v>
      </c>
      <c r="B2000" s="96" t="str">
        <f>IFERROR(VLOOKUP(Proc[[#This Row],[App]],Table2[],3,0),"open")</f>
        <v>open</v>
      </c>
      <c r="C2000" s="95" t="s">
        <v>370</v>
      </c>
      <c r="D2000" t="s">
        <v>4338</v>
      </c>
      <c r="E2000" t="s">
        <v>4575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/>
      <c r="O2000" s="93"/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0</v>
      </c>
      <c r="R2000" s="92" t="s">
        <v>1044</v>
      </c>
      <c r="S2000" s="96"/>
    </row>
    <row r="2001" spans="1:19">
      <c r="A2001" s="95" t="s">
        <v>4247</v>
      </c>
      <c r="B2001" s="96" t="str">
        <f>IFERROR(VLOOKUP(Proc[[#This Row],[App]],Table2[],3,0),"open")</f>
        <v>open</v>
      </c>
      <c r="C2001" s="95" t="s">
        <v>370</v>
      </c>
      <c r="D2001" t="s">
        <v>4339</v>
      </c>
      <c r="E2001" t="s">
        <v>4575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/>
      <c r="O2001" s="93"/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0</v>
      </c>
      <c r="R2001" s="92" t="s">
        <v>1044</v>
      </c>
      <c r="S2001" s="96"/>
    </row>
    <row r="2002" spans="1:19">
      <c r="A2002" s="95" t="s">
        <v>4247</v>
      </c>
      <c r="B2002" s="96" t="str">
        <f>IFERROR(VLOOKUP(Proc[[#This Row],[App]],Table2[],3,0),"open")</f>
        <v>open</v>
      </c>
      <c r="C2002" s="95" t="s">
        <v>370</v>
      </c>
      <c r="D2002" t="s">
        <v>4340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/>
      <c r="O2002" s="93"/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0</v>
      </c>
      <c r="R2002" s="92" t="s">
        <v>1044</v>
      </c>
      <c r="S2002" s="96"/>
    </row>
    <row r="2003" spans="1:19">
      <c r="A2003" s="95" t="s">
        <v>4247</v>
      </c>
      <c r="B2003" s="96" t="str">
        <f>IFERROR(VLOOKUP(Proc[[#This Row],[App]],Table2[],3,0),"open")</f>
        <v>open</v>
      </c>
      <c r="C2003" s="95" t="s">
        <v>370</v>
      </c>
      <c r="D2003" t="s">
        <v>4341</v>
      </c>
      <c r="E2003" t="s">
        <v>4575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/>
      <c r="O2003" s="93"/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0</v>
      </c>
      <c r="R2003" s="92" t="s">
        <v>1044</v>
      </c>
      <c r="S2003" s="96"/>
    </row>
    <row r="2004" spans="1:19">
      <c r="A2004" s="95" t="s">
        <v>4247</v>
      </c>
      <c r="B2004" s="96" t="str">
        <f>IFERROR(VLOOKUP(Proc[[#This Row],[App]],Table2[],3,0),"open")</f>
        <v>open</v>
      </c>
      <c r="C2004" s="95" t="s">
        <v>370</v>
      </c>
      <c r="D2004" t="s">
        <v>4342</v>
      </c>
      <c r="E2004" t="s">
        <v>4575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/>
      <c r="O2004" s="93"/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0</v>
      </c>
      <c r="R2004" s="92" t="s">
        <v>1044</v>
      </c>
      <c r="S2004" s="96"/>
    </row>
    <row r="2005" spans="1:19">
      <c r="A2005" s="95" t="s">
        <v>4247</v>
      </c>
      <c r="B2005" s="96" t="str">
        <f>IFERROR(VLOOKUP(Proc[[#This Row],[App]],Table2[],3,0),"open")</f>
        <v>open</v>
      </c>
      <c r="C2005" s="95" t="s">
        <v>370</v>
      </c>
      <c r="D2005" t="s">
        <v>4343</v>
      </c>
      <c r="E2005" t="s">
        <v>4575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/>
      <c r="O2005" s="93"/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0</v>
      </c>
      <c r="R2005" s="92" t="s">
        <v>1044</v>
      </c>
      <c r="S2005" s="96"/>
    </row>
    <row r="2006" spans="1:19">
      <c r="A2006" s="95" t="s">
        <v>4247</v>
      </c>
      <c r="B2006" s="96" t="str">
        <f>IFERROR(VLOOKUP(Proc[[#This Row],[App]],Table2[],3,0),"open")</f>
        <v>open</v>
      </c>
      <c r="C2006" s="95" t="s">
        <v>370</v>
      </c>
      <c r="D2006" t="s">
        <v>4344</v>
      </c>
      <c r="E2006" t="s">
        <v>4575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/>
      <c r="O2006" s="93"/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0</v>
      </c>
      <c r="R2006" s="92" t="s">
        <v>1044</v>
      </c>
      <c r="S2006" s="96"/>
    </row>
    <row r="2007" spans="1:19">
      <c r="A2007" s="95" t="s">
        <v>4247</v>
      </c>
      <c r="B2007" s="96" t="str">
        <f>IFERROR(VLOOKUP(Proc[[#This Row],[App]],Table2[],3,0),"open")</f>
        <v>open</v>
      </c>
      <c r="C2007" s="95" t="s">
        <v>370</v>
      </c>
      <c r="D2007" t="s">
        <v>4345</v>
      </c>
      <c r="E2007" t="s">
        <v>4575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/>
      <c r="O2007" s="93"/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0</v>
      </c>
      <c r="R2007" s="92" t="s">
        <v>1044</v>
      </c>
      <c r="S2007" s="96"/>
    </row>
    <row r="2008" spans="1:19">
      <c r="A2008" s="95" t="s">
        <v>4247</v>
      </c>
      <c r="B2008" s="96" t="str">
        <f>IFERROR(VLOOKUP(Proc[[#This Row],[App]],Table2[],3,0),"open")</f>
        <v>open</v>
      </c>
      <c r="C2008" s="95" t="s">
        <v>370</v>
      </c>
      <c r="D2008" t="s">
        <v>4346</v>
      </c>
      <c r="E2008" t="s">
        <v>4575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/>
      <c r="O2008" s="93"/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0</v>
      </c>
      <c r="R2008" s="92" t="s">
        <v>1044</v>
      </c>
      <c r="S2008" s="96"/>
    </row>
    <row r="2009" spans="1:19">
      <c r="A2009" s="95" t="s">
        <v>4247</v>
      </c>
      <c r="B2009" s="96" t="str">
        <f>IFERROR(VLOOKUP(Proc[[#This Row],[App]],Table2[],3,0),"open")</f>
        <v>open</v>
      </c>
      <c r="C2009" s="95" t="s">
        <v>370</v>
      </c>
      <c r="D2009" t="s">
        <v>4347</v>
      </c>
      <c r="E2009" t="s">
        <v>4575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/>
      <c r="O2009" s="93"/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0</v>
      </c>
      <c r="R2009" s="92" t="s">
        <v>1044</v>
      </c>
      <c r="S2009" s="96"/>
    </row>
    <row r="2010" spans="1:19">
      <c r="A2010" s="95" t="s">
        <v>4247</v>
      </c>
      <c r="B2010" s="96" t="str">
        <f>IFERROR(VLOOKUP(Proc[[#This Row],[App]],Table2[],3,0),"open")</f>
        <v>open</v>
      </c>
      <c r="C2010" s="95" t="s">
        <v>370</v>
      </c>
      <c r="D2010" t="s">
        <v>4348</v>
      </c>
      <c r="E2010" t="s">
        <v>4575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/>
      <c r="O2010" s="93"/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0</v>
      </c>
      <c r="R2010" s="92" t="s">
        <v>1044</v>
      </c>
      <c r="S2010" s="96"/>
    </row>
    <row r="2011" spans="1:19">
      <c r="A2011" s="95" t="s">
        <v>4247</v>
      </c>
      <c r="B2011" s="96" t="str">
        <f>IFERROR(VLOOKUP(Proc[[#This Row],[App]],Table2[],3,0),"open")</f>
        <v>open</v>
      </c>
      <c r="C2011" s="95" t="s">
        <v>370</v>
      </c>
      <c r="D2011" t="s">
        <v>4349</v>
      </c>
      <c r="E2011" t="s">
        <v>4575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/>
      <c r="O2011" s="93"/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0</v>
      </c>
      <c r="R2011" s="92" t="s">
        <v>1044</v>
      </c>
      <c r="S2011" s="96"/>
    </row>
    <row r="2012" spans="1:19">
      <c r="A2012" s="95" t="s">
        <v>4247</v>
      </c>
      <c r="B2012" s="96" t="str">
        <f>IFERROR(VLOOKUP(Proc[[#This Row],[App]],Table2[],3,0),"open")</f>
        <v>open</v>
      </c>
      <c r="C2012" s="95" t="s">
        <v>370</v>
      </c>
      <c r="D2012" t="s">
        <v>4350</v>
      </c>
      <c r="E2012" t="s">
        <v>4575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/>
      <c r="O2012" s="93"/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0</v>
      </c>
      <c r="R2012" s="92" t="s">
        <v>1044</v>
      </c>
      <c r="S2012" s="96"/>
    </row>
    <row r="2013" spans="1:19">
      <c r="A2013" s="95" t="s">
        <v>4247</v>
      </c>
      <c r="B2013" s="96" t="str">
        <f>IFERROR(VLOOKUP(Proc[[#This Row],[App]],Table2[],3,0),"open")</f>
        <v>open</v>
      </c>
      <c r="C2013" s="95" t="s">
        <v>370</v>
      </c>
      <c r="D2013" t="s">
        <v>4351</v>
      </c>
      <c r="E2013" t="s">
        <v>4575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/>
      <c r="O2013" s="93"/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0</v>
      </c>
      <c r="R2013" s="92" t="s">
        <v>1044</v>
      </c>
      <c r="S2013" s="96"/>
    </row>
    <row r="2014" spans="1:19">
      <c r="A2014" s="95" t="s">
        <v>4247</v>
      </c>
      <c r="B2014" s="96" t="str">
        <f>IFERROR(VLOOKUP(Proc[[#This Row],[App]],Table2[],3,0),"open")</f>
        <v>open</v>
      </c>
      <c r="C2014" s="95" t="s">
        <v>370</v>
      </c>
      <c r="D2014" t="s">
        <v>4352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/>
      <c r="O2014" s="93"/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0</v>
      </c>
      <c r="R2014" s="92" t="s">
        <v>1044</v>
      </c>
      <c r="S2014" s="96"/>
    </row>
    <row r="2015" spans="1:19">
      <c r="A2015" s="95" t="s">
        <v>4247</v>
      </c>
      <c r="B2015" s="96" t="str">
        <f>IFERROR(VLOOKUP(Proc[[#This Row],[App]],Table2[],3,0),"open")</f>
        <v>open</v>
      </c>
      <c r="C2015" s="95" t="s">
        <v>370</v>
      </c>
      <c r="D2015" t="s">
        <v>4353</v>
      </c>
      <c r="E2015" t="s">
        <v>4575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/>
      <c r="O2015" s="93"/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0</v>
      </c>
      <c r="R2015" s="92" t="s">
        <v>1044</v>
      </c>
      <c r="S2015" s="96"/>
    </row>
    <row r="2016" spans="1:19">
      <c r="A2016" s="95" t="s">
        <v>4247</v>
      </c>
      <c r="B2016" s="96" t="str">
        <f>IFERROR(VLOOKUP(Proc[[#This Row],[App]],Table2[],3,0),"open")</f>
        <v>open</v>
      </c>
      <c r="C2016" s="95" t="s">
        <v>370</v>
      </c>
      <c r="D2016" t="s">
        <v>4354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/>
      <c r="O2016" s="93"/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0</v>
      </c>
      <c r="R2016" s="92" t="s">
        <v>1044</v>
      </c>
      <c r="S2016" s="96"/>
    </row>
    <row r="2017" spans="1:19">
      <c r="A2017" s="95" t="s">
        <v>4247</v>
      </c>
      <c r="B2017" s="96" t="str">
        <f>IFERROR(VLOOKUP(Proc[[#This Row],[App]],Table2[],3,0),"open")</f>
        <v>open</v>
      </c>
      <c r="C2017" s="95" t="s">
        <v>370</v>
      </c>
      <c r="D2017" t="s">
        <v>4355</v>
      </c>
      <c r="E2017" t="s">
        <v>4575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/>
      <c r="O2017" s="93"/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0</v>
      </c>
      <c r="R2017" s="92" t="s">
        <v>1044</v>
      </c>
      <c r="S2017" s="96"/>
    </row>
    <row r="2018" spans="1:19">
      <c r="A2018" s="95" t="s">
        <v>4247</v>
      </c>
      <c r="B2018" s="96" t="str">
        <f>IFERROR(VLOOKUP(Proc[[#This Row],[App]],Table2[],3,0),"open")</f>
        <v>open</v>
      </c>
      <c r="C2018" s="95" t="s">
        <v>370</v>
      </c>
      <c r="D2018" t="s">
        <v>4356</v>
      </c>
      <c r="E2018" t="s">
        <v>4575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/>
      <c r="O2018" s="93"/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0</v>
      </c>
      <c r="R2018" s="92" t="s">
        <v>1044</v>
      </c>
      <c r="S2018" s="96"/>
    </row>
    <row r="2019" spans="1:19">
      <c r="A2019" s="95" t="s">
        <v>4247</v>
      </c>
      <c r="B2019" s="96" t="str">
        <f>IFERROR(VLOOKUP(Proc[[#This Row],[App]],Table2[],3,0),"open")</f>
        <v>open</v>
      </c>
      <c r="C2019" s="95" t="s">
        <v>370</v>
      </c>
      <c r="D2019" t="s">
        <v>4357</v>
      </c>
      <c r="E2019" t="s">
        <v>4575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/>
      <c r="O2019" s="93"/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0</v>
      </c>
      <c r="R2019" s="92" t="s">
        <v>1044</v>
      </c>
      <c r="S2019" s="96"/>
    </row>
    <row r="2020" spans="1:19">
      <c r="A2020" s="95" t="s">
        <v>4247</v>
      </c>
      <c r="B2020" s="96" t="str">
        <f>IFERROR(VLOOKUP(Proc[[#This Row],[App]],Table2[],3,0),"open")</f>
        <v>open</v>
      </c>
      <c r="C2020" s="95" t="s">
        <v>370</v>
      </c>
      <c r="D2020" t="s">
        <v>4358</v>
      </c>
      <c r="E2020" t="s">
        <v>4575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/>
      <c r="O2020" s="93"/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0</v>
      </c>
      <c r="R2020" s="92" t="s">
        <v>1044</v>
      </c>
      <c r="S2020" s="96"/>
    </row>
    <row r="2021" spans="1:19">
      <c r="A2021" s="95" t="s">
        <v>4247</v>
      </c>
      <c r="B2021" s="96" t="str">
        <f>IFERROR(VLOOKUP(Proc[[#This Row],[App]],Table2[],3,0),"open")</f>
        <v>open</v>
      </c>
      <c r="C2021" s="95" t="s">
        <v>370</v>
      </c>
      <c r="D2021" t="s">
        <v>4359</v>
      </c>
      <c r="E2021" t="s">
        <v>4575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/>
      <c r="O2021" s="93"/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0</v>
      </c>
      <c r="R2021" s="92" t="s">
        <v>1044</v>
      </c>
      <c r="S2021" s="96"/>
    </row>
    <row r="2022" spans="1:19">
      <c r="A2022" s="95" t="s">
        <v>4247</v>
      </c>
      <c r="B2022" s="96" t="str">
        <f>IFERROR(VLOOKUP(Proc[[#This Row],[App]],Table2[],3,0),"open")</f>
        <v>open</v>
      </c>
      <c r="C2022" s="95" t="s">
        <v>370</v>
      </c>
      <c r="D2022" t="s">
        <v>4360</v>
      </c>
      <c r="E2022" t="s">
        <v>4575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/>
      <c r="O2022" s="93"/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0</v>
      </c>
      <c r="R2022" s="92" t="s">
        <v>1044</v>
      </c>
      <c r="S2022" s="96"/>
    </row>
    <row r="2023" spans="1:19">
      <c r="A2023" s="95" t="s">
        <v>4247</v>
      </c>
      <c r="B2023" s="96" t="str">
        <f>IFERROR(VLOOKUP(Proc[[#This Row],[App]],Table2[],3,0),"open")</f>
        <v>open</v>
      </c>
      <c r="C2023" s="95" t="s">
        <v>370</v>
      </c>
      <c r="D2023" t="s">
        <v>4361</v>
      </c>
      <c r="E2023" t="s">
        <v>4575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/>
      <c r="O2023" s="93"/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0</v>
      </c>
      <c r="R2023" s="92" t="s">
        <v>1044</v>
      </c>
      <c r="S2023" s="96"/>
    </row>
    <row r="2024" spans="1:19">
      <c r="A2024" s="95" t="s">
        <v>4247</v>
      </c>
      <c r="B2024" s="96" t="str">
        <f>IFERROR(VLOOKUP(Proc[[#This Row],[App]],Table2[],3,0),"open")</f>
        <v>open</v>
      </c>
      <c r="C2024" s="95" t="s">
        <v>370</v>
      </c>
      <c r="D2024" t="s">
        <v>4362</v>
      </c>
      <c r="E2024" t="s">
        <v>4575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/>
      <c r="O2024" s="93"/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0</v>
      </c>
      <c r="R2024" s="92" t="s">
        <v>1044</v>
      </c>
      <c r="S2024" s="96"/>
    </row>
    <row r="2025" spans="1:19">
      <c r="A2025" s="95" t="s">
        <v>4247</v>
      </c>
      <c r="B2025" s="96" t="str">
        <f>IFERROR(VLOOKUP(Proc[[#This Row],[App]],Table2[],3,0),"open")</f>
        <v>open</v>
      </c>
      <c r="C2025" s="95" t="s">
        <v>370</v>
      </c>
      <c r="D2025" t="s">
        <v>4363</v>
      </c>
      <c r="E2025" t="s">
        <v>4575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/>
      <c r="O2025" s="93"/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0</v>
      </c>
      <c r="R2025" s="92" t="s">
        <v>1044</v>
      </c>
      <c r="S2025" s="96"/>
    </row>
    <row r="2026" spans="1:19">
      <c r="A2026" s="95" t="s">
        <v>4247</v>
      </c>
      <c r="B2026" s="96" t="str">
        <f>IFERROR(VLOOKUP(Proc[[#This Row],[App]],Table2[],3,0),"open")</f>
        <v>open</v>
      </c>
      <c r="C2026" s="95" t="s">
        <v>370</v>
      </c>
      <c r="D2026" t="s">
        <v>4364</v>
      </c>
      <c r="E2026" t="s">
        <v>4575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/>
      <c r="O2026" s="93"/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0</v>
      </c>
      <c r="R2026" s="92" t="s">
        <v>1044</v>
      </c>
      <c r="S2026" s="96"/>
    </row>
    <row r="2027" spans="1:19">
      <c r="A2027" s="95" t="s">
        <v>4247</v>
      </c>
      <c r="B2027" s="96" t="str">
        <f>IFERROR(VLOOKUP(Proc[[#This Row],[App]],Table2[],3,0),"open")</f>
        <v>open</v>
      </c>
      <c r="C2027" s="95" t="s">
        <v>370</v>
      </c>
      <c r="D2027" t="s">
        <v>4365</v>
      </c>
      <c r="E2027" t="s">
        <v>4575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/>
      <c r="O2027" s="93"/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0</v>
      </c>
      <c r="R2027" s="92" t="s">
        <v>1044</v>
      </c>
      <c r="S2027" s="96"/>
    </row>
    <row r="2028" spans="1:19">
      <c r="A2028" s="95" t="s">
        <v>4247</v>
      </c>
      <c r="B2028" s="96" t="str">
        <f>IFERROR(VLOOKUP(Proc[[#This Row],[App]],Table2[],3,0),"open")</f>
        <v>open</v>
      </c>
      <c r="C2028" s="95" t="s">
        <v>370</v>
      </c>
      <c r="D2028" t="s">
        <v>4366</v>
      </c>
      <c r="E2028" t="s">
        <v>4575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/>
      <c r="O2028" s="93"/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0</v>
      </c>
      <c r="R2028" s="92" t="s">
        <v>1044</v>
      </c>
      <c r="S2028" s="96"/>
    </row>
    <row r="2029" spans="1:19">
      <c r="A2029" s="95" t="s">
        <v>4247</v>
      </c>
      <c r="B2029" s="96" t="str">
        <f>IFERROR(VLOOKUP(Proc[[#This Row],[App]],Table2[],3,0),"open")</f>
        <v>open</v>
      </c>
      <c r="C2029" s="95" t="s">
        <v>370</v>
      </c>
      <c r="D2029" t="s">
        <v>4367</v>
      </c>
      <c r="E2029" t="s">
        <v>4575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/>
      <c r="O2029" s="93"/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0</v>
      </c>
      <c r="R2029" s="92" t="s">
        <v>1044</v>
      </c>
      <c r="S2029" s="96"/>
    </row>
    <row r="2030" spans="1:19">
      <c r="A2030" s="95" t="s">
        <v>4247</v>
      </c>
      <c r="B2030" s="96" t="str">
        <f>IFERROR(VLOOKUP(Proc[[#This Row],[App]],Table2[],3,0),"open")</f>
        <v>open</v>
      </c>
      <c r="C2030" s="95" t="s">
        <v>370</v>
      </c>
      <c r="D2030" t="s">
        <v>4368</v>
      </c>
      <c r="E2030" t="s">
        <v>4575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/>
      <c r="O2030" s="93"/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0</v>
      </c>
      <c r="R2030" s="92" t="s">
        <v>1044</v>
      </c>
      <c r="S2030" s="96"/>
    </row>
    <row r="2031" spans="1:19">
      <c r="A2031" s="95" t="s">
        <v>4247</v>
      </c>
      <c r="B2031" s="96" t="str">
        <f>IFERROR(VLOOKUP(Proc[[#This Row],[App]],Table2[],3,0),"open")</f>
        <v>open</v>
      </c>
      <c r="C2031" s="95" t="s">
        <v>370</v>
      </c>
      <c r="D2031" t="s">
        <v>4369</v>
      </c>
      <c r="E2031" t="s">
        <v>4575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/>
      <c r="O2031" s="93"/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0</v>
      </c>
      <c r="R2031" s="92" t="s">
        <v>1044</v>
      </c>
      <c r="S2031" s="96"/>
    </row>
    <row r="2032" spans="1:19">
      <c r="A2032" s="95" t="s">
        <v>4247</v>
      </c>
      <c r="B2032" s="96" t="str">
        <f>IFERROR(VLOOKUP(Proc[[#This Row],[App]],Table2[],3,0),"open")</f>
        <v>open</v>
      </c>
      <c r="C2032" s="95" t="s">
        <v>370</v>
      </c>
      <c r="D2032" t="s">
        <v>4370</v>
      </c>
      <c r="E2032" t="s">
        <v>4575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/>
      <c r="O2032" s="93"/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0</v>
      </c>
      <c r="R2032" s="92" t="s">
        <v>1044</v>
      </c>
      <c r="S2032" s="96"/>
    </row>
    <row r="2033" spans="1:19">
      <c r="A2033" s="95" t="s">
        <v>4247</v>
      </c>
      <c r="B2033" s="96" t="str">
        <f>IFERROR(VLOOKUP(Proc[[#This Row],[App]],Table2[],3,0),"open")</f>
        <v>open</v>
      </c>
      <c r="C2033" s="95" t="s">
        <v>370</v>
      </c>
      <c r="D2033" t="s">
        <v>4371</v>
      </c>
      <c r="E2033" t="s">
        <v>4575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/>
      <c r="O2033" s="93"/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0</v>
      </c>
      <c r="R2033" s="92" t="s">
        <v>1044</v>
      </c>
      <c r="S2033" s="96"/>
    </row>
    <row r="2034" spans="1:19">
      <c r="A2034" s="95" t="s">
        <v>4247</v>
      </c>
      <c r="B2034" s="96" t="str">
        <f>IFERROR(VLOOKUP(Proc[[#This Row],[App]],Table2[],3,0),"open")</f>
        <v>open</v>
      </c>
      <c r="C2034" s="95" t="s">
        <v>370</v>
      </c>
      <c r="D2034" t="s">
        <v>4372</v>
      </c>
      <c r="E2034" t="s">
        <v>4575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/>
      <c r="O2034" s="93"/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0</v>
      </c>
      <c r="R2034" s="92" t="s">
        <v>1044</v>
      </c>
      <c r="S2034" s="96"/>
    </row>
    <row r="2035" spans="1:19">
      <c r="A2035" s="95" t="s">
        <v>4247</v>
      </c>
      <c r="B2035" s="96" t="str">
        <f>IFERROR(VLOOKUP(Proc[[#This Row],[App]],Table2[],3,0),"open")</f>
        <v>open</v>
      </c>
      <c r="C2035" s="95" t="s">
        <v>370</v>
      </c>
      <c r="D2035" t="s">
        <v>4373</v>
      </c>
      <c r="E2035" t="s">
        <v>4575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/>
      <c r="O2035" s="93"/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0</v>
      </c>
      <c r="R2035" s="92" t="s">
        <v>1044</v>
      </c>
      <c r="S2035" s="96"/>
    </row>
    <row r="2036" spans="1:19">
      <c r="A2036" s="95" t="s">
        <v>4247</v>
      </c>
      <c r="B2036" s="96" t="str">
        <f>IFERROR(VLOOKUP(Proc[[#This Row],[App]],Table2[],3,0),"open")</f>
        <v>open</v>
      </c>
      <c r="C2036" s="95" t="s">
        <v>370</v>
      </c>
      <c r="D2036" t="s">
        <v>4374</v>
      </c>
      <c r="E2036" t="s">
        <v>4575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/>
      <c r="O2036" s="93"/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0</v>
      </c>
      <c r="R2036" s="92" t="s">
        <v>1044</v>
      </c>
      <c r="S2036" s="96"/>
    </row>
    <row r="2037" spans="1:19">
      <c r="A2037" s="95" t="s">
        <v>4247</v>
      </c>
      <c r="B2037" s="96" t="str">
        <f>IFERROR(VLOOKUP(Proc[[#This Row],[App]],Table2[],3,0),"open")</f>
        <v>open</v>
      </c>
      <c r="C2037" s="95" t="s">
        <v>370</v>
      </c>
      <c r="D2037" t="s">
        <v>4375</v>
      </c>
      <c r="E2037" t="s">
        <v>4575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/>
      <c r="O2037" s="93"/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0</v>
      </c>
      <c r="R2037" s="92" t="s">
        <v>1044</v>
      </c>
      <c r="S2037" s="96"/>
    </row>
    <row r="2038" spans="1:19">
      <c r="A2038" s="95" t="s">
        <v>4247</v>
      </c>
      <c r="B2038" s="96" t="str">
        <f>IFERROR(VLOOKUP(Proc[[#This Row],[App]],Table2[],3,0),"open")</f>
        <v>open</v>
      </c>
      <c r="C2038" s="95" t="s">
        <v>370</v>
      </c>
      <c r="D2038" t="s">
        <v>4376</v>
      </c>
      <c r="E2038" t="s">
        <v>4575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/>
      <c r="O2038" s="93"/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0</v>
      </c>
      <c r="R2038" s="92" t="s">
        <v>1044</v>
      </c>
      <c r="S2038" s="96"/>
    </row>
    <row r="2039" spans="1:19">
      <c r="A2039" s="95" t="s">
        <v>4247</v>
      </c>
      <c r="B2039" s="96" t="str">
        <f>IFERROR(VLOOKUP(Proc[[#This Row],[App]],Table2[],3,0),"open")</f>
        <v>open</v>
      </c>
      <c r="C2039" s="95" t="s">
        <v>370</v>
      </c>
      <c r="D2039" t="s">
        <v>4377</v>
      </c>
      <c r="E2039" t="s">
        <v>4575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/>
      <c r="O2039" s="93"/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0</v>
      </c>
      <c r="R2039" s="92" t="s">
        <v>1044</v>
      </c>
      <c r="S2039" s="96"/>
    </row>
    <row r="2040" spans="1:19">
      <c r="A2040" s="95" t="s">
        <v>4247</v>
      </c>
      <c r="B2040" s="96" t="str">
        <f>IFERROR(VLOOKUP(Proc[[#This Row],[App]],Table2[],3,0),"open")</f>
        <v>open</v>
      </c>
      <c r="C2040" s="95" t="s">
        <v>370</v>
      </c>
      <c r="D2040" t="s">
        <v>4378</v>
      </c>
      <c r="E2040" t="s">
        <v>4575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/>
      <c r="O2040" s="93"/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0</v>
      </c>
      <c r="R2040" s="92" t="s">
        <v>1044</v>
      </c>
      <c r="S2040" s="96"/>
    </row>
    <row r="2041" spans="1:19">
      <c r="A2041" s="95" t="s">
        <v>4247</v>
      </c>
      <c r="B2041" s="96" t="str">
        <f>IFERROR(VLOOKUP(Proc[[#This Row],[App]],Table2[],3,0),"open")</f>
        <v>open</v>
      </c>
      <c r="C2041" s="95" t="s">
        <v>370</v>
      </c>
      <c r="D2041" t="s">
        <v>4379</v>
      </c>
      <c r="E2041" t="s">
        <v>4575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/>
      <c r="O2041" s="93"/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0</v>
      </c>
      <c r="R2041" s="92" t="s">
        <v>1044</v>
      </c>
      <c r="S2041" s="96"/>
    </row>
    <row r="2042" spans="1:19">
      <c r="A2042" s="95" t="s">
        <v>4247</v>
      </c>
      <c r="B2042" s="96" t="str">
        <f>IFERROR(VLOOKUP(Proc[[#This Row],[App]],Table2[],3,0),"open")</f>
        <v>open</v>
      </c>
      <c r="C2042" s="95" t="s">
        <v>370</v>
      </c>
      <c r="D2042" t="s">
        <v>4380</v>
      </c>
      <c r="E2042" t="s">
        <v>4575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/>
      <c r="O2042" s="93"/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0</v>
      </c>
      <c r="R2042" s="92" t="s">
        <v>1044</v>
      </c>
      <c r="S2042" s="96"/>
    </row>
    <row r="2043" spans="1:19">
      <c r="A2043" s="95" t="s">
        <v>4247</v>
      </c>
      <c r="B2043" s="96" t="str">
        <f>IFERROR(VLOOKUP(Proc[[#This Row],[App]],Table2[],3,0),"open")</f>
        <v>open</v>
      </c>
      <c r="C2043" s="95" t="s">
        <v>370</v>
      </c>
      <c r="D2043" t="s">
        <v>4381</v>
      </c>
      <c r="E2043" t="s">
        <v>4575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/>
      <c r="O2043" s="93"/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0</v>
      </c>
      <c r="R2043" s="92" t="s">
        <v>1044</v>
      </c>
      <c r="S2043" s="96"/>
    </row>
    <row r="2044" spans="1:19">
      <c r="A2044" s="95" t="s">
        <v>4247</v>
      </c>
      <c r="B2044" s="96" t="str">
        <f>IFERROR(VLOOKUP(Proc[[#This Row],[App]],Table2[],3,0),"open")</f>
        <v>open</v>
      </c>
      <c r="C2044" s="95" t="s">
        <v>370</v>
      </c>
      <c r="D2044" t="s">
        <v>4382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/>
      <c r="O2044" s="93"/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0</v>
      </c>
      <c r="R2044" s="92" t="s">
        <v>1044</v>
      </c>
      <c r="S2044" s="96"/>
    </row>
    <row r="2045" spans="1:19">
      <c r="A2045" s="95" t="s">
        <v>4247</v>
      </c>
      <c r="B2045" s="96" t="str">
        <f>IFERROR(VLOOKUP(Proc[[#This Row],[App]],Table2[],3,0),"open")</f>
        <v>open</v>
      </c>
      <c r="C2045" s="95" t="s">
        <v>370</v>
      </c>
      <c r="D2045" t="s">
        <v>4383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/>
      <c r="O2045" s="93"/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0</v>
      </c>
      <c r="R2045" s="92" t="s">
        <v>1044</v>
      </c>
      <c r="S2045" s="96"/>
    </row>
    <row r="2046" spans="1:19">
      <c r="A2046" s="95" t="s">
        <v>4247</v>
      </c>
      <c r="B2046" s="96" t="str">
        <f>IFERROR(VLOOKUP(Proc[[#This Row],[App]],Table2[],3,0),"open")</f>
        <v>open</v>
      </c>
      <c r="C2046" s="95" t="s">
        <v>370</v>
      </c>
      <c r="D2046" t="s">
        <v>4384</v>
      </c>
      <c r="E2046" t="s">
        <v>4575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/>
      <c r="O2046" s="93"/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0</v>
      </c>
      <c r="R2046" s="92" t="s">
        <v>1044</v>
      </c>
      <c r="S2046" s="96"/>
    </row>
    <row r="2047" spans="1:19">
      <c r="A2047" s="95" t="s">
        <v>4247</v>
      </c>
      <c r="B2047" s="96" t="str">
        <f>IFERROR(VLOOKUP(Proc[[#This Row],[App]],Table2[],3,0),"open")</f>
        <v>open</v>
      </c>
      <c r="C2047" s="95" t="s">
        <v>370</v>
      </c>
      <c r="D2047" t="s">
        <v>4385</v>
      </c>
      <c r="E2047" t="s">
        <v>4575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/>
      <c r="O2047" s="93"/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0</v>
      </c>
      <c r="R2047" s="92" t="s">
        <v>1044</v>
      </c>
      <c r="S2047" s="96"/>
    </row>
    <row r="2048" spans="1:19">
      <c r="A2048" s="95" t="s">
        <v>4247</v>
      </c>
      <c r="B2048" s="96" t="str">
        <f>IFERROR(VLOOKUP(Proc[[#This Row],[App]],Table2[],3,0),"open")</f>
        <v>open</v>
      </c>
      <c r="C2048" s="95" t="s">
        <v>370</v>
      </c>
      <c r="D2048" t="s">
        <v>4386</v>
      </c>
      <c r="E2048" t="s">
        <v>4575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/>
      <c r="O2048" s="93"/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0</v>
      </c>
      <c r="R2048" s="92" t="s">
        <v>1044</v>
      </c>
      <c r="S2048" s="96"/>
    </row>
    <row r="2049" spans="1:19">
      <c r="A2049" s="95" t="s">
        <v>4247</v>
      </c>
      <c r="B2049" s="96" t="str">
        <f>IFERROR(VLOOKUP(Proc[[#This Row],[App]],Table2[],3,0),"open")</f>
        <v>open</v>
      </c>
      <c r="C2049" s="95" t="s">
        <v>370</v>
      </c>
      <c r="D2049" t="s">
        <v>4387</v>
      </c>
      <c r="E2049" t="s">
        <v>4575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/>
      <c r="O2049" s="93"/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0</v>
      </c>
      <c r="R2049" s="92" t="s">
        <v>1044</v>
      </c>
      <c r="S2049" s="96"/>
    </row>
    <row r="2050" spans="1:19">
      <c r="A2050" s="95" t="s">
        <v>4247</v>
      </c>
      <c r="B2050" s="96" t="str">
        <f>IFERROR(VLOOKUP(Proc[[#This Row],[App]],Table2[],3,0),"open")</f>
        <v>open</v>
      </c>
      <c r="C2050" s="95" t="s">
        <v>370</v>
      </c>
      <c r="D2050" t="s">
        <v>4388</v>
      </c>
      <c r="E2050" t="s">
        <v>4575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/>
      <c r="O2050" s="93"/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0</v>
      </c>
      <c r="R2050" s="92" t="s">
        <v>1044</v>
      </c>
      <c r="S2050" s="96"/>
    </row>
    <row r="2051" spans="1:19">
      <c r="A2051" s="95" t="s">
        <v>4247</v>
      </c>
      <c r="B2051" s="96" t="str">
        <f>IFERROR(VLOOKUP(Proc[[#This Row],[App]],Table2[],3,0),"open")</f>
        <v>open</v>
      </c>
      <c r="C2051" s="95" t="s">
        <v>370</v>
      </c>
      <c r="D2051" t="s">
        <v>4389</v>
      </c>
      <c r="E2051" t="s">
        <v>4575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/>
      <c r="O2051" s="93"/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0</v>
      </c>
      <c r="R2051" s="92" t="s">
        <v>1044</v>
      </c>
      <c r="S2051" s="96"/>
    </row>
    <row r="2052" spans="1:19">
      <c r="A2052" s="95" t="s">
        <v>4247</v>
      </c>
      <c r="B2052" s="96" t="str">
        <f>IFERROR(VLOOKUP(Proc[[#This Row],[App]],Table2[],3,0),"open")</f>
        <v>open</v>
      </c>
      <c r="C2052" s="95" t="s">
        <v>370</v>
      </c>
      <c r="D2052" t="s">
        <v>4390</v>
      </c>
      <c r="E2052" t="s">
        <v>4575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/>
      <c r="O2052" s="93"/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0</v>
      </c>
      <c r="R2052" s="92" t="s">
        <v>1044</v>
      </c>
      <c r="S2052" s="96"/>
    </row>
    <row r="2053" spans="1:19">
      <c r="A2053" s="95" t="s">
        <v>4247</v>
      </c>
      <c r="B2053" s="96" t="str">
        <f>IFERROR(VLOOKUP(Proc[[#This Row],[App]],Table2[],3,0),"open")</f>
        <v>open</v>
      </c>
      <c r="C2053" s="95" t="s">
        <v>370</v>
      </c>
      <c r="D2053" t="s">
        <v>4391</v>
      </c>
      <c r="E2053" t="s">
        <v>4575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/>
      <c r="O2053" s="93"/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0</v>
      </c>
      <c r="R2053" s="92" t="s">
        <v>1044</v>
      </c>
      <c r="S2053" s="96"/>
    </row>
    <row r="2054" spans="1:19">
      <c r="A2054" s="95" t="s">
        <v>4247</v>
      </c>
      <c r="B2054" s="96" t="str">
        <f>IFERROR(VLOOKUP(Proc[[#This Row],[App]],Table2[],3,0),"open")</f>
        <v>open</v>
      </c>
      <c r="C2054" s="95" t="s">
        <v>370</v>
      </c>
      <c r="D2054" t="s">
        <v>4392</v>
      </c>
      <c r="E2054" t="s">
        <v>4575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/>
      <c r="O2054" s="93"/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0</v>
      </c>
      <c r="R2054" s="92" t="s">
        <v>1044</v>
      </c>
      <c r="S2054" s="96"/>
    </row>
    <row r="2055" spans="1:19">
      <c r="A2055" s="95" t="s">
        <v>4247</v>
      </c>
      <c r="B2055" s="96" t="str">
        <f>IFERROR(VLOOKUP(Proc[[#This Row],[App]],Table2[],3,0),"open")</f>
        <v>open</v>
      </c>
      <c r="C2055" s="95" t="s">
        <v>370</v>
      </c>
      <c r="D2055" t="s">
        <v>4393</v>
      </c>
      <c r="E2055" t="s">
        <v>4575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/>
      <c r="O2055" s="93"/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0</v>
      </c>
      <c r="R2055" s="92" t="s">
        <v>1044</v>
      </c>
      <c r="S2055" s="96"/>
    </row>
    <row r="2056" spans="1:19">
      <c r="A2056" s="95" t="s">
        <v>4247</v>
      </c>
      <c r="B2056" s="96" t="str">
        <f>IFERROR(VLOOKUP(Proc[[#This Row],[App]],Table2[],3,0),"open")</f>
        <v>open</v>
      </c>
      <c r="C2056" s="95" t="s">
        <v>370</v>
      </c>
      <c r="D2056" t="s">
        <v>4394</v>
      </c>
      <c r="E2056" t="s">
        <v>4575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/>
      <c r="O2056" s="93"/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0</v>
      </c>
      <c r="R2056" s="92" t="s">
        <v>1044</v>
      </c>
      <c r="S2056" s="96"/>
    </row>
    <row r="2057" spans="1:19">
      <c r="A2057" s="95" t="s">
        <v>4247</v>
      </c>
      <c r="B2057" s="96" t="str">
        <f>IFERROR(VLOOKUP(Proc[[#This Row],[App]],Table2[],3,0),"open")</f>
        <v>open</v>
      </c>
      <c r="C2057" s="95" t="s">
        <v>370</v>
      </c>
      <c r="D2057" t="s">
        <v>4395</v>
      </c>
      <c r="E2057" t="s">
        <v>4575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/>
      <c r="O2057" s="93"/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0</v>
      </c>
      <c r="R2057" s="92" t="s">
        <v>1044</v>
      </c>
      <c r="S2057" s="96"/>
    </row>
    <row r="2058" spans="1:19">
      <c r="A2058" s="95" t="s">
        <v>4247</v>
      </c>
      <c r="B2058" s="96" t="str">
        <f>IFERROR(VLOOKUP(Proc[[#This Row],[App]],Table2[],3,0),"open")</f>
        <v>open</v>
      </c>
      <c r="C2058" s="95" t="s">
        <v>370</v>
      </c>
      <c r="D2058" t="s">
        <v>4396</v>
      </c>
      <c r="E2058" t="s">
        <v>4575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/>
      <c r="O2058" s="93"/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0</v>
      </c>
      <c r="R2058" s="92" t="s">
        <v>1044</v>
      </c>
      <c r="S2058" s="96"/>
    </row>
    <row r="2059" spans="1:19">
      <c r="A2059" s="95" t="s">
        <v>4247</v>
      </c>
      <c r="B2059" s="96" t="str">
        <f>IFERROR(VLOOKUP(Proc[[#This Row],[App]],Table2[],3,0),"open")</f>
        <v>open</v>
      </c>
      <c r="C2059" s="95" t="s">
        <v>370</v>
      </c>
      <c r="D2059" t="s">
        <v>4397</v>
      </c>
      <c r="E2059" t="s">
        <v>4575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/>
      <c r="O2059" s="93"/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0</v>
      </c>
      <c r="R2059" s="92" t="s">
        <v>1044</v>
      </c>
      <c r="S2059" s="96"/>
    </row>
    <row r="2060" spans="1:19">
      <c r="A2060" s="95" t="s">
        <v>4247</v>
      </c>
      <c r="B2060" s="96" t="str">
        <f>IFERROR(VLOOKUP(Proc[[#This Row],[App]],Table2[],3,0),"open")</f>
        <v>open</v>
      </c>
      <c r="C2060" s="95" t="s">
        <v>370</v>
      </c>
      <c r="D2060" t="s">
        <v>4398</v>
      </c>
      <c r="E2060" t="s">
        <v>4575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/>
      <c r="O2060" s="93"/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0</v>
      </c>
      <c r="R2060" s="92" t="s">
        <v>1044</v>
      </c>
      <c r="S2060" s="96"/>
    </row>
    <row r="2061" spans="1:19">
      <c r="A2061" s="95" t="s">
        <v>4247</v>
      </c>
      <c r="B2061" s="96" t="str">
        <f>IFERROR(VLOOKUP(Proc[[#This Row],[App]],Table2[],3,0),"open")</f>
        <v>open</v>
      </c>
      <c r="C2061" s="95" t="s">
        <v>370</v>
      </c>
      <c r="D2061" t="s">
        <v>4399</v>
      </c>
      <c r="E2061" t="s">
        <v>4575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/>
      <c r="O2061" s="93"/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0</v>
      </c>
      <c r="R2061" s="92" t="s">
        <v>1044</v>
      </c>
      <c r="S2061" s="96"/>
    </row>
    <row r="2062" spans="1:19">
      <c r="A2062" s="95" t="s">
        <v>4247</v>
      </c>
      <c r="B2062" s="96" t="str">
        <f>IFERROR(VLOOKUP(Proc[[#This Row],[App]],Table2[],3,0),"open")</f>
        <v>open</v>
      </c>
      <c r="C2062" s="95" t="s">
        <v>370</v>
      </c>
      <c r="D2062" t="s">
        <v>4400</v>
      </c>
      <c r="E2062" t="s">
        <v>4575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/>
      <c r="O2062" s="93"/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0</v>
      </c>
      <c r="R2062" s="92" t="s">
        <v>1044</v>
      </c>
      <c r="S2062" s="96"/>
    </row>
    <row r="2063" spans="1:19">
      <c r="A2063" s="95" t="s">
        <v>4247</v>
      </c>
      <c r="B2063" s="96" t="str">
        <f>IFERROR(VLOOKUP(Proc[[#This Row],[App]],Table2[],3,0),"open")</f>
        <v>open</v>
      </c>
      <c r="C2063" s="95" t="s">
        <v>370</v>
      </c>
      <c r="D2063" t="s">
        <v>4401</v>
      </c>
      <c r="E2063" t="s">
        <v>4575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/>
      <c r="O2063" s="93"/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0</v>
      </c>
      <c r="R2063" s="92" t="s">
        <v>1044</v>
      </c>
      <c r="S2063" s="96"/>
    </row>
    <row r="2064" spans="1:19">
      <c r="A2064" s="95" t="s">
        <v>4247</v>
      </c>
      <c r="B2064" s="96" t="str">
        <f>IFERROR(VLOOKUP(Proc[[#This Row],[App]],Table2[],3,0),"open")</f>
        <v>open</v>
      </c>
      <c r="C2064" s="95" t="s">
        <v>370</v>
      </c>
      <c r="D2064" t="s">
        <v>4402</v>
      </c>
      <c r="E2064" t="s">
        <v>4575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/>
      <c r="O2064" s="93"/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0</v>
      </c>
      <c r="R2064" s="92" t="s">
        <v>1044</v>
      </c>
      <c r="S2064" s="96"/>
    </row>
    <row r="2065" spans="1:19">
      <c r="A2065" s="95" t="s">
        <v>4247</v>
      </c>
      <c r="B2065" s="96" t="str">
        <f>IFERROR(VLOOKUP(Proc[[#This Row],[App]],Table2[],3,0),"open")</f>
        <v>open</v>
      </c>
      <c r="C2065" s="95" t="s">
        <v>370</v>
      </c>
      <c r="D2065" t="s">
        <v>4403</v>
      </c>
      <c r="E2065" t="s">
        <v>4575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/>
      <c r="O2065" s="93"/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0</v>
      </c>
      <c r="R2065" s="92" t="s">
        <v>1044</v>
      </c>
      <c r="S2065" s="96"/>
    </row>
    <row r="2066" spans="1:19">
      <c r="A2066" s="95" t="s">
        <v>4247</v>
      </c>
      <c r="B2066" s="96" t="str">
        <f>IFERROR(VLOOKUP(Proc[[#This Row],[App]],Table2[],3,0),"open")</f>
        <v>open</v>
      </c>
      <c r="C2066" s="95" t="s">
        <v>370</v>
      </c>
      <c r="D2066" t="s">
        <v>4404</v>
      </c>
      <c r="E2066" t="s">
        <v>4575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/>
      <c r="O2066" s="93"/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0</v>
      </c>
      <c r="R2066" s="92" t="s">
        <v>1044</v>
      </c>
      <c r="S2066" s="96"/>
    </row>
    <row r="2067" spans="1:19">
      <c r="A2067" s="95" t="s">
        <v>4247</v>
      </c>
      <c r="B2067" s="96" t="str">
        <f>IFERROR(VLOOKUP(Proc[[#This Row],[App]],Table2[],3,0),"open")</f>
        <v>open</v>
      </c>
      <c r="C2067" s="95" t="s">
        <v>370</v>
      </c>
      <c r="D2067" t="s">
        <v>4405</v>
      </c>
      <c r="E2067" t="s">
        <v>4575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/>
      <c r="O2067" s="93"/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0</v>
      </c>
      <c r="R2067" s="92" t="s">
        <v>1044</v>
      </c>
      <c r="S2067" s="96"/>
    </row>
    <row r="2068" spans="1:19">
      <c r="A2068" s="95" t="s">
        <v>4247</v>
      </c>
      <c r="B2068" s="96" t="str">
        <f>IFERROR(VLOOKUP(Proc[[#This Row],[App]],Table2[],3,0),"open")</f>
        <v>open</v>
      </c>
      <c r="C2068" s="95" t="s">
        <v>370</v>
      </c>
      <c r="D2068" t="s">
        <v>4406</v>
      </c>
      <c r="E2068" t="s">
        <v>4575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/>
      <c r="O2068" s="93"/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0</v>
      </c>
      <c r="R2068" s="92" t="s">
        <v>1044</v>
      </c>
      <c r="S2068" s="96"/>
    </row>
    <row r="2069" spans="1:19">
      <c r="A2069" s="95" t="s">
        <v>4247</v>
      </c>
      <c r="B2069" s="96" t="str">
        <f>IFERROR(VLOOKUP(Proc[[#This Row],[App]],Table2[],3,0),"open")</f>
        <v>open</v>
      </c>
      <c r="C2069" s="95" t="s">
        <v>370</v>
      </c>
      <c r="D2069" t="s">
        <v>4407</v>
      </c>
      <c r="E2069" t="s">
        <v>4575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/>
      <c r="O2069" s="93"/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0</v>
      </c>
      <c r="R2069" s="92" t="s">
        <v>1044</v>
      </c>
      <c r="S2069" s="96"/>
    </row>
    <row r="2070" spans="1:19">
      <c r="A2070" s="95" t="s">
        <v>4247</v>
      </c>
      <c r="B2070" s="96" t="str">
        <f>IFERROR(VLOOKUP(Proc[[#This Row],[App]],Table2[],3,0),"open")</f>
        <v>open</v>
      </c>
      <c r="C2070" s="95" t="s">
        <v>370</v>
      </c>
      <c r="D2070" t="s">
        <v>4408</v>
      </c>
      <c r="E2070" t="s">
        <v>4575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/>
      <c r="O2070" s="93"/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0</v>
      </c>
      <c r="R2070" s="92" t="s">
        <v>1044</v>
      </c>
      <c r="S2070" s="96"/>
    </row>
    <row r="2071" spans="1:19">
      <c r="A2071" s="95" t="s">
        <v>4247</v>
      </c>
      <c r="B2071" s="96" t="str">
        <f>IFERROR(VLOOKUP(Proc[[#This Row],[App]],Table2[],3,0),"open")</f>
        <v>open</v>
      </c>
      <c r="C2071" s="95" t="s">
        <v>370</v>
      </c>
      <c r="D2071" t="s">
        <v>4409</v>
      </c>
      <c r="E2071" t="s">
        <v>4575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/>
      <c r="O2071" s="93"/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0</v>
      </c>
      <c r="R2071" s="92" t="s">
        <v>1044</v>
      </c>
      <c r="S2071" s="96"/>
    </row>
    <row r="2072" spans="1:19">
      <c r="A2072" s="95" t="s">
        <v>4247</v>
      </c>
      <c r="B2072" s="96" t="str">
        <f>IFERROR(VLOOKUP(Proc[[#This Row],[App]],Table2[],3,0),"open")</f>
        <v>open</v>
      </c>
      <c r="C2072" s="95" t="s">
        <v>370</v>
      </c>
      <c r="D2072" t="s">
        <v>4410</v>
      </c>
      <c r="E2072" t="s">
        <v>4575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/>
      <c r="O2072" s="93"/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0</v>
      </c>
      <c r="R2072" s="92" t="s">
        <v>1044</v>
      </c>
      <c r="S2072" s="96"/>
    </row>
    <row r="2073" spans="1:19">
      <c r="A2073" s="95" t="s">
        <v>4247</v>
      </c>
      <c r="B2073" s="96" t="str">
        <f>IFERROR(VLOOKUP(Proc[[#This Row],[App]],Table2[],3,0),"open")</f>
        <v>open</v>
      </c>
      <c r="C2073" s="95" t="s">
        <v>370</v>
      </c>
      <c r="D2073" t="s">
        <v>4411</v>
      </c>
      <c r="E2073" t="s">
        <v>4575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/>
      <c r="O2073" s="93"/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0</v>
      </c>
      <c r="R2073" s="92" t="s">
        <v>1044</v>
      </c>
      <c r="S2073" s="96"/>
    </row>
    <row r="2074" spans="1:19">
      <c r="A2074" s="95" t="s">
        <v>4247</v>
      </c>
      <c r="B2074" s="96" t="str">
        <f>IFERROR(VLOOKUP(Proc[[#This Row],[App]],Table2[],3,0),"open")</f>
        <v>open</v>
      </c>
      <c r="C2074" s="95" t="s">
        <v>370</v>
      </c>
      <c r="D2074" t="s">
        <v>4412</v>
      </c>
      <c r="E2074" t="s">
        <v>4575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/>
      <c r="O2074" s="93"/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0</v>
      </c>
      <c r="R2074" s="92" t="s">
        <v>1044</v>
      </c>
      <c r="S2074" s="96"/>
    </row>
    <row r="2075" spans="1:19">
      <c r="A2075" s="95" t="s">
        <v>4247</v>
      </c>
      <c r="B2075" s="96" t="str">
        <f>IFERROR(VLOOKUP(Proc[[#This Row],[App]],Table2[],3,0),"open")</f>
        <v>open</v>
      </c>
      <c r="C2075" s="95" t="s">
        <v>370</v>
      </c>
      <c r="D2075" t="s">
        <v>4413</v>
      </c>
      <c r="E2075" t="s">
        <v>4575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/>
      <c r="O2075" s="93"/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0</v>
      </c>
      <c r="R2075" s="92" t="s">
        <v>1044</v>
      </c>
      <c r="S2075" s="96"/>
    </row>
    <row r="2076" spans="1:19">
      <c r="A2076" s="95" t="s">
        <v>4247</v>
      </c>
      <c r="B2076" s="96" t="str">
        <f>IFERROR(VLOOKUP(Proc[[#This Row],[App]],Table2[],3,0),"open")</f>
        <v>open</v>
      </c>
      <c r="C2076" s="95" t="s">
        <v>370</v>
      </c>
      <c r="D2076" t="s">
        <v>4414</v>
      </c>
      <c r="E2076" t="s">
        <v>4575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/>
      <c r="O2076" s="93"/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0</v>
      </c>
      <c r="R2076" s="92" t="s">
        <v>1044</v>
      </c>
      <c r="S2076" s="96"/>
    </row>
    <row r="2077" spans="1:19">
      <c r="A2077" s="95" t="s">
        <v>4247</v>
      </c>
      <c r="B2077" s="96" t="str">
        <f>IFERROR(VLOOKUP(Proc[[#This Row],[App]],Table2[],3,0),"open")</f>
        <v>open</v>
      </c>
      <c r="C2077" s="95" t="s">
        <v>370</v>
      </c>
      <c r="D2077" t="s">
        <v>4415</v>
      </c>
      <c r="E2077" t="s">
        <v>4575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/>
      <c r="O2077" s="93"/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0</v>
      </c>
      <c r="R2077" s="92" t="s">
        <v>1044</v>
      </c>
      <c r="S2077" s="96"/>
    </row>
    <row r="2078" spans="1:19">
      <c r="A2078" s="95" t="s">
        <v>4247</v>
      </c>
      <c r="B2078" s="96" t="str">
        <f>IFERROR(VLOOKUP(Proc[[#This Row],[App]],Table2[],3,0),"open")</f>
        <v>open</v>
      </c>
      <c r="C2078" s="95" t="s">
        <v>370</v>
      </c>
      <c r="D2078" t="s">
        <v>4416</v>
      </c>
      <c r="E2078" t="s">
        <v>4575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/>
      <c r="O2078" s="93"/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0</v>
      </c>
      <c r="R2078" s="92" t="s">
        <v>1044</v>
      </c>
      <c r="S2078" s="96"/>
    </row>
    <row r="2079" spans="1:19">
      <c r="A2079" s="95" t="s">
        <v>4247</v>
      </c>
      <c r="B2079" s="96" t="str">
        <f>IFERROR(VLOOKUP(Proc[[#This Row],[App]],Table2[],3,0),"open")</f>
        <v>open</v>
      </c>
      <c r="C2079" s="95" t="s">
        <v>370</v>
      </c>
      <c r="D2079" t="s">
        <v>4417</v>
      </c>
      <c r="E2079" t="s">
        <v>4575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/>
      <c r="O2079" s="93"/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0</v>
      </c>
      <c r="R2079" s="92" t="s">
        <v>1044</v>
      </c>
      <c r="S2079" s="96"/>
    </row>
    <row r="2080" spans="1:19">
      <c r="A2080" s="95" t="s">
        <v>4247</v>
      </c>
      <c r="B2080" s="96" t="str">
        <f>IFERROR(VLOOKUP(Proc[[#This Row],[App]],Table2[],3,0),"open")</f>
        <v>open</v>
      </c>
      <c r="C2080" s="95" t="s">
        <v>370</v>
      </c>
      <c r="D2080" t="s">
        <v>4418</v>
      </c>
      <c r="E2080" t="s">
        <v>4575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/>
      <c r="O2080" s="93"/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0</v>
      </c>
      <c r="R2080" s="92" t="s">
        <v>1044</v>
      </c>
      <c r="S2080" s="96"/>
    </row>
    <row r="2081" spans="1:19">
      <c r="A2081" s="95" t="s">
        <v>4247</v>
      </c>
      <c r="B2081" s="96" t="str">
        <f>IFERROR(VLOOKUP(Proc[[#This Row],[App]],Table2[],3,0),"open")</f>
        <v>open</v>
      </c>
      <c r="C2081" s="95" t="s">
        <v>370</v>
      </c>
      <c r="D2081" t="s">
        <v>4419</v>
      </c>
      <c r="E2081" t="s">
        <v>4575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/>
      <c r="O2081" s="93"/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0</v>
      </c>
      <c r="R2081" s="92" t="s">
        <v>1044</v>
      </c>
      <c r="S2081" s="96"/>
    </row>
    <row r="2082" spans="1:19">
      <c r="A2082" s="95" t="s">
        <v>4247</v>
      </c>
      <c r="B2082" s="96" t="str">
        <f>IFERROR(VLOOKUP(Proc[[#This Row],[App]],Table2[],3,0),"open")</f>
        <v>open</v>
      </c>
      <c r="C2082" s="95" t="s">
        <v>370</v>
      </c>
      <c r="D2082" t="s">
        <v>4420</v>
      </c>
      <c r="E2082" t="s">
        <v>4575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/>
      <c r="O2082" s="93"/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0</v>
      </c>
      <c r="R2082" s="92" t="s">
        <v>1044</v>
      </c>
      <c r="S2082" s="96"/>
    </row>
    <row r="2083" spans="1:19">
      <c r="A2083" s="95" t="s">
        <v>4247</v>
      </c>
      <c r="B2083" s="96" t="str">
        <f>IFERROR(VLOOKUP(Proc[[#This Row],[App]],Table2[],3,0),"open")</f>
        <v>open</v>
      </c>
      <c r="C2083" s="95" t="s">
        <v>370</v>
      </c>
      <c r="D2083" t="s">
        <v>4421</v>
      </c>
      <c r="E2083" t="s">
        <v>4575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/>
      <c r="O2083" s="93"/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0</v>
      </c>
      <c r="R2083" s="92" t="s">
        <v>1044</v>
      </c>
      <c r="S2083" s="96"/>
    </row>
    <row r="2084" spans="1:19">
      <c r="A2084" s="95" t="s">
        <v>4247</v>
      </c>
      <c r="B2084" s="96" t="str">
        <f>IFERROR(VLOOKUP(Proc[[#This Row],[App]],Table2[],3,0),"open")</f>
        <v>open</v>
      </c>
      <c r="C2084" s="95" t="s">
        <v>370</v>
      </c>
      <c r="D2084" t="s">
        <v>4422</v>
      </c>
      <c r="E2084" t="s">
        <v>4575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/>
      <c r="O2084" s="93"/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0</v>
      </c>
      <c r="R2084" s="92" t="s">
        <v>1044</v>
      </c>
      <c r="S2084" s="96"/>
    </row>
    <row r="2085" spans="1:19">
      <c r="A2085" s="95" t="s">
        <v>4247</v>
      </c>
      <c r="B2085" s="96" t="str">
        <f>IFERROR(VLOOKUP(Proc[[#This Row],[App]],Table2[],3,0),"open")</f>
        <v>open</v>
      </c>
      <c r="C2085" s="95" t="s">
        <v>370</v>
      </c>
      <c r="D2085" t="s">
        <v>4423</v>
      </c>
      <c r="E2085" t="s">
        <v>4575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/>
      <c r="O2085" s="93"/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0</v>
      </c>
      <c r="R2085" s="92" t="s">
        <v>1044</v>
      </c>
      <c r="S2085" s="96"/>
    </row>
    <row r="2086" spans="1:19">
      <c r="A2086" s="95" t="s">
        <v>4247</v>
      </c>
      <c r="B2086" s="96" t="str">
        <f>IFERROR(VLOOKUP(Proc[[#This Row],[App]],Table2[],3,0),"open")</f>
        <v>open</v>
      </c>
      <c r="C2086" s="95" t="s">
        <v>370</v>
      </c>
      <c r="D2086" t="s">
        <v>4424</v>
      </c>
      <c r="E2086" t="s">
        <v>4575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/>
      <c r="O2086" s="93"/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0</v>
      </c>
      <c r="R2086" s="92" t="s">
        <v>1044</v>
      </c>
      <c r="S2086" s="96"/>
    </row>
    <row r="2087" spans="1:19">
      <c r="A2087" s="95" t="s">
        <v>4247</v>
      </c>
      <c r="B2087" s="96" t="str">
        <f>IFERROR(VLOOKUP(Proc[[#This Row],[App]],Table2[],3,0),"open")</f>
        <v>open</v>
      </c>
      <c r="C2087" s="95" t="s">
        <v>370</v>
      </c>
      <c r="D2087" t="s">
        <v>4425</v>
      </c>
      <c r="E2087" t="s">
        <v>4575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/>
      <c r="O2087" s="93"/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0</v>
      </c>
      <c r="R2087" s="92" t="s">
        <v>1044</v>
      </c>
      <c r="S2087" s="96"/>
    </row>
    <row r="2088" spans="1:19">
      <c r="A2088" s="95" t="s">
        <v>4247</v>
      </c>
      <c r="B2088" s="96" t="str">
        <f>IFERROR(VLOOKUP(Proc[[#This Row],[App]],Table2[],3,0),"open")</f>
        <v>open</v>
      </c>
      <c r="C2088" s="95" t="s">
        <v>370</v>
      </c>
      <c r="D2088" t="s">
        <v>4426</v>
      </c>
      <c r="E2088" t="s">
        <v>4575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/>
      <c r="O2088" s="93"/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0</v>
      </c>
      <c r="R2088" s="92" t="s">
        <v>1044</v>
      </c>
      <c r="S2088" s="96"/>
    </row>
    <row r="2089" spans="1:19">
      <c r="A2089" s="95" t="s">
        <v>4247</v>
      </c>
      <c r="B2089" s="96" t="str">
        <f>IFERROR(VLOOKUP(Proc[[#This Row],[App]],Table2[],3,0),"open")</f>
        <v>open</v>
      </c>
      <c r="C2089" s="95" t="s">
        <v>370</v>
      </c>
      <c r="D2089" t="s">
        <v>4427</v>
      </c>
      <c r="E2089" t="s">
        <v>4575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/>
      <c r="O2089" s="93"/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0</v>
      </c>
      <c r="R2089" s="92" t="s">
        <v>1044</v>
      </c>
      <c r="S2089" s="96"/>
    </row>
    <row r="2090" spans="1:19">
      <c r="A2090" s="95" t="s">
        <v>4247</v>
      </c>
      <c r="B2090" s="96" t="str">
        <f>IFERROR(VLOOKUP(Proc[[#This Row],[App]],Table2[],3,0),"open")</f>
        <v>open</v>
      </c>
      <c r="C2090" s="95" t="s">
        <v>370</v>
      </c>
      <c r="D2090" t="s">
        <v>4428</v>
      </c>
      <c r="E2090" t="s">
        <v>4575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/>
      <c r="O2090" s="93"/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0</v>
      </c>
      <c r="R2090" s="92" t="s">
        <v>1044</v>
      </c>
      <c r="S2090" s="96"/>
    </row>
    <row r="2091" spans="1:19">
      <c r="A2091" s="95" t="s">
        <v>4247</v>
      </c>
      <c r="B2091" s="96" t="str">
        <f>IFERROR(VLOOKUP(Proc[[#This Row],[App]],Table2[],3,0),"open")</f>
        <v>open</v>
      </c>
      <c r="C2091" s="95" t="s">
        <v>370</v>
      </c>
      <c r="D2091" t="s">
        <v>4429</v>
      </c>
      <c r="E2091" t="s">
        <v>4575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/>
      <c r="O2091" s="93"/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0</v>
      </c>
      <c r="R2091" s="92" t="s">
        <v>1044</v>
      </c>
      <c r="S2091" s="96"/>
    </row>
    <row r="2092" spans="1:19">
      <c r="A2092" s="95" t="s">
        <v>4247</v>
      </c>
      <c r="B2092" s="96" t="str">
        <f>IFERROR(VLOOKUP(Proc[[#This Row],[App]],Table2[],3,0),"open")</f>
        <v>open</v>
      </c>
      <c r="C2092" s="95" t="s">
        <v>370</v>
      </c>
      <c r="D2092" t="s">
        <v>4430</v>
      </c>
      <c r="E2092" t="s">
        <v>4575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/>
      <c r="O2092" s="93"/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0</v>
      </c>
      <c r="R2092" s="92" t="s">
        <v>1044</v>
      </c>
      <c r="S2092" s="96"/>
    </row>
    <row r="2093" spans="1:19">
      <c r="A2093" s="95" t="s">
        <v>4247</v>
      </c>
      <c r="B2093" s="96" t="str">
        <f>IFERROR(VLOOKUP(Proc[[#This Row],[App]],Table2[],3,0),"open")</f>
        <v>open</v>
      </c>
      <c r="C2093" s="95" t="s">
        <v>370</v>
      </c>
      <c r="D2093" t="s">
        <v>4431</v>
      </c>
      <c r="E2093" t="s">
        <v>4575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/>
      <c r="O2093" s="93"/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0</v>
      </c>
      <c r="R2093" s="92" t="s">
        <v>1044</v>
      </c>
      <c r="S2093" s="96"/>
    </row>
    <row r="2094" spans="1:19">
      <c r="A2094" s="95" t="s">
        <v>4247</v>
      </c>
      <c r="B2094" s="96" t="str">
        <f>IFERROR(VLOOKUP(Proc[[#This Row],[App]],Table2[],3,0),"open")</f>
        <v>open</v>
      </c>
      <c r="C2094" s="95" t="s">
        <v>370</v>
      </c>
      <c r="D2094" t="s">
        <v>4432</v>
      </c>
      <c r="E2094" t="s">
        <v>4575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/>
      <c r="O2094" s="93"/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0</v>
      </c>
      <c r="R2094" s="92" t="s">
        <v>1044</v>
      </c>
      <c r="S2094" s="96"/>
    </row>
    <row r="2095" spans="1:19">
      <c r="A2095" s="95" t="s">
        <v>4247</v>
      </c>
      <c r="B2095" s="96" t="str">
        <f>IFERROR(VLOOKUP(Proc[[#This Row],[App]],Table2[],3,0),"open")</f>
        <v>open</v>
      </c>
      <c r="C2095" s="95" t="s">
        <v>370</v>
      </c>
      <c r="D2095" t="s">
        <v>4433</v>
      </c>
      <c r="E2095" t="s">
        <v>4575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/>
      <c r="O2095" s="93"/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0</v>
      </c>
      <c r="R2095" s="92" t="s">
        <v>1044</v>
      </c>
      <c r="S2095" s="96"/>
    </row>
    <row r="2096" spans="1:19">
      <c r="A2096" s="95" t="s">
        <v>4247</v>
      </c>
      <c r="B2096" s="96" t="str">
        <f>IFERROR(VLOOKUP(Proc[[#This Row],[App]],Table2[],3,0),"open")</f>
        <v>open</v>
      </c>
      <c r="C2096" s="95" t="s">
        <v>370</v>
      </c>
      <c r="D2096" t="s">
        <v>4434</v>
      </c>
      <c r="E2096" t="s">
        <v>4575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/>
      <c r="O2096" s="93"/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0</v>
      </c>
      <c r="R2096" s="92" t="s">
        <v>1044</v>
      </c>
      <c r="S2096" s="96"/>
    </row>
    <row r="2097" spans="1:19">
      <c r="A2097" s="95" t="s">
        <v>4247</v>
      </c>
      <c r="B2097" s="96" t="str">
        <f>IFERROR(VLOOKUP(Proc[[#This Row],[App]],Table2[],3,0),"open")</f>
        <v>open</v>
      </c>
      <c r="C2097" s="95" t="s">
        <v>370</v>
      </c>
      <c r="D2097" t="s">
        <v>4435</v>
      </c>
      <c r="E2097" t="s">
        <v>4575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/>
      <c r="O2097" s="93"/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0</v>
      </c>
      <c r="R2097" s="92" t="s">
        <v>1044</v>
      </c>
      <c r="S2097" s="96"/>
    </row>
    <row r="2098" spans="1:19">
      <c r="A2098" s="95" t="s">
        <v>4247</v>
      </c>
      <c r="B2098" s="96" t="str">
        <f>IFERROR(VLOOKUP(Proc[[#This Row],[App]],Table2[],3,0),"open")</f>
        <v>open</v>
      </c>
      <c r="C2098" s="95" t="s">
        <v>370</v>
      </c>
      <c r="D2098" t="s">
        <v>4436</v>
      </c>
      <c r="E2098" t="s">
        <v>4575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/>
      <c r="O2098" s="93"/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0</v>
      </c>
      <c r="R2098" s="92" t="s">
        <v>1044</v>
      </c>
      <c r="S2098" s="96"/>
    </row>
    <row r="2099" spans="1:19">
      <c r="A2099" s="95" t="s">
        <v>4247</v>
      </c>
      <c r="B2099" s="96" t="str">
        <f>IFERROR(VLOOKUP(Proc[[#This Row],[App]],Table2[],3,0),"open")</f>
        <v>open</v>
      </c>
      <c r="C2099" s="95" t="s">
        <v>370</v>
      </c>
      <c r="D2099" t="s">
        <v>4437</v>
      </c>
      <c r="E2099" t="s">
        <v>4575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/>
      <c r="O2099" s="93"/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0</v>
      </c>
      <c r="R2099" s="92" t="s">
        <v>1044</v>
      </c>
      <c r="S2099" s="96"/>
    </row>
    <row r="2100" spans="1:19">
      <c r="A2100" s="95" t="s">
        <v>4247</v>
      </c>
      <c r="B2100" s="96" t="str">
        <f>IFERROR(VLOOKUP(Proc[[#This Row],[App]],Table2[],3,0),"open")</f>
        <v>open</v>
      </c>
      <c r="C2100" s="95" t="s">
        <v>370</v>
      </c>
      <c r="D2100" t="s">
        <v>4438</v>
      </c>
      <c r="E2100" t="s">
        <v>4575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/>
      <c r="O2100" s="93"/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0</v>
      </c>
      <c r="R2100" s="92" t="s">
        <v>1044</v>
      </c>
      <c r="S2100" s="96"/>
    </row>
    <row r="2101" spans="1:19">
      <c r="A2101" s="95" t="s">
        <v>4247</v>
      </c>
      <c r="B2101" s="96" t="str">
        <f>IFERROR(VLOOKUP(Proc[[#This Row],[App]],Table2[],3,0),"open")</f>
        <v>open</v>
      </c>
      <c r="C2101" s="95" t="s">
        <v>370</v>
      </c>
      <c r="D2101" t="s">
        <v>4439</v>
      </c>
      <c r="E2101" t="s">
        <v>4575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/>
      <c r="O2101" s="93"/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0</v>
      </c>
      <c r="R2101" s="92" t="s">
        <v>1044</v>
      </c>
      <c r="S2101" s="96"/>
    </row>
    <row r="2102" spans="1:19">
      <c r="A2102" s="95" t="s">
        <v>4247</v>
      </c>
      <c r="B2102" s="96" t="str">
        <f>IFERROR(VLOOKUP(Proc[[#This Row],[App]],Table2[],3,0),"open")</f>
        <v>open</v>
      </c>
      <c r="C2102" s="95" t="s">
        <v>370</v>
      </c>
      <c r="D2102" t="s">
        <v>4440</v>
      </c>
      <c r="E2102" t="s">
        <v>4575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/>
      <c r="O2102" s="93"/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0</v>
      </c>
      <c r="R2102" s="92" t="s">
        <v>1044</v>
      </c>
      <c r="S2102" s="96"/>
    </row>
    <row r="2103" spans="1:19">
      <c r="A2103" s="95" t="s">
        <v>4247</v>
      </c>
      <c r="B2103" s="96" t="str">
        <f>IFERROR(VLOOKUP(Proc[[#This Row],[App]],Table2[],3,0),"open")</f>
        <v>open</v>
      </c>
      <c r="C2103" s="95" t="s">
        <v>370</v>
      </c>
      <c r="D2103" t="s">
        <v>4441</v>
      </c>
      <c r="E2103" t="s">
        <v>4575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/>
      <c r="O2103" s="93"/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0</v>
      </c>
      <c r="R2103" s="92" t="s">
        <v>1044</v>
      </c>
      <c r="S2103" s="96"/>
    </row>
    <row r="2104" spans="1:19">
      <c r="A2104" s="95" t="s">
        <v>4247</v>
      </c>
      <c r="B2104" s="96" t="str">
        <f>IFERROR(VLOOKUP(Proc[[#This Row],[App]],Table2[],3,0),"open")</f>
        <v>open</v>
      </c>
      <c r="C2104" s="95" t="s">
        <v>370</v>
      </c>
      <c r="D2104" t="s">
        <v>4442</v>
      </c>
      <c r="E2104" t="s">
        <v>4575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/>
      <c r="O2104" s="93"/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0</v>
      </c>
      <c r="R2104" s="92" t="s">
        <v>1044</v>
      </c>
      <c r="S2104" s="96"/>
    </row>
    <row r="2105" spans="1:19">
      <c r="A2105" s="95" t="s">
        <v>4247</v>
      </c>
      <c r="B2105" s="96" t="str">
        <f>IFERROR(VLOOKUP(Proc[[#This Row],[App]],Table2[],3,0),"open")</f>
        <v>open</v>
      </c>
      <c r="C2105" s="95" t="s">
        <v>370</v>
      </c>
      <c r="D2105" t="s">
        <v>4443</v>
      </c>
      <c r="E2105" t="s">
        <v>4575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/>
      <c r="O2105" s="93"/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0</v>
      </c>
      <c r="R2105" s="92" t="s">
        <v>1044</v>
      </c>
      <c r="S2105" s="96"/>
    </row>
    <row r="2106" spans="1:19">
      <c r="A2106" s="95" t="s">
        <v>4247</v>
      </c>
      <c r="B2106" s="96" t="str">
        <f>IFERROR(VLOOKUP(Proc[[#This Row],[App]],Table2[],3,0),"open")</f>
        <v>open</v>
      </c>
      <c r="C2106" s="95" t="s">
        <v>370</v>
      </c>
      <c r="D2106" t="s">
        <v>4444</v>
      </c>
      <c r="E2106" t="s">
        <v>4575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/>
      <c r="O2106" s="93"/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0</v>
      </c>
      <c r="R2106" s="92" t="s">
        <v>1044</v>
      </c>
      <c r="S2106" s="96"/>
    </row>
    <row r="2107" spans="1:19">
      <c r="A2107" s="95" t="s">
        <v>4247</v>
      </c>
      <c r="B2107" s="96" t="str">
        <f>IFERROR(VLOOKUP(Proc[[#This Row],[App]],Table2[],3,0),"open")</f>
        <v>open</v>
      </c>
      <c r="C2107" s="95" t="s">
        <v>370</v>
      </c>
      <c r="D2107" t="s">
        <v>4445</v>
      </c>
      <c r="E2107" t="s">
        <v>4575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/>
      <c r="O2107" s="93"/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0</v>
      </c>
      <c r="R2107" s="92" t="s">
        <v>1044</v>
      </c>
      <c r="S2107" s="96"/>
    </row>
    <row r="2108" spans="1:19">
      <c r="A2108" s="95" t="s">
        <v>4247</v>
      </c>
      <c r="B2108" s="96" t="str">
        <f>IFERROR(VLOOKUP(Proc[[#This Row],[App]],Table2[],3,0),"open")</f>
        <v>open</v>
      </c>
      <c r="C2108" s="95" t="s">
        <v>370</v>
      </c>
      <c r="D2108" t="s">
        <v>4446</v>
      </c>
      <c r="E2108" t="s">
        <v>4575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/>
      <c r="O2108" s="93"/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0</v>
      </c>
      <c r="R2108" s="92" t="s">
        <v>1044</v>
      </c>
      <c r="S2108" s="96"/>
    </row>
    <row r="2109" spans="1:19">
      <c r="A2109" s="95" t="s">
        <v>4247</v>
      </c>
      <c r="B2109" s="96" t="str">
        <f>IFERROR(VLOOKUP(Proc[[#This Row],[App]],Table2[],3,0),"open")</f>
        <v>open</v>
      </c>
      <c r="C2109" s="95" t="s">
        <v>370</v>
      </c>
      <c r="D2109" t="s">
        <v>4447</v>
      </c>
      <c r="E2109" t="s">
        <v>4575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/>
      <c r="O2109" s="93"/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0</v>
      </c>
      <c r="R2109" s="92" t="s">
        <v>1044</v>
      </c>
      <c r="S2109" s="96"/>
    </row>
    <row r="2110" spans="1:19">
      <c r="A2110" s="95" t="s">
        <v>4247</v>
      </c>
      <c r="B2110" s="96" t="str">
        <f>IFERROR(VLOOKUP(Proc[[#This Row],[App]],Table2[],3,0),"open")</f>
        <v>open</v>
      </c>
      <c r="C2110" s="95" t="s">
        <v>370</v>
      </c>
      <c r="D2110" t="s">
        <v>4448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/>
      <c r="O2110" s="93"/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0</v>
      </c>
      <c r="R2110" s="92" t="s">
        <v>1044</v>
      </c>
      <c r="S2110" s="96"/>
    </row>
    <row r="2111" spans="1:19">
      <c r="A2111" s="95" t="s">
        <v>4247</v>
      </c>
      <c r="B2111" s="96" t="str">
        <f>IFERROR(VLOOKUP(Proc[[#This Row],[App]],Table2[],3,0),"open")</f>
        <v>open</v>
      </c>
      <c r="C2111" s="95" t="s">
        <v>370</v>
      </c>
      <c r="D2111" t="s">
        <v>4449</v>
      </c>
      <c r="E2111" t="s">
        <v>4575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/>
      <c r="O2111" s="93"/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0</v>
      </c>
      <c r="R2111" s="92" t="s">
        <v>1044</v>
      </c>
      <c r="S2111" s="96"/>
    </row>
    <row r="2112" spans="1:19">
      <c r="A2112" s="95" t="s">
        <v>4247</v>
      </c>
      <c r="B2112" s="96" t="str">
        <f>IFERROR(VLOOKUP(Proc[[#This Row],[App]],Table2[],3,0),"open")</f>
        <v>open</v>
      </c>
      <c r="C2112" s="95" t="s">
        <v>370</v>
      </c>
      <c r="D2112" t="s">
        <v>4450</v>
      </c>
      <c r="E2112" t="s">
        <v>4575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/>
      <c r="O2112" s="93"/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0</v>
      </c>
      <c r="R2112" s="92" t="s">
        <v>1044</v>
      </c>
      <c r="S2112" s="96"/>
    </row>
    <row r="2113" spans="1:19">
      <c r="A2113" s="95" t="s">
        <v>4247</v>
      </c>
      <c r="B2113" s="96" t="str">
        <f>IFERROR(VLOOKUP(Proc[[#This Row],[App]],Table2[],3,0),"open")</f>
        <v>open</v>
      </c>
      <c r="C2113" s="95" t="s">
        <v>370</v>
      </c>
      <c r="D2113" t="s">
        <v>4451</v>
      </c>
      <c r="E2113" t="s">
        <v>4575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/>
      <c r="O2113" s="93"/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0</v>
      </c>
      <c r="R2113" s="92" t="s">
        <v>1044</v>
      </c>
      <c r="S2113" s="96"/>
    </row>
    <row r="2114" spans="1:19">
      <c r="A2114" s="95" t="s">
        <v>4247</v>
      </c>
      <c r="B2114" s="96" t="str">
        <f>IFERROR(VLOOKUP(Proc[[#This Row],[App]],Table2[],3,0),"open")</f>
        <v>open</v>
      </c>
      <c r="C2114" s="95" t="s">
        <v>370</v>
      </c>
      <c r="D2114" t="s">
        <v>4452</v>
      </c>
      <c r="E2114" t="s">
        <v>4575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/>
      <c r="O2114" s="93"/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0</v>
      </c>
      <c r="R2114" s="92" t="s">
        <v>1044</v>
      </c>
      <c r="S2114" s="96"/>
    </row>
    <row r="2115" spans="1:19">
      <c r="A2115" s="95" t="s">
        <v>4247</v>
      </c>
      <c r="B2115" s="96" t="str">
        <f>IFERROR(VLOOKUP(Proc[[#This Row],[App]],Table2[],3,0),"open")</f>
        <v>open</v>
      </c>
      <c r="C2115" s="95" t="s">
        <v>370</v>
      </c>
      <c r="D2115" t="s">
        <v>4453</v>
      </c>
      <c r="E2115" t="s">
        <v>4575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/>
      <c r="O2115" s="93"/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0</v>
      </c>
      <c r="R2115" s="92" t="s">
        <v>1044</v>
      </c>
      <c r="S2115" s="96"/>
    </row>
    <row r="2116" spans="1:19">
      <c r="A2116" s="95" t="s">
        <v>4247</v>
      </c>
      <c r="B2116" s="96" t="str">
        <f>IFERROR(VLOOKUP(Proc[[#This Row],[App]],Table2[],3,0),"open")</f>
        <v>open</v>
      </c>
      <c r="C2116" s="95" t="s">
        <v>370</v>
      </c>
      <c r="D2116" t="s">
        <v>4454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/>
      <c r="O2116" s="93"/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0</v>
      </c>
      <c r="R2116" s="92" t="s">
        <v>1044</v>
      </c>
      <c r="S2116" s="96"/>
    </row>
    <row r="2117" spans="1:19">
      <c r="A2117" s="95" t="s">
        <v>4247</v>
      </c>
      <c r="B2117" s="96" t="str">
        <f>IFERROR(VLOOKUP(Proc[[#This Row],[App]],Table2[],3,0),"open")</f>
        <v>open</v>
      </c>
      <c r="C2117" s="95" t="s">
        <v>370</v>
      </c>
      <c r="D2117" t="s">
        <v>4455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/>
      <c r="O2117" s="93"/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0</v>
      </c>
      <c r="R2117" s="92" t="s">
        <v>1044</v>
      </c>
      <c r="S2117" s="96"/>
    </row>
    <row r="2118" spans="1:19">
      <c r="A2118" s="95" t="s">
        <v>4247</v>
      </c>
      <c r="B2118" s="96" t="str">
        <f>IFERROR(VLOOKUP(Proc[[#This Row],[App]],Table2[],3,0),"open")</f>
        <v>open</v>
      </c>
      <c r="C2118" s="95" t="s">
        <v>370</v>
      </c>
      <c r="D2118" t="s">
        <v>4456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/>
      <c r="O2118" s="93"/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0</v>
      </c>
      <c r="R2118" s="92" t="s">
        <v>1044</v>
      </c>
      <c r="S2118" s="96"/>
    </row>
    <row r="2119" spans="1:19">
      <c r="A2119" s="95" t="s">
        <v>4247</v>
      </c>
      <c r="B2119" s="96" t="str">
        <f>IFERROR(VLOOKUP(Proc[[#This Row],[App]],Table2[],3,0),"open")</f>
        <v>open</v>
      </c>
      <c r="C2119" s="95" t="s">
        <v>370</v>
      </c>
      <c r="D2119" t="s">
        <v>4457</v>
      </c>
      <c r="E2119" t="s">
        <v>4576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/>
      <c r="O2119" s="93"/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0</v>
      </c>
      <c r="R2119" s="92" t="s">
        <v>1044</v>
      </c>
      <c r="S2119" s="96"/>
    </row>
    <row r="2120" spans="1:19">
      <c r="A2120" s="95" t="s">
        <v>4247</v>
      </c>
      <c r="B2120" s="96" t="str">
        <f>IFERROR(VLOOKUP(Proc[[#This Row],[App]],Table2[],3,0),"open")</f>
        <v>open</v>
      </c>
      <c r="C2120" s="95" t="s">
        <v>370</v>
      </c>
      <c r="D2120" t="s">
        <v>4458</v>
      </c>
      <c r="E2120" t="s">
        <v>4575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/>
      <c r="O2120" s="93"/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0</v>
      </c>
      <c r="R2120" s="92" t="s">
        <v>1044</v>
      </c>
      <c r="S2120" s="96"/>
    </row>
    <row r="2121" spans="1:19">
      <c r="A2121" s="95" t="s">
        <v>4247</v>
      </c>
      <c r="B2121" s="96" t="str">
        <f>IFERROR(VLOOKUP(Proc[[#This Row],[App]],Table2[],3,0),"open")</f>
        <v>open</v>
      </c>
      <c r="C2121" s="95" t="s">
        <v>370</v>
      </c>
      <c r="D2121" t="s">
        <v>4459</v>
      </c>
      <c r="E2121" t="s">
        <v>4575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/>
      <c r="O2121" s="93"/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0</v>
      </c>
      <c r="R2121" s="92" t="s">
        <v>1044</v>
      </c>
      <c r="S2121" s="96"/>
    </row>
    <row r="2122" spans="1:19">
      <c r="A2122" s="95" t="s">
        <v>4247</v>
      </c>
      <c r="B2122" s="96" t="str">
        <f>IFERROR(VLOOKUP(Proc[[#This Row],[App]],Table2[],3,0),"open")</f>
        <v>open</v>
      </c>
      <c r="C2122" s="95" t="s">
        <v>370</v>
      </c>
      <c r="D2122" t="s">
        <v>4460</v>
      </c>
      <c r="E2122" t="s">
        <v>4575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/>
      <c r="O2122" s="93"/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0</v>
      </c>
      <c r="R2122" s="92" t="s">
        <v>1044</v>
      </c>
      <c r="S2122" s="96"/>
    </row>
    <row r="2123" spans="1:19">
      <c r="A2123" s="95" t="s">
        <v>4247</v>
      </c>
      <c r="B2123" s="96" t="str">
        <f>IFERROR(VLOOKUP(Proc[[#This Row],[App]],Table2[],3,0),"open")</f>
        <v>open</v>
      </c>
      <c r="C2123" s="95" t="s">
        <v>370</v>
      </c>
      <c r="D2123" t="s">
        <v>4461</v>
      </c>
      <c r="E2123" t="s">
        <v>4575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/>
      <c r="O2123" s="93"/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0</v>
      </c>
      <c r="R2123" s="92" t="s">
        <v>1044</v>
      </c>
      <c r="S2123" s="96"/>
    </row>
    <row r="2124" spans="1:19">
      <c r="A2124" s="95" t="s">
        <v>4247</v>
      </c>
      <c r="B2124" s="96" t="str">
        <f>IFERROR(VLOOKUP(Proc[[#This Row],[App]],Table2[],3,0),"open")</f>
        <v>open</v>
      </c>
      <c r="C2124" s="95" t="s">
        <v>370</v>
      </c>
      <c r="D2124" t="s">
        <v>4462</v>
      </c>
      <c r="E2124" t="s">
        <v>4575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/>
      <c r="O2124" s="93"/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0</v>
      </c>
      <c r="R2124" s="92" t="s">
        <v>1044</v>
      </c>
      <c r="S2124" s="96"/>
    </row>
    <row r="2125" spans="1:19">
      <c r="A2125" s="95" t="s">
        <v>4247</v>
      </c>
      <c r="B2125" s="96" t="str">
        <f>IFERROR(VLOOKUP(Proc[[#This Row],[App]],Table2[],3,0),"open")</f>
        <v>open</v>
      </c>
      <c r="C2125" s="95" t="s">
        <v>370</v>
      </c>
      <c r="D2125" t="s">
        <v>4463</v>
      </c>
      <c r="E2125" t="s">
        <v>4575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/>
      <c r="O2125" s="93"/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0</v>
      </c>
      <c r="R2125" s="92" t="s">
        <v>1044</v>
      </c>
      <c r="S2125" s="96"/>
    </row>
    <row r="2126" spans="1:19">
      <c r="A2126" s="95" t="s">
        <v>4247</v>
      </c>
      <c r="B2126" s="96" t="str">
        <f>IFERROR(VLOOKUP(Proc[[#This Row],[App]],Table2[],3,0),"open")</f>
        <v>open</v>
      </c>
      <c r="C2126" s="95" t="s">
        <v>370</v>
      </c>
      <c r="D2126" t="s">
        <v>4464</v>
      </c>
      <c r="E2126" t="s">
        <v>4575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/>
      <c r="O2126" s="93"/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0</v>
      </c>
      <c r="R2126" s="92" t="s">
        <v>1044</v>
      </c>
      <c r="S2126" s="96"/>
    </row>
    <row r="2127" spans="1:19">
      <c r="A2127" s="95" t="s">
        <v>4247</v>
      </c>
      <c r="B2127" s="96" t="str">
        <f>IFERROR(VLOOKUP(Proc[[#This Row],[App]],Table2[],3,0),"open")</f>
        <v>open</v>
      </c>
      <c r="C2127" s="95" t="s">
        <v>370</v>
      </c>
      <c r="D2127" t="s">
        <v>4465</v>
      </c>
      <c r="E2127" t="s">
        <v>4575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/>
      <c r="O2127" s="93"/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0</v>
      </c>
      <c r="R2127" s="92" t="s">
        <v>1044</v>
      </c>
      <c r="S2127" s="96"/>
    </row>
    <row r="2128" spans="1:19">
      <c r="A2128" s="95" t="s">
        <v>4247</v>
      </c>
      <c r="B2128" s="96" t="str">
        <f>IFERROR(VLOOKUP(Proc[[#This Row],[App]],Table2[],3,0),"open")</f>
        <v>open</v>
      </c>
      <c r="C2128" s="95" t="s">
        <v>370</v>
      </c>
      <c r="D2128" t="s">
        <v>4466</v>
      </c>
      <c r="E2128" t="s">
        <v>4575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/>
      <c r="O2128" s="93"/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0</v>
      </c>
      <c r="R2128" s="92" t="s">
        <v>1044</v>
      </c>
      <c r="S2128" s="96"/>
    </row>
    <row r="2129" spans="1:19">
      <c r="A2129" s="95" t="s">
        <v>4247</v>
      </c>
      <c r="B2129" s="96" t="str">
        <f>IFERROR(VLOOKUP(Proc[[#This Row],[App]],Table2[],3,0),"open")</f>
        <v>open</v>
      </c>
      <c r="C2129" s="95" t="s">
        <v>370</v>
      </c>
      <c r="D2129" t="s">
        <v>4467</v>
      </c>
      <c r="E2129" t="s">
        <v>4575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/>
      <c r="O2129" s="93"/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0</v>
      </c>
      <c r="R2129" s="92" t="s">
        <v>1044</v>
      </c>
      <c r="S2129" s="96"/>
    </row>
    <row r="2130" spans="1:19">
      <c r="A2130" s="95" t="s">
        <v>4247</v>
      </c>
      <c r="B2130" s="96" t="str">
        <f>IFERROR(VLOOKUP(Proc[[#This Row],[App]],Table2[],3,0),"open")</f>
        <v>open</v>
      </c>
      <c r="C2130" s="95" t="s">
        <v>370</v>
      </c>
      <c r="D2130" t="s">
        <v>4468</v>
      </c>
      <c r="E2130" t="s">
        <v>4575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/>
      <c r="O2130" s="93"/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0</v>
      </c>
      <c r="R2130" s="92" t="s">
        <v>1044</v>
      </c>
      <c r="S2130" s="96"/>
    </row>
    <row r="2131" spans="1:19">
      <c r="A2131" s="95" t="s">
        <v>4247</v>
      </c>
      <c r="B2131" s="96" t="str">
        <f>IFERROR(VLOOKUP(Proc[[#This Row],[App]],Table2[],3,0),"open")</f>
        <v>open</v>
      </c>
      <c r="C2131" s="95" t="s">
        <v>370</v>
      </c>
      <c r="D2131" t="s">
        <v>4469</v>
      </c>
      <c r="E2131" t="s">
        <v>4575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/>
      <c r="O2131" s="93"/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0</v>
      </c>
      <c r="R2131" s="92" t="s">
        <v>1044</v>
      </c>
      <c r="S2131" s="96"/>
    </row>
    <row r="2132" spans="1:19">
      <c r="A2132" s="95" t="s">
        <v>4247</v>
      </c>
      <c r="B2132" s="96" t="str">
        <f>IFERROR(VLOOKUP(Proc[[#This Row],[App]],Table2[],3,0),"open")</f>
        <v>open</v>
      </c>
      <c r="C2132" s="95" t="s">
        <v>370</v>
      </c>
      <c r="D2132" t="s">
        <v>4470</v>
      </c>
      <c r="E2132" t="s">
        <v>4575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/>
      <c r="O2132" s="93"/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0</v>
      </c>
      <c r="R2132" s="92" t="s">
        <v>1044</v>
      </c>
      <c r="S2132" s="96"/>
    </row>
    <row r="2133" spans="1:19">
      <c r="A2133" s="95" t="s">
        <v>4247</v>
      </c>
      <c r="B2133" s="96" t="str">
        <f>IFERROR(VLOOKUP(Proc[[#This Row],[App]],Table2[],3,0),"open")</f>
        <v>open</v>
      </c>
      <c r="C2133" s="95" t="s">
        <v>370</v>
      </c>
      <c r="D2133" t="s">
        <v>4471</v>
      </c>
      <c r="E2133" t="s">
        <v>4575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/>
      <c r="O2133" s="93"/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0</v>
      </c>
      <c r="R2133" s="92" t="s">
        <v>1044</v>
      </c>
      <c r="S2133" s="96"/>
    </row>
    <row r="2134" spans="1:19">
      <c r="A2134" s="95" t="s">
        <v>4247</v>
      </c>
      <c r="B2134" s="96" t="str">
        <f>IFERROR(VLOOKUP(Proc[[#This Row],[App]],Table2[],3,0),"open")</f>
        <v>open</v>
      </c>
      <c r="C2134" s="95" t="s">
        <v>370</v>
      </c>
      <c r="D2134" t="s">
        <v>4472</v>
      </c>
      <c r="E2134" t="s">
        <v>4575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/>
      <c r="O2134" s="93"/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0</v>
      </c>
      <c r="R2134" s="92" t="s">
        <v>1044</v>
      </c>
      <c r="S2134" s="96"/>
    </row>
    <row r="2135" spans="1:19">
      <c r="A2135" s="95" t="s">
        <v>4247</v>
      </c>
      <c r="B2135" s="96" t="str">
        <f>IFERROR(VLOOKUP(Proc[[#This Row],[App]],Table2[],3,0),"open")</f>
        <v>open</v>
      </c>
      <c r="C2135" s="95" t="s">
        <v>370</v>
      </c>
      <c r="D2135" t="s">
        <v>4473</v>
      </c>
      <c r="E2135" t="s">
        <v>4575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/>
      <c r="O2135" s="93"/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0</v>
      </c>
      <c r="R2135" s="92" t="s">
        <v>1044</v>
      </c>
      <c r="S2135" s="96"/>
    </row>
    <row r="2136" spans="1:19">
      <c r="A2136" s="95" t="s">
        <v>4247</v>
      </c>
      <c r="B2136" s="96" t="str">
        <f>IFERROR(VLOOKUP(Proc[[#This Row],[App]],Table2[],3,0),"open")</f>
        <v>open</v>
      </c>
      <c r="C2136" s="95" t="s">
        <v>370</v>
      </c>
      <c r="D2136" t="s">
        <v>4474</v>
      </c>
      <c r="E2136" t="s">
        <v>4575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/>
      <c r="O2136" s="93"/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0</v>
      </c>
      <c r="R2136" s="92" t="s">
        <v>1044</v>
      </c>
      <c r="S2136" s="96"/>
    </row>
    <row r="2137" spans="1:19">
      <c r="A2137" s="95" t="s">
        <v>4247</v>
      </c>
      <c r="B2137" s="96" t="str">
        <f>IFERROR(VLOOKUP(Proc[[#This Row],[App]],Table2[],3,0),"open")</f>
        <v>open</v>
      </c>
      <c r="C2137" s="95" t="s">
        <v>370</v>
      </c>
      <c r="D2137" t="s">
        <v>4475</v>
      </c>
      <c r="E2137" t="s">
        <v>4575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/>
      <c r="O2137" s="93"/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0</v>
      </c>
      <c r="R2137" s="92" t="s">
        <v>1044</v>
      </c>
      <c r="S2137" s="96"/>
    </row>
    <row r="2138" spans="1:19">
      <c r="A2138" s="95" t="s">
        <v>4247</v>
      </c>
      <c r="B2138" s="96" t="str">
        <f>IFERROR(VLOOKUP(Proc[[#This Row],[App]],Table2[],3,0),"open")</f>
        <v>open</v>
      </c>
      <c r="C2138" s="95" t="s">
        <v>370</v>
      </c>
      <c r="D2138" t="s">
        <v>4476</v>
      </c>
      <c r="E2138" t="s">
        <v>4575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/>
      <c r="O2138" s="93"/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0</v>
      </c>
      <c r="R2138" s="92" t="s">
        <v>1044</v>
      </c>
      <c r="S2138" s="96"/>
    </row>
    <row r="2139" spans="1:19">
      <c r="A2139" s="95" t="s">
        <v>4247</v>
      </c>
      <c r="B2139" s="96" t="str">
        <f>IFERROR(VLOOKUP(Proc[[#This Row],[App]],Table2[],3,0),"open")</f>
        <v>open</v>
      </c>
      <c r="C2139" s="95" t="s">
        <v>370</v>
      </c>
      <c r="D2139" t="s">
        <v>4477</v>
      </c>
      <c r="E2139" t="s">
        <v>4575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/>
      <c r="O2139" s="93"/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0</v>
      </c>
      <c r="R2139" s="92" t="s">
        <v>1044</v>
      </c>
      <c r="S2139" s="96"/>
    </row>
    <row r="2140" spans="1:19">
      <c r="A2140" s="95" t="s">
        <v>4247</v>
      </c>
      <c r="B2140" s="96" t="str">
        <f>IFERROR(VLOOKUP(Proc[[#This Row],[App]],Table2[],3,0),"open")</f>
        <v>open</v>
      </c>
      <c r="C2140" s="95" t="s">
        <v>370</v>
      </c>
      <c r="D2140" t="s">
        <v>4478</v>
      </c>
      <c r="E2140" t="s">
        <v>4575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/>
      <c r="O2140" s="93"/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0</v>
      </c>
      <c r="R2140" s="92" t="s">
        <v>1044</v>
      </c>
      <c r="S2140" s="96"/>
    </row>
    <row r="2141" spans="1:19">
      <c r="A2141" s="95" t="s">
        <v>4247</v>
      </c>
      <c r="B2141" s="96" t="str">
        <f>IFERROR(VLOOKUP(Proc[[#This Row],[App]],Table2[],3,0),"open")</f>
        <v>open</v>
      </c>
      <c r="C2141" s="95" t="s">
        <v>370</v>
      </c>
      <c r="D2141" t="s">
        <v>4479</v>
      </c>
      <c r="E2141" t="s">
        <v>4575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/>
      <c r="O2141" s="93"/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0</v>
      </c>
      <c r="R2141" s="92" t="s">
        <v>1044</v>
      </c>
      <c r="S2141" s="96"/>
    </row>
    <row r="2142" spans="1:19">
      <c r="A2142" s="95" t="s">
        <v>4247</v>
      </c>
      <c r="B2142" s="96" t="str">
        <f>IFERROR(VLOOKUP(Proc[[#This Row],[App]],Table2[],3,0),"open")</f>
        <v>open</v>
      </c>
      <c r="C2142" s="95" t="s">
        <v>370</v>
      </c>
      <c r="D2142" t="s">
        <v>4480</v>
      </c>
      <c r="E2142" t="s">
        <v>4575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/>
      <c r="O2142" s="93"/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0</v>
      </c>
      <c r="R2142" s="92" t="s">
        <v>1044</v>
      </c>
      <c r="S2142" s="96"/>
    </row>
    <row r="2143" spans="1:19">
      <c r="A2143" s="95" t="s">
        <v>4247</v>
      </c>
      <c r="B2143" s="96" t="str">
        <f>IFERROR(VLOOKUP(Proc[[#This Row],[App]],Table2[],3,0),"open")</f>
        <v>open</v>
      </c>
      <c r="C2143" s="95" t="s">
        <v>370</v>
      </c>
      <c r="D2143" t="s">
        <v>4481</v>
      </c>
      <c r="E2143" t="s">
        <v>4575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/>
      <c r="O2143" s="93"/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0</v>
      </c>
      <c r="R2143" s="92" t="s">
        <v>1044</v>
      </c>
      <c r="S2143" s="96"/>
    </row>
    <row r="2144" spans="1:19">
      <c r="A2144" s="95" t="s">
        <v>4247</v>
      </c>
      <c r="B2144" s="96" t="str">
        <f>IFERROR(VLOOKUP(Proc[[#This Row],[App]],Table2[],3,0),"open")</f>
        <v>open</v>
      </c>
      <c r="C2144" s="95" t="s">
        <v>370</v>
      </c>
      <c r="D2144" t="s">
        <v>4482</v>
      </c>
      <c r="E2144" t="s">
        <v>4575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/>
      <c r="O2144" s="93"/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0</v>
      </c>
      <c r="R2144" s="92" t="s">
        <v>1044</v>
      </c>
      <c r="S2144" s="96"/>
    </row>
    <row r="2145" spans="1:19">
      <c r="A2145" s="95" t="s">
        <v>4247</v>
      </c>
      <c r="B2145" s="96" t="str">
        <f>IFERROR(VLOOKUP(Proc[[#This Row],[App]],Table2[],3,0),"open")</f>
        <v>open</v>
      </c>
      <c r="C2145" s="95" t="s">
        <v>370</v>
      </c>
      <c r="D2145" t="s">
        <v>4483</v>
      </c>
      <c r="E2145" t="s">
        <v>4575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/>
      <c r="O2145" s="93"/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0</v>
      </c>
      <c r="R2145" s="92" t="s">
        <v>1044</v>
      </c>
      <c r="S2145" s="96"/>
    </row>
    <row r="2146" spans="1:19">
      <c r="A2146" s="95" t="s">
        <v>4247</v>
      </c>
      <c r="B2146" s="96" t="str">
        <f>IFERROR(VLOOKUP(Proc[[#This Row],[App]],Table2[],3,0),"open")</f>
        <v>open</v>
      </c>
      <c r="C2146" s="95" t="s">
        <v>370</v>
      </c>
      <c r="D2146" t="s">
        <v>4484</v>
      </c>
      <c r="E2146" t="s">
        <v>4575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/>
      <c r="O2146" s="93"/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0</v>
      </c>
      <c r="R2146" s="92" t="s">
        <v>1044</v>
      </c>
      <c r="S2146" s="96"/>
    </row>
    <row r="2147" spans="1:19">
      <c r="A2147" s="95" t="s">
        <v>4247</v>
      </c>
      <c r="B2147" s="96" t="str">
        <f>IFERROR(VLOOKUP(Proc[[#This Row],[App]],Table2[],3,0),"open")</f>
        <v>open</v>
      </c>
      <c r="C2147" s="95" t="s">
        <v>370</v>
      </c>
      <c r="D2147" t="s">
        <v>4485</v>
      </c>
      <c r="E2147" t="s">
        <v>4575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/>
      <c r="O2147" s="93"/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0</v>
      </c>
      <c r="R2147" s="92" t="s">
        <v>1044</v>
      </c>
      <c r="S2147" s="96"/>
    </row>
    <row r="2148" spans="1:19">
      <c r="A2148" s="95" t="s">
        <v>4247</v>
      </c>
      <c r="B2148" s="96" t="str">
        <f>IFERROR(VLOOKUP(Proc[[#This Row],[App]],Table2[],3,0),"open")</f>
        <v>open</v>
      </c>
      <c r="C2148" s="95" t="s">
        <v>370</v>
      </c>
      <c r="D2148" t="s">
        <v>4486</v>
      </c>
      <c r="E2148" t="s">
        <v>4575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/>
      <c r="O2148" s="93"/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0</v>
      </c>
      <c r="R2148" s="92" t="s">
        <v>1044</v>
      </c>
      <c r="S2148" s="96"/>
    </row>
    <row r="2149" spans="1:19">
      <c r="A2149" s="95" t="s">
        <v>4247</v>
      </c>
      <c r="B2149" s="96" t="str">
        <f>IFERROR(VLOOKUP(Proc[[#This Row],[App]],Table2[],3,0),"open")</f>
        <v>open</v>
      </c>
      <c r="C2149" s="95" t="s">
        <v>370</v>
      </c>
      <c r="D2149" t="s">
        <v>4487</v>
      </c>
      <c r="E2149" t="s">
        <v>4575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/>
      <c r="O2149" s="93"/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0</v>
      </c>
      <c r="R2149" s="92" t="s">
        <v>1044</v>
      </c>
      <c r="S2149" s="96"/>
    </row>
    <row r="2150" spans="1:19">
      <c r="A2150" s="95" t="s">
        <v>4247</v>
      </c>
      <c r="B2150" s="96" t="str">
        <f>IFERROR(VLOOKUP(Proc[[#This Row],[App]],Table2[],3,0),"open")</f>
        <v>open</v>
      </c>
      <c r="C2150" s="95" t="s">
        <v>370</v>
      </c>
      <c r="D2150" t="s">
        <v>4488</v>
      </c>
      <c r="E2150" t="s">
        <v>4575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/>
      <c r="O2150" s="93"/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0</v>
      </c>
      <c r="R2150" s="92" t="s">
        <v>1044</v>
      </c>
      <c r="S2150" s="96"/>
    </row>
    <row r="2151" spans="1:19">
      <c r="A2151" s="95" t="s">
        <v>4247</v>
      </c>
      <c r="B2151" s="96" t="str">
        <f>IFERROR(VLOOKUP(Proc[[#This Row],[App]],Table2[],3,0),"open")</f>
        <v>open</v>
      </c>
      <c r="C2151" s="95" t="s">
        <v>370</v>
      </c>
      <c r="D2151" t="s">
        <v>4489</v>
      </c>
      <c r="E2151" t="s">
        <v>4575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/>
      <c r="O2151" s="93"/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0</v>
      </c>
      <c r="R2151" s="92" t="s">
        <v>1044</v>
      </c>
      <c r="S2151" s="96"/>
    </row>
    <row r="2152" spans="1:19">
      <c r="A2152" s="95" t="s">
        <v>4247</v>
      </c>
      <c r="B2152" s="96" t="str">
        <f>IFERROR(VLOOKUP(Proc[[#This Row],[App]],Table2[],3,0),"open")</f>
        <v>open</v>
      </c>
      <c r="C2152" s="95" t="s">
        <v>370</v>
      </c>
      <c r="D2152" t="s">
        <v>4490</v>
      </c>
      <c r="E2152" t="s">
        <v>4575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/>
      <c r="O2152" s="93"/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0</v>
      </c>
      <c r="R2152" s="92" t="s">
        <v>1044</v>
      </c>
      <c r="S2152" s="96"/>
    </row>
    <row r="2153" spans="1:19">
      <c r="A2153" s="95" t="s">
        <v>4247</v>
      </c>
      <c r="B2153" s="96" t="str">
        <f>IFERROR(VLOOKUP(Proc[[#This Row],[App]],Table2[],3,0),"open")</f>
        <v>open</v>
      </c>
      <c r="C2153" s="95" t="s">
        <v>370</v>
      </c>
      <c r="D2153" t="s">
        <v>4491</v>
      </c>
      <c r="E2153" t="s">
        <v>4575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/>
      <c r="O2153" s="93"/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0</v>
      </c>
      <c r="R2153" s="92" t="s">
        <v>1044</v>
      </c>
      <c r="S2153" s="96"/>
    </row>
    <row r="2154" spans="1:19">
      <c r="A2154" s="95" t="s">
        <v>4247</v>
      </c>
      <c r="B2154" s="96" t="str">
        <f>IFERROR(VLOOKUP(Proc[[#This Row],[App]],Table2[],3,0),"open")</f>
        <v>open</v>
      </c>
      <c r="C2154" s="95" t="s">
        <v>370</v>
      </c>
      <c r="D2154" t="s">
        <v>4492</v>
      </c>
      <c r="E2154" t="s">
        <v>4575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/>
      <c r="O2154" s="93"/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0</v>
      </c>
      <c r="R2154" s="92" t="s">
        <v>1044</v>
      </c>
      <c r="S2154" s="96"/>
    </row>
    <row r="2155" spans="1:19">
      <c r="A2155" s="95" t="s">
        <v>4247</v>
      </c>
      <c r="B2155" s="96" t="str">
        <f>IFERROR(VLOOKUP(Proc[[#This Row],[App]],Table2[],3,0),"open")</f>
        <v>open</v>
      </c>
      <c r="C2155" s="95" t="s">
        <v>370</v>
      </c>
      <c r="D2155" t="s">
        <v>4493</v>
      </c>
      <c r="E2155" t="s">
        <v>4575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/>
      <c r="O2155" s="93"/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0</v>
      </c>
      <c r="R2155" s="92" t="s">
        <v>1044</v>
      </c>
      <c r="S2155" s="96"/>
    </row>
    <row r="2156" spans="1:19">
      <c r="A2156" s="95" t="s">
        <v>4247</v>
      </c>
      <c r="B2156" s="96" t="str">
        <f>IFERROR(VLOOKUP(Proc[[#This Row],[App]],Table2[],3,0),"open")</f>
        <v>open</v>
      </c>
      <c r="C2156" s="95" t="s">
        <v>370</v>
      </c>
      <c r="D2156" t="s">
        <v>4494</v>
      </c>
      <c r="E2156" t="s">
        <v>4575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/>
      <c r="O2156" s="93"/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0</v>
      </c>
      <c r="R2156" s="92" t="s">
        <v>1044</v>
      </c>
      <c r="S2156" s="96"/>
    </row>
    <row r="2157" spans="1:19">
      <c r="A2157" s="95" t="s">
        <v>4247</v>
      </c>
      <c r="B2157" s="96" t="str">
        <f>IFERROR(VLOOKUP(Proc[[#This Row],[App]],Table2[],3,0),"open")</f>
        <v>open</v>
      </c>
      <c r="C2157" s="95" t="s">
        <v>370</v>
      </c>
      <c r="D2157" t="s">
        <v>4495</v>
      </c>
      <c r="E2157" t="s">
        <v>4575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/>
      <c r="O2157" s="93"/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0</v>
      </c>
      <c r="R2157" s="92" t="s">
        <v>1044</v>
      </c>
      <c r="S2157" s="96"/>
    </row>
    <row r="2158" spans="1:19">
      <c r="A2158" s="95" t="s">
        <v>4247</v>
      </c>
      <c r="B2158" s="96" t="str">
        <f>IFERROR(VLOOKUP(Proc[[#This Row],[App]],Table2[],3,0),"open")</f>
        <v>open</v>
      </c>
      <c r="C2158" s="95" t="s">
        <v>370</v>
      </c>
      <c r="D2158" t="s">
        <v>4496</v>
      </c>
      <c r="E2158" t="s">
        <v>4575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/>
      <c r="O2158" s="93"/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0</v>
      </c>
      <c r="R2158" s="92" t="s">
        <v>1044</v>
      </c>
      <c r="S2158" s="96"/>
    </row>
    <row r="2159" spans="1:19">
      <c r="A2159" s="95" t="s">
        <v>4247</v>
      </c>
      <c r="B2159" s="96" t="str">
        <f>IFERROR(VLOOKUP(Proc[[#This Row],[App]],Table2[],3,0),"open")</f>
        <v>open</v>
      </c>
      <c r="C2159" s="95" t="s">
        <v>370</v>
      </c>
      <c r="D2159" t="s">
        <v>4497</v>
      </c>
      <c r="E2159" t="s">
        <v>4575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/>
      <c r="O2159" s="93"/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0</v>
      </c>
      <c r="R2159" s="92" t="s">
        <v>1044</v>
      </c>
      <c r="S2159" s="96"/>
    </row>
    <row r="2160" spans="1:19">
      <c r="A2160" s="95" t="s">
        <v>4247</v>
      </c>
      <c r="B2160" s="96" t="str">
        <f>IFERROR(VLOOKUP(Proc[[#This Row],[App]],Table2[],3,0),"open")</f>
        <v>open</v>
      </c>
      <c r="C2160" s="95" t="s">
        <v>370</v>
      </c>
      <c r="D2160" t="s">
        <v>4498</v>
      </c>
      <c r="E2160" t="s">
        <v>4575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/>
      <c r="O2160" s="93"/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0</v>
      </c>
      <c r="R2160" s="92" t="s">
        <v>1044</v>
      </c>
      <c r="S2160" s="96"/>
    </row>
    <row r="2161" spans="1:19">
      <c r="A2161" s="95" t="s">
        <v>4247</v>
      </c>
      <c r="B2161" s="96" t="str">
        <f>IFERROR(VLOOKUP(Proc[[#This Row],[App]],Table2[],3,0),"open")</f>
        <v>open</v>
      </c>
      <c r="C2161" s="95" t="s">
        <v>370</v>
      </c>
      <c r="D2161" t="s">
        <v>4499</v>
      </c>
      <c r="E2161" t="s">
        <v>4575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/>
      <c r="O2161" s="93"/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0</v>
      </c>
      <c r="R2161" s="92" t="s">
        <v>1044</v>
      </c>
      <c r="S2161" s="96"/>
    </row>
    <row r="2162" spans="1:19">
      <c r="A2162" s="95" t="s">
        <v>4247</v>
      </c>
      <c r="B2162" s="96" t="str">
        <f>IFERROR(VLOOKUP(Proc[[#This Row],[App]],Table2[],3,0),"open")</f>
        <v>open</v>
      </c>
      <c r="C2162" s="95" t="s">
        <v>370</v>
      </c>
      <c r="D2162" t="s">
        <v>4500</v>
      </c>
      <c r="E2162" t="s">
        <v>4575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/>
      <c r="O2162" s="93"/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0</v>
      </c>
      <c r="R2162" s="92" t="s">
        <v>1044</v>
      </c>
      <c r="S2162" s="96"/>
    </row>
    <row r="2163" spans="1:19">
      <c r="A2163" s="95" t="s">
        <v>4247</v>
      </c>
      <c r="B2163" s="96" t="str">
        <f>IFERROR(VLOOKUP(Proc[[#This Row],[App]],Table2[],3,0),"open")</f>
        <v>open</v>
      </c>
      <c r="C2163" s="95" t="s">
        <v>370</v>
      </c>
      <c r="D2163" t="s">
        <v>4501</v>
      </c>
      <c r="E2163" t="s">
        <v>4575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/>
      <c r="O2163" s="93"/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0</v>
      </c>
      <c r="R2163" s="92" t="s">
        <v>1044</v>
      </c>
      <c r="S2163" s="96"/>
    </row>
    <row r="2164" spans="1:19">
      <c r="A2164" s="95" t="s">
        <v>4247</v>
      </c>
      <c r="B2164" s="96" t="str">
        <f>IFERROR(VLOOKUP(Proc[[#This Row],[App]],Table2[],3,0),"open")</f>
        <v>open</v>
      </c>
      <c r="C2164" s="95" t="s">
        <v>370</v>
      </c>
      <c r="D2164" t="s">
        <v>4502</v>
      </c>
      <c r="E2164" t="s">
        <v>4575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/>
      <c r="O2164" s="93"/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0</v>
      </c>
      <c r="R2164" s="92" t="s">
        <v>1044</v>
      </c>
      <c r="S2164" s="96"/>
    </row>
    <row r="2165" spans="1:19">
      <c r="A2165" s="95" t="s">
        <v>4247</v>
      </c>
      <c r="B2165" s="96" t="str">
        <f>IFERROR(VLOOKUP(Proc[[#This Row],[App]],Table2[],3,0),"open")</f>
        <v>open</v>
      </c>
      <c r="C2165" s="95" t="s">
        <v>370</v>
      </c>
      <c r="D2165" t="s">
        <v>4503</v>
      </c>
      <c r="E2165" t="s">
        <v>4575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/>
      <c r="O2165" s="93"/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0</v>
      </c>
      <c r="R2165" s="92" t="s">
        <v>1044</v>
      </c>
      <c r="S2165" s="96"/>
    </row>
    <row r="2166" spans="1:19">
      <c r="A2166" s="95" t="s">
        <v>4247</v>
      </c>
      <c r="B2166" s="96" t="str">
        <f>IFERROR(VLOOKUP(Proc[[#This Row],[App]],Table2[],3,0),"open")</f>
        <v>open</v>
      </c>
      <c r="C2166" s="95" t="s">
        <v>370</v>
      </c>
      <c r="D2166" t="s">
        <v>4504</v>
      </c>
      <c r="E2166" t="s">
        <v>4575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/>
      <c r="O2166" s="93"/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0</v>
      </c>
      <c r="R2166" s="92" t="s">
        <v>1044</v>
      </c>
      <c r="S2166" s="96"/>
    </row>
    <row r="2167" spans="1:19">
      <c r="A2167" s="95" t="s">
        <v>4247</v>
      </c>
      <c r="B2167" s="96" t="str">
        <f>IFERROR(VLOOKUP(Proc[[#This Row],[App]],Table2[],3,0),"open")</f>
        <v>open</v>
      </c>
      <c r="C2167" s="95" t="s">
        <v>370</v>
      </c>
      <c r="D2167" t="s">
        <v>4505</v>
      </c>
      <c r="E2167" t="s">
        <v>4575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/>
      <c r="O2167" s="93"/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0</v>
      </c>
      <c r="R2167" s="92" t="s">
        <v>1044</v>
      </c>
      <c r="S2167" s="96"/>
    </row>
    <row r="2168" spans="1:19">
      <c r="A2168" s="95" t="s">
        <v>4247</v>
      </c>
      <c r="B2168" s="96" t="str">
        <f>IFERROR(VLOOKUP(Proc[[#This Row],[App]],Table2[],3,0),"open")</f>
        <v>open</v>
      </c>
      <c r="C2168" s="95" t="s">
        <v>370</v>
      </c>
      <c r="D2168" t="s">
        <v>4506</v>
      </c>
      <c r="E2168" t="s">
        <v>4575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/>
      <c r="O2168" s="93"/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0</v>
      </c>
      <c r="R2168" s="92" t="s">
        <v>1044</v>
      </c>
      <c r="S2168" s="96"/>
    </row>
    <row r="2169" spans="1:19">
      <c r="A2169" s="95" t="s">
        <v>4247</v>
      </c>
      <c r="B2169" s="96" t="str">
        <f>IFERROR(VLOOKUP(Proc[[#This Row],[App]],Table2[],3,0),"open")</f>
        <v>open</v>
      </c>
      <c r="C2169" s="95" t="s">
        <v>370</v>
      </c>
      <c r="D2169" t="s">
        <v>4507</v>
      </c>
      <c r="E2169" t="s">
        <v>4575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/>
      <c r="O2169" s="93"/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0</v>
      </c>
      <c r="R2169" s="92" t="s">
        <v>1044</v>
      </c>
      <c r="S2169" s="96"/>
    </row>
    <row r="2170" spans="1:19">
      <c r="A2170" s="95" t="s">
        <v>4247</v>
      </c>
      <c r="B2170" s="96" t="str">
        <f>IFERROR(VLOOKUP(Proc[[#This Row],[App]],Table2[],3,0),"open")</f>
        <v>open</v>
      </c>
      <c r="C2170" s="95" t="s">
        <v>370</v>
      </c>
      <c r="D2170" t="s">
        <v>4508</v>
      </c>
      <c r="E2170" t="s">
        <v>4575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/>
      <c r="O2170" s="93"/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0</v>
      </c>
      <c r="R2170" s="92" t="s">
        <v>1044</v>
      </c>
      <c r="S2170" s="96"/>
    </row>
    <row r="2171" spans="1:19">
      <c r="A2171" s="95" t="s">
        <v>4247</v>
      </c>
      <c r="B2171" s="96" t="str">
        <f>IFERROR(VLOOKUP(Proc[[#This Row],[App]],Table2[],3,0),"open")</f>
        <v>open</v>
      </c>
      <c r="C2171" s="95" t="s">
        <v>370</v>
      </c>
      <c r="D2171" t="s">
        <v>4509</v>
      </c>
      <c r="E2171" t="s">
        <v>4575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/>
      <c r="O2171" s="93"/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0</v>
      </c>
      <c r="R2171" s="92" t="s">
        <v>1044</v>
      </c>
      <c r="S2171" s="96"/>
    </row>
    <row r="2172" spans="1:19">
      <c r="A2172" s="95" t="s">
        <v>4247</v>
      </c>
      <c r="B2172" s="96" t="str">
        <f>IFERROR(VLOOKUP(Proc[[#This Row],[App]],Table2[],3,0),"open")</f>
        <v>open</v>
      </c>
      <c r="C2172" s="95" t="s">
        <v>370</v>
      </c>
      <c r="D2172" t="s">
        <v>4510</v>
      </c>
      <c r="E2172" t="s">
        <v>4575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/>
      <c r="O2172" s="93"/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0</v>
      </c>
      <c r="R2172" s="92" t="s">
        <v>1044</v>
      </c>
      <c r="S2172" s="96"/>
    </row>
    <row r="2173" spans="1:19">
      <c r="A2173" s="95" t="s">
        <v>4247</v>
      </c>
      <c r="B2173" s="96" t="str">
        <f>IFERROR(VLOOKUP(Proc[[#This Row],[App]],Table2[],3,0),"open")</f>
        <v>open</v>
      </c>
      <c r="C2173" s="95" t="s">
        <v>370</v>
      </c>
      <c r="D2173" t="s">
        <v>4511</v>
      </c>
      <c r="E2173" t="s">
        <v>4575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/>
      <c r="O2173" s="93"/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0</v>
      </c>
      <c r="R2173" s="92" t="s">
        <v>1044</v>
      </c>
      <c r="S2173" s="96"/>
    </row>
    <row r="2174" spans="1:19">
      <c r="A2174" s="95" t="s">
        <v>4247</v>
      </c>
      <c r="B2174" s="96" t="str">
        <f>IFERROR(VLOOKUP(Proc[[#This Row],[App]],Table2[],3,0),"open")</f>
        <v>open</v>
      </c>
      <c r="C2174" s="95" t="s">
        <v>370</v>
      </c>
      <c r="D2174" t="s">
        <v>4512</v>
      </c>
      <c r="E2174" t="s">
        <v>4575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/>
      <c r="O2174" s="93"/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0</v>
      </c>
      <c r="R2174" s="92" t="s">
        <v>1044</v>
      </c>
      <c r="S2174" s="96"/>
    </row>
    <row r="2175" spans="1:19">
      <c r="A2175" s="95" t="s">
        <v>4247</v>
      </c>
      <c r="B2175" s="96" t="str">
        <f>IFERROR(VLOOKUP(Proc[[#This Row],[App]],Table2[],3,0),"open")</f>
        <v>open</v>
      </c>
      <c r="C2175" s="95" t="s">
        <v>370</v>
      </c>
      <c r="D2175" t="s">
        <v>4513</v>
      </c>
      <c r="E2175" t="s">
        <v>4575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/>
      <c r="O2175" s="93"/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0</v>
      </c>
      <c r="R2175" s="92" t="s">
        <v>1044</v>
      </c>
      <c r="S2175" s="96"/>
    </row>
    <row r="2176" spans="1:19">
      <c r="A2176" s="95" t="s">
        <v>4247</v>
      </c>
      <c r="B2176" s="96" t="str">
        <f>IFERROR(VLOOKUP(Proc[[#This Row],[App]],Table2[],3,0),"open")</f>
        <v>open</v>
      </c>
      <c r="C2176" s="95" t="s">
        <v>370</v>
      </c>
      <c r="D2176" t="s">
        <v>4514</v>
      </c>
      <c r="E2176" t="s">
        <v>4575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/>
      <c r="O2176" s="93"/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0</v>
      </c>
      <c r="R2176" s="92" t="s">
        <v>1044</v>
      </c>
      <c r="S2176" s="96"/>
    </row>
    <row r="2177" spans="1:19">
      <c r="A2177" s="95" t="s">
        <v>4247</v>
      </c>
      <c r="B2177" s="96" t="str">
        <f>IFERROR(VLOOKUP(Proc[[#This Row],[App]],Table2[],3,0),"open")</f>
        <v>open</v>
      </c>
      <c r="C2177" s="95" t="s">
        <v>370</v>
      </c>
      <c r="D2177" t="s">
        <v>4515</v>
      </c>
      <c r="E2177" t="s">
        <v>4575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/>
      <c r="O2177" s="93"/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0</v>
      </c>
      <c r="R2177" s="92" t="s">
        <v>1044</v>
      </c>
      <c r="S2177" s="96"/>
    </row>
    <row r="2178" spans="1:19">
      <c r="A2178" s="95" t="s">
        <v>4247</v>
      </c>
      <c r="B2178" s="96" t="str">
        <f>IFERROR(VLOOKUP(Proc[[#This Row],[App]],Table2[],3,0),"open")</f>
        <v>open</v>
      </c>
      <c r="C2178" s="95" t="s">
        <v>370</v>
      </c>
      <c r="D2178" t="s">
        <v>4516</v>
      </c>
      <c r="E2178" t="s">
        <v>4575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/>
      <c r="O2178" s="93"/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0</v>
      </c>
      <c r="R2178" s="92" t="s">
        <v>1044</v>
      </c>
      <c r="S2178" s="96"/>
    </row>
    <row r="2179" spans="1:19">
      <c r="A2179" s="95" t="s">
        <v>4247</v>
      </c>
      <c r="B2179" s="96" t="str">
        <f>IFERROR(VLOOKUP(Proc[[#This Row],[App]],Table2[],3,0),"open")</f>
        <v>open</v>
      </c>
      <c r="C2179" s="95" t="s">
        <v>370</v>
      </c>
      <c r="D2179" t="s">
        <v>4517</v>
      </c>
      <c r="E2179" t="s">
        <v>4575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/>
      <c r="O2179" s="93"/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0</v>
      </c>
      <c r="R2179" s="92" t="s">
        <v>1044</v>
      </c>
      <c r="S2179" s="96"/>
    </row>
    <row r="2180" spans="1:19">
      <c r="A2180" s="95" t="s">
        <v>4247</v>
      </c>
      <c r="B2180" s="96" t="str">
        <f>IFERROR(VLOOKUP(Proc[[#This Row],[App]],Table2[],3,0),"open")</f>
        <v>open</v>
      </c>
      <c r="C2180" s="95" t="s">
        <v>370</v>
      </c>
      <c r="D2180" t="s">
        <v>4518</v>
      </c>
      <c r="E2180" t="s">
        <v>4575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/>
      <c r="O2180" s="93"/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0</v>
      </c>
      <c r="R2180" s="92" t="s">
        <v>1044</v>
      </c>
      <c r="S2180" s="96"/>
    </row>
    <row r="2181" spans="1:19">
      <c r="A2181" s="95" t="s">
        <v>4247</v>
      </c>
      <c r="B2181" s="96" t="str">
        <f>IFERROR(VLOOKUP(Proc[[#This Row],[App]],Table2[],3,0),"open")</f>
        <v>open</v>
      </c>
      <c r="C2181" s="95" t="s">
        <v>370</v>
      </c>
      <c r="D2181" t="s">
        <v>4519</v>
      </c>
      <c r="E2181" t="s">
        <v>4575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/>
      <c r="O2181" s="93"/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0</v>
      </c>
      <c r="R2181" s="92" t="s">
        <v>1044</v>
      </c>
      <c r="S2181" s="96"/>
    </row>
    <row r="2182" spans="1:19">
      <c r="A2182" s="95" t="s">
        <v>4247</v>
      </c>
      <c r="B2182" s="96" t="str">
        <f>IFERROR(VLOOKUP(Proc[[#This Row],[App]],Table2[],3,0),"open")</f>
        <v>open</v>
      </c>
      <c r="C2182" s="95" t="s">
        <v>370</v>
      </c>
      <c r="D2182" t="s">
        <v>4520</v>
      </c>
      <c r="E2182" t="s">
        <v>4575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/>
      <c r="O2182" s="93"/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0</v>
      </c>
      <c r="R2182" s="92" t="s">
        <v>1044</v>
      </c>
      <c r="S2182" s="96"/>
    </row>
    <row r="2183" spans="1:19">
      <c r="A2183" s="95" t="s">
        <v>4247</v>
      </c>
      <c r="B2183" s="96" t="str">
        <f>IFERROR(VLOOKUP(Proc[[#This Row],[App]],Table2[],3,0),"open")</f>
        <v>open</v>
      </c>
      <c r="C2183" s="95" t="s">
        <v>370</v>
      </c>
      <c r="D2183" t="s">
        <v>4521</v>
      </c>
      <c r="E2183" t="s">
        <v>4575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/>
      <c r="O2183" s="93"/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0</v>
      </c>
      <c r="R2183" s="92" t="s">
        <v>1044</v>
      </c>
      <c r="S2183" s="96"/>
    </row>
    <row r="2184" spans="1:19">
      <c r="A2184" s="95" t="s">
        <v>4247</v>
      </c>
      <c r="B2184" s="96" t="str">
        <f>IFERROR(VLOOKUP(Proc[[#This Row],[App]],Table2[],3,0),"open")</f>
        <v>open</v>
      </c>
      <c r="C2184" s="95" t="s">
        <v>370</v>
      </c>
      <c r="D2184" t="s">
        <v>4522</v>
      </c>
      <c r="E2184" t="s">
        <v>4575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/>
      <c r="O2184" s="93"/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0</v>
      </c>
      <c r="R2184" s="92" t="s">
        <v>1044</v>
      </c>
      <c r="S2184" s="96"/>
    </row>
    <row r="2185" spans="1:19">
      <c r="A2185" s="95" t="s">
        <v>4247</v>
      </c>
      <c r="B2185" s="96" t="str">
        <f>IFERROR(VLOOKUP(Proc[[#This Row],[App]],Table2[],3,0),"open")</f>
        <v>open</v>
      </c>
      <c r="C2185" s="95" t="s">
        <v>370</v>
      </c>
      <c r="D2185" t="s">
        <v>4523</v>
      </c>
      <c r="E2185" t="s">
        <v>4575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/>
      <c r="O2185" s="93"/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0</v>
      </c>
      <c r="R2185" s="92" t="s">
        <v>1044</v>
      </c>
      <c r="S2185" s="96"/>
    </row>
    <row r="2186" spans="1:19">
      <c r="A2186" s="95" t="s">
        <v>4247</v>
      </c>
      <c r="B2186" s="96" t="str">
        <f>IFERROR(VLOOKUP(Proc[[#This Row],[App]],Table2[],3,0),"open")</f>
        <v>open</v>
      </c>
      <c r="C2186" s="95" t="s">
        <v>370</v>
      </c>
      <c r="D2186" t="s">
        <v>4524</v>
      </c>
      <c r="E2186" t="s">
        <v>4575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/>
      <c r="O2186" s="93"/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0</v>
      </c>
      <c r="R2186" s="92" t="s">
        <v>1044</v>
      </c>
      <c r="S2186" s="96"/>
    </row>
    <row r="2187" spans="1:19">
      <c r="A2187" s="95" t="s">
        <v>4247</v>
      </c>
      <c r="B2187" s="96" t="str">
        <f>IFERROR(VLOOKUP(Proc[[#This Row],[App]],Table2[],3,0),"open")</f>
        <v>open</v>
      </c>
      <c r="C2187" s="95" t="s">
        <v>370</v>
      </c>
      <c r="D2187" t="s">
        <v>4525</v>
      </c>
      <c r="E2187" t="s">
        <v>4575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/>
      <c r="O2187" s="93"/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0</v>
      </c>
      <c r="R2187" s="92" t="s">
        <v>1044</v>
      </c>
      <c r="S2187" s="96"/>
    </row>
    <row r="2188" spans="1:19">
      <c r="A2188" s="95" t="s">
        <v>4247</v>
      </c>
      <c r="B2188" s="96" t="str">
        <f>IFERROR(VLOOKUP(Proc[[#This Row],[App]],Table2[],3,0),"open")</f>
        <v>open</v>
      </c>
      <c r="C2188" s="95" t="s">
        <v>370</v>
      </c>
      <c r="D2188" t="s">
        <v>4526</v>
      </c>
      <c r="E2188" t="s">
        <v>4575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/>
      <c r="O2188" s="93"/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0</v>
      </c>
      <c r="R2188" s="92" t="s">
        <v>1044</v>
      </c>
      <c r="S2188" s="96"/>
    </row>
    <row r="2189" spans="1:19">
      <c r="A2189" s="95" t="s">
        <v>4247</v>
      </c>
      <c r="B2189" s="96" t="str">
        <f>IFERROR(VLOOKUP(Proc[[#This Row],[App]],Table2[],3,0),"open")</f>
        <v>open</v>
      </c>
      <c r="C2189" s="95" t="s">
        <v>370</v>
      </c>
      <c r="D2189" t="s">
        <v>4527</v>
      </c>
      <c r="E2189" t="s">
        <v>4575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/>
      <c r="O2189" s="93"/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0</v>
      </c>
      <c r="R2189" s="92" t="s">
        <v>1044</v>
      </c>
      <c r="S2189" s="96"/>
    </row>
    <row r="2190" spans="1:19">
      <c r="A2190" s="95" t="s">
        <v>4247</v>
      </c>
      <c r="B2190" s="96" t="str">
        <f>IFERROR(VLOOKUP(Proc[[#This Row],[App]],Table2[],3,0),"open")</f>
        <v>open</v>
      </c>
      <c r="C2190" s="95" t="s">
        <v>370</v>
      </c>
      <c r="D2190" t="s">
        <v>4528</v>
      </c>
      <c r="E2190" t="s">
        <v>4575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/>
      <c r="O2190" s="93"/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0</v>
      </c>
      <c r="R2190" s="92" t="s">
        <v>1044</v>
      </c>
      <c r="S2190" s="96"/>
    </row>
    <row r="2191" spans="1:19">
      <c r="A2191" s="95" t="s">
        <v>4247</v>
      </c>
      <c r="B2191" s="96" t="str">
        <f>IFERROR(VLOOKUP(Proc[[#This Row],[App]],Table2[],3,0),"open")</f>
        <v>open</v>
      </c>
      <c r="C2191" s="95" t="s">
        <v>370</v>
      </c>
      <c r="D2191" t="s">
        <v>4529</v>
      </c>
      <c r="E2191" t="s">
        <v>4575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/>
      <c r="O2191" s="93"/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0</v>
      </c>
      <c r="R2191" s="92" t="s">
        <v>1044</v>
      </c>
      <c r="S2191" s="96"/>
    </row>
    <row r="2192" spans="1:19">
      <c r="A2192" s="95" t="s">
        <v>4247</v>
      </c>
      <c r="B2192" s="96" t="str">
        <f>IFERROR(VLOOKUP(Proc[[#This Row],[App]],Table2[],3,0),"open")</f>
        <v>open</v>
      </c>
      <c r="C2192" s="95" t="s">
        <v>370</v>
      </c>
      <c r="D2192" t="s">
        <v>4530</v>
      </c>
      <c r="E2192" t="s">
        <v>4575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/>
      <c r="O2192" s="93"/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0</v>
      </c>
      <c r="R2192" s="92" t="s">
        <v>1044</v>
      </c>
      <c r="S2192" s="96"/>
    </row>
    <row r="2193" spans="1:19">
      <c r="A2193" s="95" t="s">
        <v>4247</v>
      </c>
      <c r="B2193" s="96" t="str">
        <f>IFERROR(VLOOKUP(Proc[[#This Row],[App]],Table2[],3,0),"open")</f>
        <v>open</v>
      </c>
      <c r="C2193" s="95" t="s">
        <v>370</v>
      </c>
      <c r="D2193" t="s">
        <v>4531</v>
      </c>
      <c r="E2193" t="s">
        <v>4575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/>
      <c r="O2193" s="93"/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0</v>
      </c>
      <c r="R2193" s="92" t="s">
        <v>1044</v>
      </c>
      <c r="S2193" s="96"/>
    </row>
    <row r="2194" spans="1:19">
      <c r="A2194" s="95" t="s">
        <v>4247</v>
      </c>
      <c r="B2194" s="96" t="str">
        <f>IFERROR(VLOOKUP(Proc[[#This Row],[App]],Table2[],3,0),"open")</f>
        <v>open</v>
      </c>
      <c r="C2194" s="95" t="s">
        <v>370</v>
      </c>
      <c r="D2194" t="s">
        <v>4532</v>
      </c>
      <c r="E2194" t="s">
        <v>4575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/>
      <c r="O2194" s="93"/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0</v>
      </c>
      <c r="R2194" s="92" t="s">
        <v>1044</v>
      </c>
      <c r="S2194" s="96"/>
    </row>
    <row r="2195" spans="1:19">
      <c r="A2195" s="95" t="s">
        <v>4247</v>
      </c>
      <c r="B2195" s="96" t="str">
        <f>IFERROR(VLOOKUP(Proc[[#This Row],[App]],Table2[],3,0),"open")</f>
        <v>open</v>
      </c>
      <c r="C2195" s="95" t="s">
        <v>370</v>
      </c>
      <c r="D2195" t="s">
        <v>4533</v>
      </c>
      <c r="E2195" t="s">
        <v>4575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/>
      <c r="O2195" s="93"/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0</v>
      </c>
      <c r="R2195" s="92" t="s">
        <v>1044</v>
      </c>
      <c r="S2195" s="96"/>
    </row>
    <row r="2196" spans="1:19">
      <c r="A2196" s="95" t="s">
        <v>4247</v>
      </c>
      <c r="B2196" s="96" t="str">
        <f>IFERROR(VLOOKUP(Proc[[#This Row],[App]],Table2[],3,0),"open")</f>
        <v>open</v>
      </c>
      <c r="C2196" s="95" t="s">
        <v>370</v>
      </c>
      <c r="D2196" t="s">
        <v>4534</v>
      </c>
      <c r="E2196" t="s">
        <v>4575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/>
      <c r="O2196" s="93"/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0</v>
      </c>
      <c r="R2196" s="92" t="s">
        <v>1044</v>
      </c>
      <c r="S2196" s="96"/>
    </row>
    <row r="2197" spans="1:19">
      <c r="A2197" s="95" t="s">
        <v>4247</v>
      </c>
      <c r="B2197" s="96" t="str">
        <f>IFERROR(VLOOKUP(Proc[[#This Row],[App]],Table2[],3,0),"open")</f>
        <v>open</v>
      </c>
      <c r="C2197" s="95" t="s">
        <v>370</v>
      </c>
      <c r="D2197" t="s">
        <v>4535</v>
      </c>
      <c r="E2197" t="s">
        <v>4575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/>
      <c r="O2197" s="93"/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0</v>
      </c>
      <c r="R2197" s="92" t="s">
        <v>1044</v>
      </c>
      <c r="S2197" s="96"/>
    </row>
    <row r="2198" spans="1:19">
      <c r="A2198" s="95" t="s">
        <v>4247</v>
      </c>
      <c r="B2198" s="96" t="str">
        <f>IFERROR(VLOOKUP(Proc[[#This Row],[App]],Table2[],3,0),"open")</f>
        <v>open</v>
      </c>
      <c r="C2198" s="95" t="s">
        <v>370</v>
      </c>
      <c r="D2198" t="s">
        <v>4536</v>
      </c>
      <c r="E2198" t="s">
        <v>4575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/>
      <c r="O2198" s="93"/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0</v>
      </c>
      <c r="R2198" s="92" t="s">
        <v>1044</v>
      </c>
      <c r="S2198" s="96"/>
    </row>
    <row r="2199" spans="1:19">
      <c r="A2199" s="95" t="s">
        <v>4247</v>
      </c>
      <c r="B2199" s="96" t="str">
        <f>IFERROR(VLOOKUP(Proc[[#This Row],[App]],Table2[],3,0),"open")</f>
        <v>open</v>
      </c>
      <c r="C2199" s="95" t="s">
        <v>370</v>
      </c>
      <c r="D2199" t="s">
        <v>4537</v>
      </c>
      <c r="E2199" t="s">
        <v>4575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/>
      <c r="O2199" s="93"/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0</v>
      </c>
      <c r="R2199" s="92" t="s">
        <v>1044</v>
      </c>
      <c r="S2199" s="96"/>
    </row>
    <row r="2200" spans="1:19">
      <c r="A2200" s="95" t="s">
        <v>4247</v>
      </c>
      <c r="B2200" s="96" t="str">
        <f>IFERROR(VLOOKUP(Proc[[#This Row],[App]],Table2[],3,0),"open")</f>
        <v>open</v>
      </c>
      <c r="C2200" s="95" t="s">
        <v>370</v>
      </c>
      <c r="D2200" t="s">
        <v>4538</v>
      </c>
      <c r="E2200" t="s">
        <v>4575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/>
      <c r="O2200" s="93"/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0</v>
      </c>
      <c r="R2200" s="92" t="s">
        <v>1044</v>
      </c>
      <c r="S2200" s="96"/>
    </row>
    <row r="2201" spans="1:19">
      <c r="A2201" s="95" t="s">
        <v>4247</v>
      </c>
      <c r="B2201" s="96" t="str">
        <f>IFERROR(VLOOKUP(Proc[[#This Row],[App]],Table2[],3,0),"open")</f>
        <v>open</v>
      </c>
      <c r="C2201" s="95" t="s">
        <v>370</v>
      </c>
      <c r="D2201" t="s">
        <v>4539</v>
      </c>
      <c r="E2201" t="s">
        <v>4575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/>
      <c r="O2201" s="93"/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0</v>
      </c>
      <c r="R2201" s="92" t="s">
        <v>1044</v>
      </c>
      <c r="S2201" s="96"/>
    </row>
    <row r="2202" spans="1:19">
      <c r="A2202" s="95" t="s">
        <v>4247</v>
      </c>
      <c r="B2202" s="96" t="str">
        <f>IFERROR(VLOOKUP(Proc[[#This Row],[App]],Table2[],3,0),"open")</f>
        <v>open</v>
      </c>
      <c r="C2202" s="95" t="s">
        <v>370</v>
      </c>
      <c r="D2202" t="s">
        <v>4540</v>
      </c>
      <c r="E2202" t="s">
        <v>4575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/>
      <c r="O2202" s="93"/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0</v>
      </c>
      <c r="R2202" s="92" t="s">
        <v>1044</v>
      </c>
      <c r="S2202" s="96"/>
    </row>
    <row r="2203" spans="1:19">
      <c r="A2203" s="95" t="s">
        <v>4247</v>
      </c>
      <c r="B2203" s="96" t="str">
        <f>IFERROR(VLOOKUP(Proc[[#This Row],[App]],Table2[],3,0),"open")</f>
        <v>open</v>
      </c>
      <c r="C2203" s="95" t="s">
        <v>370</v>
      </c>
      <c r="D2203" t="s">
        <v>4541</v>
      </c>
      <c r="E2203" t="s">
        <v>4575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/>
      <c r="O2203" s="93"/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0</v>
      </c>
      <c r="R2203" s="92" t="s">
        <v>1044</v>
      </c>
      <c r="S2203" s="96"/>
    </row>
    <row r="2204" spans="1:19">
      <c r="A2204" s="95" t="s">
        <v>4247</v>
      </c>
      <c r="B2204" s="96" t="str">
        <f>IFERROR(VLOOKUP(Proc[[#This Row],[App]],Table2[],3,0),"open")</f>
        <v>open</v>
      </c>
      <c r="C2204" s="95" t="s">
        <v>370</v>
      </c>
      <c r="D2204" t="s">
        <v>4542</v>
      </c>
      <c r="E2204" t="s">
        <v>4575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/>
      <c r="O2204" s="93"/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0</v>
      </c>
      <c r="R2204" s="92" t="s">
        <v>1044</v>
      </c>
      <c r="S2204" s="96"/>
    </row>
    <row r="2205" spans="1:19">
      <c r="A2205" s="95" t="s">
        <v>4247</v>
      </c>
      <c r="B2205" s="96" t="str">
        <f>IFERROR(VLOOKUP(Proc[[#This Row],[App]],Table2[],3,0),"open")</f>
        <v>open</v>
      </c>
      <c r="C2205" s="95" t="s">
        <v>370</v>
      </c>
      <c r="D2205" t="s">
        <v>4543</v>
      </c>
      <c r="E2205" t="s">
        <v>4575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/>
      <c r="O2205" s="93"/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0</v>
      </c>
      <c r="R2205" s="92" t="s">
        <v>1044</v>
      </c>
      <c r="S2205" s="96"/>
    </row>
    <row r="2206" spans="1:19">
      <c r="A2206" s="95" t="s">
        <v>4247</v>
      </c>
      <c r="B2206" s="96" t="str">
        <f>IFERROR(VLOOKUP(Proc[[#This Row],[App]],Table2[],3,0),"open")</f>
        <v>open</v>
      </c>
      <c r="C2206" s="95" t="s">
        <v>370</v>
      </c>
      <c r="D2206" t="s">
        <v>4544</v>
      </c>
      <c r="E2206" t="s">
        <v>4575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/>
      <c r="O2206" s="93"/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0</v>
      </c>
      <c r="R2206" s="92" t="s">
        <v>1044</v>
      </c>
      <c r="S2206" s="96"/>
    </row>
    <row r="2207" spans="1:19">
      <c r="A2207" s="95" t="s">
        <v>4247</v>
      </c>
      <c r="B2207" s="96" t="str">
        <f>IFERROR(VLOOKUP(Proc[[#This Row],[App]],Table2[],3,0),"open")</f>
        <v>open</v>
      </c>
      <c r="C2207" s="95" t="s">
        <v>370</v>
      </c>
      <c r="D2207" t="s">
        <v>4545</v>
      </c>
      <c r="E2207" t="s">
        <v>4575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/>
      <c r="O2207" s="93"/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0</v>
      </c>
      <c r="R2207" s="92" t="s">
        <v>1044</v>
      </c>
      <c r="S2207" s="96"/>
    </row>
    <row r="2208" spans="1:19">
      <c r="A2208" s="95" t="s">
        <v>4247</v>
      </c>
      <c r="B2208" s="96" t="str">
        <f>IFERROR(VLOOKUP(Proc[[#This Row],[App]],Table2[],3,0),"open")</f>
        <v>open</v>
      </c>
      <c r="C2208" s="95" t="s">
        <v>370</v>
      </c>
      <c r="D2208" t="s">
        <v>4546</v>
      </c>
      <c r="E2208" t="s">
        <v>4575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/>
      <c r="O2208" s="93"/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0</v>
      </c>
      <c r="R2208" s="92" t="s">
        <v>1044</v>
      </c>
      <c r="S2208" s="96"/>
    </row>
    <row r="2209" spans="1:19">
      <c r="A2209" s="95" t="s">
        <v>4247</v>
      </c>
      <c r="B2209" s="96" t="str">
        <f>IFERROR(VLOOKUP(Proc[[#This Row],[App]],Table2[],3,0),"open")</f>
        <v>open</v>
      </c>
      <c r="C2209" s="95" t="s">
        <v>370</v>
      </c>
      <c r="D2209" t="s">
        <v>4547</v>
      </c>
      <c r="E2209" t="s">
        <v>4575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/>
      <c r="O2209" s="93"/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0</v>
      </c>
      <c r="R2209" s="92" t="s">
        <v>1044</v>
      </c>
      <c r="S2209" s="96"/>
    </row>
    <row r="2210" spans="1:19">
      <c r="A2210" s="95" t="s">
        <v>4247</v>
      </c>
      <c r="B2210" s="96" t="str">
        <f>IFERROR(VLOOKUP(Proc[[#This Row],[App]],Table2[],3,0),"open")</f>
        <v>open</v>
      </c>
      <c r="C2210" s="95" t="s">
        <v>370</v>
      </c>
      <c r="D2210" t="s">
        <v>4548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/>
      <c r="O2210" s="93"/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0</v>
      </c>
      <c r="R2210" s="92" t="s">
        <v>1044</v>
      </c>
      <c r="S2210" s="96"/>
    </row>
    <row r="2211" spans="1:19">
      <c r="A2211" s="95" t="s">
        <v>4247</v>
      </c>
      <c r="B2211" s="96" t="str">
        <f>IFERROR(VLOOKUP(Proc[[#This Row],[App]],Table2[],3,0),"open")</f>
        <v>open</v>
      </c>
      <c r="C2211" s="95" t="s">
        <v>370</v>
      </c>
      <c r="D2211" t="s">
        <v>4549</v>
      </c>
      <c r="E2211" t="s">
        <v>4575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/>
      <c r="O2211" s="93"/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0</v>
      </c>
      <c r="R2211" s="92" t="s">
        <v>1044</v>
      </c>
      <c r="S2211" s="96"/>
    </row>
    <row r="2212" spans="1:19">
      <c r="A2212" s="95" t="s">
        <v>4247</v>
      </c>
      <c r="B2212" s="96" t="str">
        <f>IFERROR(VLOOKUP(Proc[[#This Row],[App]],Table2[],3,0),"open")</f>
        <v>open</v>
      </c>
      <c r="C2212" s="95" t="s">
        <v>370</v>
      </c>
      <c r="D2212" t="s">
        <v>4550</v>
      </c>
      <c r="E2212" t="s">
        <v>4575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/>
      <c r="O2212" s="93"/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0</v>
      </c>
      <c r="R2212" s="92" t="s">
        <v>1044</v>
      </c>
      <c r="S2212" s="96"/>
    </row>
    <row r="2213" spans="1:19">
      <c r="A2213" s="95" t="s">
        <v>4247</v>
      </c>
      <c r="B2213" s="96" t="str">
        <f>IFERROR(VLOOKUP(Proc[[#This Row],[App]],Table2[],3,0),"open")</f>
        <v>open</v>
      </c>
      <c r="C2213" s="95" t="s">
        <v>370</v>
      </c>
      <c r="D2213" t="s">
        <v>4551</v>
      </c>
      <c r="E2213" t="s">
        <v>4575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/>
      <c r="O2213" s="93"/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0</v>
      </c>
      <c r="R2213" s="92" t="s">
        <v>1044</v>
      </c>
      <c r="S2213" s="96"/>
    </row>
    <row r="2214" spans="1:19">
      <c r="A2214" s="95" t="s">
        <v>4247</v>
      </c>
      <c r="B2214" s="96" t="str">
        <f>IFERROR(VLOOKUP(Proc[[#This Row],[App]],Table2[],3,0),"open")</f>
        <v>open</v>
      </c>
      <c r="C2214" s="95" t="s">
        <v>370</v>
      </c>
      <c r="D2214" t="s">
        <v>4552</v>
      </c>
      <c r="E2214" t="s">
        <v>4575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/>
      <c r="O2214" s="93"/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0</v>
      </c>
      <c r="R2214" s="92" t="s">
        <v>1044</v>
      </c>
      <c r="S2214" s="96"/>
    </row>
    <row r="2215" spans="1:19">
      <c r="A2215" s="95" t="s">
        <v>4247</v>
      </c>
      <c r="B2215" s="96" t="str">
        <f>IFERROR(VLOOKUP(Proc[[#This Row],[App]],Table2[],3,0),"open")</f>
        <v>open</v>
      </c>
      <c r="C2215" s="95" t="s">
        <v>370</v>
      </c>
      <c r="D2215" t="s">
        <v>4553</v>
      </c>
      <c r="E2215" t="s">
        <v>4575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/>
      <c r="O2215" s="93"/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0</v>
      </c>
      <c r="R2215" s="92" t="s">
        <v>1044</v>
      </c>
      <c r="S2215" s="96"/>
    </row>
    <row r="2216" spans="1:19">
      <c r="A2216" s="95" t="s">
        <v>4247</v>
      </c>
      <c r="B2216" s="96" t="str">
        <f>IFERROR(VLOOKUP(Proc[[#This Row],[App]],Table2[],3,0),"open")</f>
        <v>open</v>
      </c>
      <c r="C2216" s="95" t="s">
        <v>370</v>
      </c>
      <c r="D2216" t="s">
        <v>4554</v>
      </c>
      <c r="E2216" t="s">
        <v>4575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/>
      <c r="O2216" s="93"/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0</v>
      </c>
      <c r="R2216" s="92" t="s">
        <v>1044</v>
      </c>
      <c r="S2216" s="96"/>
    </row>
    <row r="2217" spans="1:19">
      <c r="A2217" s="95" t="s">
        <v>4247</v>
      </c>
      <c r="B2217" s="96" t="str">
        <f>IFERROR(VLOOKUP(Proc[[#This Row],[App]],Table2[],3,0),"open")</f>
        <v>open</v>
      </c>
      <c r="C2217" s="95" t="s">
        <v>370</v>
      </c>
      <c r="D2217" t="s">
        <v>4555</v>
      </c>
      <c r="E2217" t="s">
        <v>4575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/>
      <c r="O2217" s="93"/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0</v>
      </c>
      <c r="R2217" s="92" t="s">
        <v>1044</v>
      </c>
      <c r="S2217" s="96"/>
    </row>
    <row r="2218" spans="1:19">
      <c r="A2218" s="95" t="s">
        <v>4247</v>
      </c>
      <c r="B2218" s="96" t="str">
        <f>IFERROR(VLOOKUP(Proc[[#This Row],[App]],Table2[],3,0),"open")</f>
        <v>open</v>
      </c>
      <c r="C2218" s="95" t="s">
        <v>370</v>
      </c>
      <c r="D2218" t="s">
        <v>4556</v>
      </c>
      <c r="E2218" t="s">
        <v>4575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/>
      <c r="O2218" s="93"/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0</v>
      </c>
      <c r="R2218" s="92" t="s">
        <v>1044</v>
      </c>
      <c r="S2218" s="96"/>
    </row>
    <row r="2219" spans="1:19">
      <c r="A2219" s="95" t="s">
        <v>4247</v>
      </c>
      <c r="B2219" s="96" t="str">
        <f>IFERROR(VLOOKUP(Proc[[#This Row],[App]],Table2[],3,0),"open")</f>
        <v>open</v>
      </c>
      <c r="C2219" s="95" t="s">
        <v>370</v>
      </c>
      <c r="D2219" t="s">
        <v>4557</v>
      </c>
      <c r="E2219" t="s">
        <v>4575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/>
      <c r="O2219" s="93"/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0</v>
      </c>
      <c r="R2219" s="92" t="s">
        <v>1044</v>
      </c>
      <c r="S2219" s="96"/>
    </row>
    <row r="2220" spans="1:19">
      <c r="A2220" s="95" t="s">
        <v>4247</v>
      </c>
      <c r="B2220" s="96" t="str">
        <f>IFERROR(VLOOKUP(Proc[[#This Row],[App]],Table2[],3,0),"open")</f>
        <v>open</v>
      </c>
      <c r="C2220" s="95" t="s">
        <v>370</v>
      </c>
      <c r="D2220" t="s">
        <v>4558</v>
      </c>
      <c r="E2220" t="s">
        <v>4575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/>
      <c r="O2220" s="93"/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0</v>
      </c>
      <c r="R2220" s="92" t="s">
        <v>1044</v>
      </c>
      <c r="S2220" s="96"/>
    </row>
    <row r="2221" spans="1:19">
      <c r="A2221" s="95" t="s">
        <v>4247</v>
      </c>
      <c r="B2221" s="96" t="str">
        <f>IFERROR(VLOOKUP(Proc[[#This Row],[App]],Table2[],3,0),"open")</f>
        <v>open</v>
      </c>
      <c r="C2221" s="95" t="s">
        <v>370</v>
      </c>
      <c r="D2221" t="s">
        <v>4559</v>
      </c>
      <c r="E2221" t="s">
        <v>4575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/>
      <c r="O2221" s="93"/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0</v>
      </c>
      <c r="R2221" s="92" t="s">
        <v>1044</v>
      </c>
      <c r="S2221" s="96"/>
    </row>
    <row r="2222" spans="1:19">
      <c r="A2222" s="95" t="s">
        <v>4247</v>
      </c>
      <c r="B2222" s="96" t="str">
        <f>IFERROR(VLOOKUP(Proc[[#This Row],[App]],Table2[],3,0),"open")</f>
        <v>open</v>
      </c>
      <c r="C2222" s="95" t="s">
        <v>370</v>
      </c>
      <c r="D2222" t="s">
        <v>4560</v>
      </c>
      <c r="E2222" t="s">
        <v>4575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/>
      <c r="O2222" s="93"/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0</v>
      </c>
      <c r="R2222" s="92" t="s">
        <v>1044</v>
      </c>
      <c r="S2222" s="96"/>
    </row>
    <row r="2223" spans="1:19">
      <c r="A2223" s="95" t="s">
        <v>4247</v>
      </c>
      <c r="B2223" s="96" t="str">
        <f>IFERROR(VLOOKUP(Proc[[#This Row],[App]],Table2[],3,0),"open")</f>
        <v>open</v>
      </c>
      <c r="C2223" s="95" t="s">
        <v>370</v>
      </c>
      <c r="D2223" t="s">
        <v>4561</v>
      </c>
      <c r="E2223" t="s">
        <v>4575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/>
      <c r="O2223" s="93"/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0</v>
      </c>
      <c r="R2223" s="92" t="s">
        <v>1044</v>
      </c>
      <c r="S2223" s="96"/>
    </row>
    <row r="2224" spans="1:19">
      <c r="A2224" s="95" t="s">
        <v>4247</v>
      </c>
      <c r="B2224" s="96" t="str">
        <f>IFERROR(VLOOKUP(Proc[[#This Row],[App]],Table2[],3,0),"open")</f>
        <v>open</v>
      </c>
      <c r="C2224" s="95" t="s">
        <v>370</v>
      </c>
      <c r="D2224" t="s">
        <v>4562</v>
      </c>
      <c r="E2224" t="s">
        <v>4575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/>
      <c r="O2224" s="93"/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0</v>
      </c>
      <c r="R2224" s="92" t="s">
        <v>1044</v>
      </c>
      <c r="S2224" s="96"/>
    </row>
    <row r="2225" spans="1:19">
      <c r="A2225" s="95" t="s">
        <v>4247</v>
      </c>
      <c r="B2225" s="96" t="str">
        <f>IFERROR(VLOOKUP(Proc[[#This Row],[App]],Table2[],3,0),"open")</f>
        <v>open</v>
      </c>
      <c r="C2225" s="95" t="s">
        <v>370</v>
      </c>
      <c r="D2225" t="s">
        <v>4563</v>
      </c>
      <c r="E2225" t="s">
        <v>4575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/>
      <c r="O2225" s="93"/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0</v>
      </c>
      <c r="R2225" s="92" t="s">
        <v>1044</v>
      </c>
      <c r="S2225" s="96"/>
    </row>
    <row r="2226" spans="1:19">
      <c r="A2226" s="95" t="s">
        <v>4247</v>
      </c>
      <c r="B2226" s="96" t="str">
        <f>IFERROR(VLOOKUP(Proc[[#This Row],[App]],Table2[],3,0),"open")</f>
        <v>open</v>
      </c>
      <c r="C2226" s="95" t="s">
        <v>370</v>
      </c>
      <c r="D2226" t="s">
        <v>4564</v>
      </c>
      <c r="E2226" t="s">
        <v>4575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/>
      <c r="O2226" s="93"/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0</v>
      </c>
      <c r="R2226" s="92" t="s">
        <v>1044</v>
      </c>
      <c r="S2226" s="96"/>
    </row>
    <row r="2227" spans="1:19">
      <c r="A2227" s="95" t="s">
        <v>4247</v>
      </c>
      <c r="B2227" s="96" t="str">
        <f>IFERROR(VLOOKUP(Proc[[#This Row],[App]],Table2[],3,0),"open")</f>
        <v>open</v>
      </c>
      <c r="C2227" s="95" t="s">
        <v>370</v>
      </c>
      <c r="D2227" t="s">
        <v>4565</v>
      </c>
      <c r="E2227" t="s">
        <v>4575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/>
      <c r="O2227" s="93"/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0</v>
      </c>
      <c r="R2227" s="92" t="s">
        <v>1044</v>
      </c>
      <c r="S2227" s="96"/>
    </row>
    <row r="2228" spans="1:19">
      <c r="A2228" s="95" t="s">
        <v>4247</v>
      </c>
      <c r="B2228" s="96" t="str">
        <f>IFERROR(VLOOKUP(Proc[[#This Row],[App]],Table2[],3,0),"open")</f>
        <v>open</v>
      </c>
      <c r="C2228" s="95" t="s">
        <v>370</v>
      </c>
      <c r="D2228" t="s">
        <v>4566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/>
      <c r="O2228" s="93"/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0</v>
      </c>
      <c r="R2228" s="92" t="s">
        <v>1044</v>
      </c>
      <c r="S2228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4567</v>
      </c>
      <c r="B1" t="str">
        <f>LEFT(A1,10)</f>
        <v>H000002302</v>
      </c>
    </row>
    <row r="2" spans="1:2">
      <c r="A2" t="s">
        <v>4568</v>
      </c>
      <c r="B2" s="95" t="str">
        <f t="shared" ref="B2:B65" si="0">LEFT(A2,10)</f>
        <v>H000002337</v>
      </c>
    </row>
    <row r="3" spans="1:2">
      <c r="A3" t="s">
        <v>4569</v>
      </c>
      <c r="B3" s="95" t="str">
        <f t="shared" si="0"/>
        <v>H000003613</v>
      </c>
    </row>
    <row r="4" spans="1:2">
      <c r="A4" t="s">
        <v>4569</v>
      </c>
      <c r="B4" s="95" t="str">
        <f t="shared" si="0"/>
        <v>H000003613</v>
      </c>
    </row>
    <row r="5" spans="1:2">
      <c r="A5" t="s">
        <v>4569</v>
      </c>
      <c r="B5" s="95" t="str">
        <f t="shared" si="0"/>
        <v>H000003613</v>
      </c>
    </row>
    <row r="6" spans="1:2">
      <c r="A6" t="s">
        <v>4569</v>
      </c>
      <c r="B6" s="95" t="str">
        <f t="shared" si="0"/>
        <v>H000003613</v>
      </c>
    </row>
    <row r="7" spans="1:2">
      <c r="A7" t="s">
        <v>4569</v>
      </c>
      <c r="B7" s="95" t="str">
        <f t="shared" si="0"/>
        <v>H000003613</v>
      </c>
    </row>
    <row r="8" spans="1:2">
      <c r="A8" t="s">
        <v>4569</v>
      </c>
      <c r="B8" s="95" t="str">
        <f t="shared" si="0"/>
        <v>H000003613</v>
      </c>
    </row>
    <row r="9" spans="1:2">
      <c r="A9" t="s">
        <v>4569</v>
      </c>
      <c r="B9" s="95" t="str">
        <f t="shared" si="0"/>
        <v>H000003613</v>
      </c>
    </row>
    <row r="10" spans="1:2">
      <c r="A10" t="s">
        <v>4569</v>
      </c>
      <c r="B10" s="95" t="str">
        <f t="shared" si="0"/>
        <v>H000003613</v>
      </c>
    </row>
    <row r="11" spans="1:2">
      <c r="A11" t="s">
        <v>4569</v>
      </c>
      <c r="B11" s="95" t="str">
        <f t="shared" si="0"/>
        <v>H000003613</v>
      </c>
    </row>
    <row r="12" spans="1:2">
      <c r="A12" t="s">
        <v>4569</v>
      </c>
      <c r="B12" s="95" t="str">
        <f t="shared" si="0"/>
        <v>H000003613</v>
      </c>
    </row>
    <row r="13" spans="1:2">
      <c r="A13" t="s">
        <v>4569</v>
      </c>
      <c r="B13" s="95" t="str">
        <f t="shared" si="0"/>
        <v>H000003613</v>
      </c>
    </row>
    <row r="14" spans="1:2">
      <c r="A14" t="s">
        <v>4569</v>
      </c>
      <c r="B14" s="95" t="str">
        <f t="shared" si="0"/>
        <v>H000003613</v>
      </c>
    </row>
    <row r="15" spans="1:2">
      <c r="A15" t="s">
        <v>4569</v>
      </c>
      <c r="B15" s="95" t="str">
        <f t="shared" si="0"/>
        <v>H000003613</v>
      </c>
    </row>
    <row r="16" spans="1:2">
      <c r="A16" t="s">
        <v>4569</v>
      </c>
      <c r="B16" s="95" t="str">
        <f t="shared" si="0"/>
        <v>H000003613</v>
      </c>
    </row>
    <row r="17" spans="1:2">
      <c r="A17" t="s">
        <v>4569</v>
      </c>
      <c r="B17" s="95" t="str">
        <f t="shared" si="0"/>
        <v>H000003613</v>
      </c>
    </row>
    <row r="18" spans="1:2">
      <c r="A18" t="s">
        <v>4569</v>
      </c>
      <c r="B18" s="95" t="str">
        <f t="shared" si="0"/>
        <v>H000003613</v>
      </c>
    </row>
    <row r="19" spans="1:2">
      <c r="A19" t="s">
        <v>4569</v>
      </c>
      <c r="B19" s="95" t="str">
        <f t="shared" si="0"/>
        <v>H000003613</v>
      </c>
    </row>
    <row r="20" spans="1:2">
      <c r="A20" t="s">
        <v>4569</v>
      </c>
      <c r="B20" s="95" t="str">
        <f t="shared" si="0"/>
        <v>H000003613</v>
      </c>
    </row>
    <row r="21" spans="1:2">
      <c r="A21" t="s">
        <v>4569</v>
      </c>
      <c r="B21" s="95" t="str">
        <f t="shared" si="0"/>
        <v>H000003613</v>
      </c>
    </row>
    <row r="22" spans="1:2">
      <c r="A22" t="s">
        <v>4569</v>
      </c>
      <c r="B22" s="95" t="str">
        <f t="shared" si="0"/>
        <v>H000003613</v>
      </c>
    </row>
    <row r="23" spans="1:2">
      <c r="A23" t="s">
        <v>4569</v>
      </c>
      <c r="B23" s="95" t="str">
        <f t="shared" si="0"/>
        <v>H000003613</v>
      </c>
    </row>
    <row r="24" spans="1:2">
      <c r="A24" t="s">
        <v>4569</v>
      </c>
      <c r="B24" s="95" t="str">
        <f t="shared" si="0"/>
        <v>H000003613</v>
      </c>
    </row>
    <row r="25" spans="1:2">
      <c r="A25" t="s">
        <v>4569</v>
      </c>
      <c r="B25" s="95" t="str">
        <f t="shared" si="0"/>
        <v>H000003613</v>
      </c>
    </row>
    <row r="26" spans="1:2">
      <c r="A26" t="s">
        <v>4569</v>
      </c>
      <c r="B26" s="95" t="str">
        <f t="shared" si="0"/>
        <v>H000003613</v>
      </c>
    </row>
    <row r="27" spans="1:2">
      <c r="A27" t="s">
        <v>4569</v>
      </c>
      <c r="B27" s="95" t="str">
        <f t="shared" si="0"/>
        <v>H000003613</v>
      </c>
    </row>
    <row r="28" spans="1:2">
      <c r="A28" t="s">
        <v>4569</v>
      </c>
      <c r="B28" s="95" t="str">
        <f t="shared" si="0"/>
        <v>H000003613</v>
      </c>
    </row>
    <row r="29" spans="1:2">
      <c r="A29" t="s">
        <v>4569</v>
      </c>
      <c r="B29" s="95" t="str">
        <f t="shared" si="0"/>
        <v>H000003613</v>
      </c>
    </row>
    <row r="30" spans="1:2">
      <c r="A30" t="s">
        <v>4569</v>
      </c>
      <c r="B30" s="95" t="str">
        <f t="shared" si="0"/>
        <v>H000003613</v>
      </c>
    </row>
    <row r="31" spans="1:2">
      <c r="A31" t="s">
        <v>4569</v>
      </c>
      <c r="B31" s="95" t="str">
        <f t="shared" si="0"/>
        <v>H000003613</v>
      </c>
    </row>
    <row r="32" spans="1:2">
      <c r="A32" t="s">
        <v>4569</v>
      </c>
      <c r="B32" s="95" t="str">
        <f t="shared" si="0"/>
        <v>H000003613</v>
      </c>
    </row>
    <row r="33" spans="1:2">
      <c r="A33" t="s">
        <v>4569</v>
      </c>
      <c r="B33" s="95" t="str">
        <f t="shared" si="0"/>
        <v>H000003613</v>
      </c>
    </row>
    <row r="34" spans="1:2">
      <c r="A34" t="s">
        <v>4569</v>
      </c>
      <c r="B34" s="95" t="str">
        <f t="shared" si="0"/>
        <v>H000003613</v>
      </c>
    </row>
    <row r="35" spans="1:2">
      <c r="A35" t="s">
        <v>4569</v>
      </c>
      <c r="B35" s="95" t="str">
        <f t="shared" si="0"/>
        <v>H000003613</v>
      </c>
    </row>
    <row r="36" spans="1:2">
      <c r="A36" t="s">
        <v>4569</v>
      </c>
      <c r="B36" s="95" t="str">
        <f t="shared" si="0"/>
        <v>H000003613</v>
      </c>
    </row>
    <row r="37" spans="1:2">
      <c r="A37" t="s">
        <v>4569</v>
      </c>
      <c r="B37" s="95" t="str">
        <f t="shared" si="0"/>
        <v>H000003613</v>
      </c>
    </row>
    <row r="38" spans="1:2">
      <c r="A38" t="s">
        <v>4569</v>
      </c>
      <c r="B38" s="95" t="str">
        <f t="shared" si="0"/>
        <v>H000003613</v>
      </c>
    </row>
    <row r="39" spans="1:2">
      <c r="A39" t="s">
        <v>4569</v>
      </c>
      <c r="B39" s="95" t="str">
        <f t="shared" si="0"/>
        <v>H000003613</v>
      </c>
    </row>
    <row r="40" spans="1:2">
      <c r="A40" t="s">
        <v>4569</v>
      </c>
      <c r="B40" s="95" t="str">
        <f t="shared" si="0"/>
        <v>H000003613</v>
      </c>
    </row>
    <row r="41" spans="1:2">
      <c r="A41" t="s">
        <v>4569</v>
      </c>
      <c r="B41" s="95" t="str">
        <f t="shared" si="0"/>
        <v>H000003613</v>
      </c>
    </row>
    <row r="42" spans="1:2">
      <c r="A42" t="s">
        <v>4569</v>
      </c>
      <c r="B42" s="95" t="str">
        <f t="shared" si="0"/>
        <v>H000003613</v>
      </c>
    </row>
    <row r="43" spans="1:2">
      <c r="A43" t="s">
        <v>4569</v>
      </c>
      <c r="B43" s="95" t="str">
        <f t="shared" si="0"/>
        <v>H000003613</v>
      </c>
    </row>
    <row r="44" spans="1:2">
      <c r="A44" t="s">
        <v>4569</v>
      </c>
      <c r="B44" s="95" t="str">
        <f t="shared" si="0"/>
        <v>H000003613</v>
      </c>
    </row>
    <row r="45" spans="1:2">
      <c r="A45" t="s">
        <v>4569</v>
      </c>
      <c r="B45" s="95" t="str">
        <f t="shared" si="0"/>
        <v>H000003613</v>
      </c>
    </row>
    <row r="46" spans="1:2">
      <c r="A46" t="s">
        <v>4569</v>
      </c>
      <c r="B46" s="95" t="str">
        <f t="shared" si="0"/>
        <v>H000003613</v>
      </c>
    </row>
    <row r="47" spans="1:2">
      <c r="A47" t="s">
        <v>4569</v>
      </c>
      <c r="B47" s="95" t="str">
        <f t="shared" si="0"/>
        <v>H000003613</v>
      </c>
    </row>
    <row r="48" spans="1:2">
      <c r="A48" t="s">
        <v>4569</v>
      </c>
      <c r="B48" s="95" t="str">
        <f t="shared" si="0"/>
        <v>H000003613</v>
      </c>
    </row>
    <row r="49" spans="1:2">
      <c r="A49" t="s">
        <v>4569</v>
      </c>
      <c r="B49" s="95" t="str">
        <f t="shared" si="0"/>
        <v>H000003613</v>
      </c>
    </row>
    <row r="50" spans="1:2">
      <c r="A50" t="s">
        <v>4567</v>
      </c>
      <c r="B50" s="95" t="str">
        <f t="shared" si="0"/>
        <v>H000002302</v>
      </c>
    </row>
    <row r="51" spans="1:2">
      <c r="A51" t="s">
        <v>4568</v>
      </c>
      <c r="B51" s="95" t="str">
        <f t="shared" si="0"/>
        <v>H000002337</v>
      </c>
    </row>
    <row r="52" spans="1:2">
      <c r="A52" t="s">
        <v>4569</v>
      </c>
      <c r="B52" s="95" t="str">
        <f t="shared" si="0"/>
        <v>H000003613</v>
      </c>
    </row>
    <row r="53" spans="1:2">
      <c r="A53" t="s">
        <v>4569</v>
      </c>
      <c r="B53" s="95" t="str">
        <f t="shared" si="0"/>
        <v>H000003613</v>
      </c>
    </row>
    <row r="54" spans="1:2">
      <c r="A54" t="s">
        <v>4569</v>
      </c>
      <c r="B54" s="95" t="str">
        <f t="shared" si="0"/>
        <v>H000003613</v>
      </c>
    </row>
    <row r="55" spans="1:2">
      <c r="A55" t="s">
        <v>4569</v>
      </c>
      <c r="B55" s="95" t="str">
        <f t="shared" si="0"/>
        <v>H000003613</v>
      </c>
    </row>
    <row r="56" spans="1:2">
      <c r="A56" t="s">
        <v>4569</v>
      </c>
      <c r="B56" s="95" t="str">
        <f t="shared" si="0"/>
        <v>H000003613</v>
      </c>
    </row>
    <row r="57" spans="1:2">
      <c r="A57" t="s">
        <v>4569</v>
      </c>
      <c r="B57" s="95" t="str">
        <f t="shared" si="0"/>
        <v>H000003613</v>
      </c>
    </row>
    <row r="58" spans="1:2">
      <c r="A58" t="s">
        <v>4569</v>
      </c>
      <c r="B58" s="95" t="str">
        <f t="shared" si="0"/>
        <v>H000003613</v>
      </c>
    </row>
    <row r="59" spans="1:2">
      <c r="A59" t="s">
        <v>4569</v>
      </c>
      <c r="B59" s="95" t="str">
        <f t="shared" si="0"/>
        <v>H000003613</v>
      </c>
    </row>
    <row r="60" spans="1:2">
      <c r="A60" t="s">
        <v>4569</v>
      </c>
      <c r="B60" s="95" t="str">
        <f t="shared" si="0"/>
        <v>H000003613</v>
      </c>
    </row>
    <row r="61" spans="1:2">
      <c r="A61" t="s">
        <v>4569</v>
      </c>
      <c r="B61" s="95" t="str">
        <f t="shared" si="0"/>
        <v>H000003613</v>
      </c>
    </row>
    <row r="62" spans="1:2">
      <c r="A62" t="s">
        <v>4569</v>
      </c>
      <c r="B62" s="95" t="str">
        <f t="shared" si="0"/>
        <v>H000003613</v>
      </c>
    </row>
    <row r="63" spans="1:2">
      <c r="A63" t="s">
        <v>4569</v>
      </c>
      <c r="B63" s="95" t="str">
        <f t="shared" si="0"/>
        <v>H000003613</v>
      </c>
    </row>
    <row r="64" spans="1:2">
      <c r="A64" t="s">
        <v>4569</v>
      </c>
      <c r="B64" s="95" t="str">
        <f t="shared" si="0"/>
        <v>H000003613</v>
      </c>
    </row>
    <row r="65" spans="1:2">
      <c r="A65" t="s">
        <v>4569</v>
      </c>
      <c r="B65" s="95" t="str">
        <f t="shared" si="0"/>
        <v>H000003613</v>
      </c>
    </row>
    <row r="66" spans="1:2">
      <c r="A66" t="s">
        <v>4569</v>
      </c>
      <c r="B66" s="95" t="str">
        <f t="shared" ref="B66:B129" si="1">LEFT(A66,10)</f>
        <v>H000003613</v>
      </c>
    </row>
    <row r="67" spans="1:2">
      <c r="A67" t="s">
        <v>4569</v>
      </c>
      <c r="B67" s="95" t="str">
        <f t="shared" si="1"/>
        <v>H000003613</v>
      </c>
    </row>
    <row r="68" spans="1:2">
      <c r="A68" t="s">
        <v>4569</v>
      </c>
      <c r="B68" s="95" t="str">
        <f t="shared" si="1"/>
        <v>H000003613</v>
      </c>
    </row>
    <row r="69" spans="1:2">
      <c r="A69" t="s">
        <v>4569</v>
      </c>
      <c r="B69" s="95" t="str">
        <f t="shared" si="1"/>
        <v>H000003613</v>
      </c>
    </row>
    <row r="70" spans="1:2">
      <c r="A70" t="s">
        <v>4569</v>
      </c>
      <c r="B70" s="95" t="str">
        <f t="shared" si="1"/>
        <v>H000003613</v>
      </c>
    </row>
    <row r="71" spans="1:2">
      <c r="A71" t="s">
        <v>4569</v>
      </c>
      <c r="B71" s="95" t="str">
        <f t="shared" si="1"/>
        <v>H000003613</v>
      </c>
    </row>
    <row r="72" spans="1:2">
      <c r="A72" t="s">
        <v>4569</v>
      </c>
      <c r="B72" s="95" t="str">
        <f t="shared" si="1"/>
        <v>H000003613</v>
      </c>
    </row>
    <row r="73" spans="1:2">
      <c r="A73" t="s">
        <v>4569</v>
      </c>
      <c r="B73" s="95" t="str">
        <f t="shared" si="1"/>
        <v>H000003613</v>
      </c>
    </row>
    <row r="74" spans="1:2">
      <c r="A74" t="s">
        <v>4569</v>
      </c>
      <c r="B74" s="95" t="str">
        <f t="shared" si="1"/>
        <v>H000003613</v>
      </c>
    </row>
    <row r="75" spans="1:2">
      <c r="A75" t="s">
        <v>4569</v>
      </c>
      <c r="B75" s="95" t="str">
        <f t="shared" si="1"/>
        <v>H000003613</v>
      </c>
    </row>
    <row r="76" spans="1:2">
      <c r="A76" t="s">
        <v>4569</v>
      </c>
      <c r="B76" s="95" t="str">
        <f t="shared" si="1"/>
        <v>H000003613</v>
      </c>
    </row>
    <row r="77" spans="1:2">
      <c r="A77" t="s">
        <v>4569</v>
      </c>
      <c r="B77" s="95" t="str">
        <f t="shared" si="1"/>
        <v>H000003613</v>
      </c>
    </row>
    <row r="78" spans="1:2">
      <c r="A78" t="s">
        <v>4569</v>
      </c>
      <c r="B78" s="95" t="str">
        <f t="shared" si="1"/>
        <v>H000003613</v>
      </c>
    </row>
    <row r="79" spans="1:2">
      <c r="A79" t="s">
        <v>4569</v>
      </c>
      <c r="B79" s="95" t="str">
        <f t="shared" si="1"/>
        <v>H000003613</v>
      </c>
    </row>
    <row r="80" spans="1:2">
      <c r="A80" t="s">
        <v>4569</v>
      </c>
      <c r="B80" s="95" t="str">
        <f t="shared" si="1"/>
        <v>H000003613</v>
      </c>
    </row>
    <row r="81" spans="1:2">
      <c r="A81" t="s">
        <v>4569</v>
      </c>
      <c r="B81" s="95" t="str">
        <f t="shared" si="1"/>
        <v>H000003613</v>
      </c>
    </row>
    <row r="82" spans="1:2">
      <c r="A82" t="s">
        <v>4569</v>
      </c>
      <c r="B82" s="95" t="str">
        <f t="shared" si="1"/>
        <v>H000003613</v>
      </c>
    </row>
    <row r="83" spans="1:2">
      <c r="A83" t="s">
        <v>4569</v>
      </c>
      <c r="B83" s="95" t="str">
        <f t="shared" si="1"/>
        <v>H000003613</v>
      </c>
    </row>
    <row r="84" spans="1:2">
      <c r="A84" t="s">
        <v>4570</v>
      </c>
      <c r="B84" s="95" t="str">
        <f t="shared" si="1"/>
        <v>H000003640</v>
      </c>
    </row>
    <row r="85" spans="1:2">
      <c r="A85" t="s">
        <v>4570</v>
      </c>
      <c r="B85" s="95" t="str">
        <f t="shared" si="1"/>
        <v>H000003640</v>
      </c>
    </row>
    <row r="86" spans="1:2">
      <c r="A86" t="s">
        <v>4570</v>
      </c>
      <c r="B86" s="95" t="str">
        <f t="shared" si="1"/>
        <v>H000003640</v>
      </c>
    </row>
    <row r="87" spans="1:2">
      <c r="A87" t="s">
        <v>4569</v>
      </c>
      <c r="B87" s="95" t="str">
        <f t="shared" si="1"/>
        <v>H000003613</v>
      </c>
    </row>
    <row r="88" spans="1:2">
      <c r="A88" t="s">
        <v>4569</v>
      </c>
      <c r="B88" s="95" t="str">
        <f t="shared" si="1"/>
        <v>H000003613</v>
      </c>
    </row>
    <row r="89" spans="1:2">
      <c r="A89" t="s">
        <v>4569</v>
      </c>
      <c r="B89" s="95" t="str">
        <f t="shared" si="1"/>
        <v>H000003613</v>
      </c>
    </row>
    <row r="90" spans="1:2">
      <c r="A90" t="s">
        <v>4569</v>
      </c>
      <c r="B90" s="95" t="str">
        <f t="shared" si="1"/>
        <v>H000003613</v>
      </c>
    </row>
    <row r="91" spans="1:2">
      <c r="A91" t="s">
        <v>4569</v>
      </c>
      <c r="B91" s="95" t="str">
        <f t="shared" si="1"/>
        <v>H000003613</v>
      </c>
    </row>
    <row r="92" spans="1:2">
      <c r="A92" t="s">
        <v>4569</v>
      </c>
      <c r="B92" s="95" t="str">
        <f t="shared" si="1"/>
        <v>H000003613</v>
      </c>
    </row>
    <row r="93" spans="1:2">
      <c r="A93" t="s">
        <v>4570</v>
      </c>
      <c r="B93" s="95" t="str">
        <f t="shared" si="1"/>
        <v>H000003640</v>
      </c>
    </row>
    <row r="94" spans="1:2">
      <c r="A94" t="s">
        <v>4569</v>
      </c>
      <c r="B94" s="95" t="str">
        <f t="shared" si="1"/>
        <v>H000003613</v>
      </c>
    </row>
    <row r="95" spans="1:2">
      <c r="A95" t="s">
        <v>4569</v>
      </c>
      <c r="B95" s="95" t="str">
        <f t="shared" si="1"/>
        <v>H000003613</v>
      </c>
    </row>
    <row r="96" spans="1:2">
      <c r="A96" t="s">
        <v>4569</v>
      </c>
      <c r="B96" s="95" t="str">
        <f t="shared" si="1"/>
        <v>H000003613</v>
      </c>
    </row>
    <row r="97" spans="1:2">
      <c r="A97" t="s">
        <v>4569</v>
      </c>
      <c r="B97" s="95" t="str">
        <f t="shared" si="1"/>
        <v>H000003613</v>
      </c>
    </row>
    <row r="98" spans="1:2">
      <c r="A98" t="s">
        <v>4569</v>
      </c>
      <c r="B98" s="95" t="str">
        <f t="shared" si="1"/>
        <v>H000003613</v>
      </c>
    </row>
    <row r="99" spans="1:2">
      <c r="A99" t="s">
        <v>4569</v>
      </c>
      <c r="B99" s="95" t="str">
        <f t="shared" si="1"/>
        <v>H000003613</v>
      </c>
    </row>
    <row r="100" spans="1:2">
      <c r="A100" t="s">
        <v>4569</v>
      </c>
      <c r="B100" s="95" t="str">
        <f t="shared" si="1"/>
        <v>H000003613</v>
      </c>
    </row>
    <row r="101" spans="1:2">
      <c r="A101" t="s">
        <v>4569</v>
      </c>
      <c r="B101" s="95" t="str">
        <f t="shared" si="1"/>
        <v>H000003613</v>
      </c>
    </row>
    <row r="102" spans="1:2">
      <c r="A102" t="s">
        <v>4569</v>
      </c>
      <c r="B102" s="95" t="str">
        <f t="shared" si="1"/>
        <v>H000003613</v>
      </c>
    </row>
    <row r="103" spans="1:2">
      <c r="A103" t="s">
        <v>4569</v>
      </c>
      <c r="B103" s="95" t="str">
        <f t="shared" si="1"/>
        <v>H000003613</v>
      </c>
    </row>
    <row r="104" spans="1:2">
      <c r="A104" t="s">
        <v>4569</v>
      </c>
      <c r="B104" s="95" t="str">
        <f t="shared" si="1"/>
        <v>H000003613</v>
      </c>
    </row>
    <row r="105" spans="1:2">
      <c r="A105" t="s">
        <v>4570</v>
      </c>
      <c r="B105" s="95" t="str">
        <f t="shared" si="1"/>
        <v>H000003640</v>
      </c>
    </row>
    <row r="106" spans="1:2">
      <c r="A106" t="s">
        <v>4569</v>
      </c>
      <c r="B106" s="95" t="str">
        <f t="shared" si="1"/>
        <v>H000003613</v>
      </c>
    </row>
    <row r="107" spans="1:2">
      <c r="A107" t="s">
        <v>4570</v>
      </c>
      <c r="B107" s="95" t="str">
        <f t="shared" si="1"/>
        <v>H000003640</v>
      </c>
    </row>
    <row r="108" spans="1:2">
      <c r="A108" t="s">
        <v>4569</v>
      </c>
      <c r="B108" s="95" t="str">
        <f t="shared" si="1"/>
        <v>H000003613</v>
      </c>
    </row>
    <row r="109" spans="1:2">
      <c r="A109" t="s">
        <v>4569</v>
      </c>
      <c r="B109" s="95" t="str">
        <f t="shared" si="1"/>
        <v>H000003613</v>
      </c>
    </row>
    <row r="110" spans="1:2">
      <c r="A110" t="s">
        <v>4569</v>
      </c>
      <c r="B110" s="95" t="str">
        <f t="shared" si="1"/>
        <v>H000003613</v>
      </c>
    </row>
    <row r="111" spans="1:2">
      <c r="A111" t="s">
        <v>4569</v>
      </c>
      <c r="B111" s="95" t="str">
        <f t="shared" si="1"/>
        <v>H000003613</v>
      </c>
    </row>
    <row r="112" spans="1:2">
      <c r="A112" t="s">
        <v>4569</v>
      </c>
      <c r="B112" s="95" t="str">
        <f t="shared" si="1"/>
        <v>H000003613</v>
      </c>
    </row>
    <row r="113" spans="1:2">
      <c r="A113" t="s">
        <v>4569</v>
      </c>
      <c r="B113" s="95" t="str">
        <f t="shared" si="1"/>
        <v>H000003613</v>
      </c>
    </row>
    <row r="114" spans="1:2">
      <c r="A114" t="s">
        <v>4569</v>
      </c>
      <c r="B114" s="95" t="str">
        <f t="shared" si="1"/>
        <v>H000003613</v>
      </c>
    </row>
    <row r="115" spans="1:2">
      <c r="A115" t="s">
        <v>4569</v>
      </c>
      <c r="B115" s="95" t="str">
        <f t="shared" si="1"/>
        <v>H000003613</v>
      </c>
    </row>
    <row r="116" spans="1:2">
      <c r="A116" t="s">
        <v>4569</v>
      </c>
      <c r="B116" s="95" t="str">
        <f t="shared" si="1"/>
        <v>H000003613</v>
      </c>
    </row>
    <row r="117" spans="1:2">
      <c r="A117" t="s">
        <v>4569</v>
      </c>
      <c r="B117" s="95" t="str">
        <f t="shared" si="1"/>
        <v>H000003613</v>
      </c>
    </row>
    <row r="118" spans="1:2">
      <c r="A118" t="s">
        <v>4569</v>
      </c>
      <c r="B118" s="95" t="str">
        <f t="shared" si="1"/>
        <v>H000003613</v>
      </c>
    </row>
    <row r="119" spans="1:2">
      <c r="A119" t="s">
        <v>4569</v>
      </c>
      <c r="B119" s="95" t="str">
        <f t="shared" si="1"/>
        <v>H000003613</v>
      </c>
    </row>
    <row r="120" spans="1:2">
      <c r="A120" t="s">
        <v>4569</v>
      </c>
      <c r="B120" s="95" t="str">
        <f t="shared" si="1"/>
        <v>H000003613</v>
      </c>
    </row>
    <row r="121" spans="1:2">
      <c r="A121" t="s">
        <v>4569</v>
      </c>
      <c r="B121" s="95" t="str">
        <f t="shared" si="1"/>
        <v>H000003613</v>
      </c>
    </row>
    <row r="122" spans="1:2">
      <c r="A122" t="s">
        <v>4569</v>
      </c>
      <c r="B122" s="95" t="str">
        <f t="shared" si="1"/>
        <v>H000003613</v>
      </c>
    </row>
    <row r="123" spans="1:2">
      <c r="A123" t="s">
        <v>4569</v>
      </c>
      <c r="B123" s="95" t="str">
        <f t="shared" si="1"/>
        <v>H000003613</v>
      </c>
    </row>
    <row r="124" spans="1:2">
      <c r="A124" t="s">
        <v>4569</v>
      </c>
      <c r="B124" s="95" t="str">
        <f t="shared" si="1"/>
        <v>H000003613</v>
      </c>
    </row>
    <row r="125" spans="1:2">
      <c r="A125" t="s">
        <v>4569</v>
      </c>
      <c r="B125" s="95" t="str">
        <f t="shared" si="1"/>
        <v>H000003613</v>
      </c>
    </row>
    <row r="126" spans="1:2">
      <c r="A126" t="s">
        <v>4569</v>
      </c>
      <c r="B126" s="95" t="str">
        <f t="shared" si="1"/>
        <v>H000003613</v>
      </c>
    </row>
    <row r="127" spans="1:2">
      <c r="A127" t="s">
        <v>4569</v>
      </c>
      <c r="B127" s="95" t="str">
        <f t="shared" si="1"/>
        <v>H000003613</v>
      </c>
    </row>
    <row r="128" spans="1:2">
      <c r="A128" t="s">
        <v>4569</v>
      </c>
      <c r="B128" s="95" t="str">
        <f t="shared" si="1"/>
        <v>H000003613</v>
      </c>
    </row>
    <row r="129" spans="1:2">
      <c r="A129" t="s">
        <v>4569</v>
      </c>
      <c r="B129" s="95" t="str">
        <f t="shared" si="1"/>
        <v>H000003613</v>
      </c>
    </row>
    <row r="130" spans="1:2">
      <c r="A130" t="s">
        <v>4569</v>
      </c>
      <c r="B130" s="95" t="str">
        <f t="shared" ref="B130:B193" si="2">LEFT(A130,10)</f>
        <v>H000003613</v>
      </c>
    </row>
    <row r="131" spans="1:2">
      <c r="A131" t="s">
        <v>4569</v>
      </c>
      <c r="B131" s="95" t="str">
        <f t="shared" si="2"/>
        <v>H000003613</v>
      </c>
    </row>
    <row r="132" spans="1:2">
      <c r="A132" t="s">
        <v>4569</v>
      </c>
      <c r="B132" s="95" t="str">
        <f t="shared" si="2"/>
        <v>H000003613</v>
      </c>
    </row>
    <row r="133" spans="1:2">
      <c r="A133" t="s">
        <v>4569</v>
      </c>
      <c r="B133" s="95" t="str">
        <f t="shared" si="2"/>
        <v>H000003613</v>
      </c>
    </row>
    <row r="134" spans="1:2">
      <c r="A134" t="s">
        <v>4569</v>
      </c>
      <c r="B134" s="95" t="str">
        <f t="shared" si="2"/>
        <v>H000003613</v>
      </c>
    </row>
    <row r="135" spans="1:2">
      <c r="A135" t="s">
        <v>4570</v>
      </c>
      <c r="B135" s="95" t="str">
        <f t="shared" si="2"/>
        <v>H000003640</v>
      </c>
    </row>
    <row r="136" spans="1:2">
      <c r="A136" t="s">
        <v>4570</v>
      </c>
      <c r="B136" s="95" t="str">
        <f t="shared" si="2"/>
        <v>H000003640</v>
      </c>
    </row>
    <row r="137" spans="1:2">
      <c r="A137" t="s">
        <v>4569</v>
      </c>
      <c r="B137" s="95" t="str">
        <f t="shared" si="2"/>
        <v>H000003613</v>
      </c>
    </row>
    <row r="138" spans="1:2">
      <c r="A138" t="s">
        <v>4569</v>
      </c>
      <c r="B138" s="95" t="str">
        <f t="shared" si="2"/>
        <v>H000003613</v>
      </c>
    </row>
    <row r="139" spans="1:2">
      <c r="A139" t="s">
        <v>4569</v>
      </c>
      <c r="B139" s="95" t="str">
        <f t="shared" si="2"/>
        <v>H000003613</v>
      </c>
    </row>
    <row r="140" spans="1:2">
      <c r="A140" t="s">
        <v>4569</v>
      </c>
      <c r="B140" s="95" t="str">
        <f t="shared" si="2"/>
        <v>H000003613</v>
      </c>
    </row>
    <row r="141" spans="1:2">
      <c r="A141" t="s">
        <v>4569</v>
      </c>
      <c r="B141" s="95" t="str">
        <f t="shared" si="2"/>
        <v>H000003613</v>
      </c>
    </row>
    <row r="142" spans="1:2">
      <c r="A142" t="s">
        <v>4569</v>
      </c>
      <c r="B142" s="95" t="str">
        <f t="shared" si="2"/>
        <v>H000003613</v>
      </c>
    </row>
    <row r="143" spans="1:2">
      <c r="A143" t="s">
        <v>4569</v>
      </c>
      <c r="B143" s="95" t="str">
        <f t="shared" si="2"/>
        <v>H000003613</v>
      </c>
    </row>
    <row r="144" spans="1:2">
      <c r="A144" t="s">
        <v>4569</v>
      </c>
      <c r="B144" s="95" t="str">
        <f t="shared" si="2"/>
        <v>H000003613</v>
      </c>
    </row>
    <row r="145" spans="1:2">
      <c r="A145" t="s">
        <v>4569</v>
      </c>
      <c r="B145" s="95" t="str">
        <f t="shared" si="2"/>
        <v>H000003613</v>
      </c>
    </row>
    <row r="146" spans="1:2">
      <c r="A146" t="s">
        <v>4569</v>
      </c>
      <c r="B146" s="95" t="str">
        <f t="shared" si="2"/>
        <v>H000003613</v>
      </c>
    </row>
    <row r="147" spans="1:2">
      <c r="A147" t="s">
        <v>4569</v>
      </c>
      <c r="B147" s="95" t="str">
        <f t="shared" si="2"/>
        <v>H000003613</v>
      </c>
    </row>
    <row r="148" spans="1:2">
      <c r="A148" t="s">
        <v>4569</v>
      </c>
      <c r="B148" s="95" t="str">
        <f t="shared" si="2"/>
        <v>H000003613</v>
      </c>
    </row>
    <row r="149" spans="1:2">
      <c r="A149" t="s">
        <v>4569</v>
      </c>
      <c r="B149" s="95" t="str">
        <f t="shared" si="2"/>
        <v>H000003613</v>
      </c>
    </row>
    <row r="150" spans="1:2">
      <c r="A150" t="s">
        <v>4569</v>
      </c>
      <c r="B150" s="95" t="str">
        <f t="shared" si="2"/>
        <v>H000003613</v>
      </c>
    </row>
    <row r="151" spans="1:2">
      <c r="A151" t="s">
        <v>4569</v>
      </c>
      <c r="B151" s="95" t="str">
        <f t="shared" si="2"/>
        <v>H000003613</v>
      </c>
    </row>
    <row r="152" spans="1:2">
      <c r="A152" t="s">
        <v>4569</v>
      </c>
      <c r="B152" s="95" t="str">
        <f t="shared" si="2"/>
        <v>H000003613</v>
      </c>
    </row>
    <row r="153" spans="1:2">
      <c r="A153" t="s">
        <v>4569</v>
      </c>
      <c r="B153" s="95" t="str">
        <f t="shared" si="2"/>
        <v>H000003613</v>
      </c>
    </row>
    <row r="154" spans="1:2">
      <c r="A154" t="s">
        <v>4569</v>
      </c>
      <c r="B154" s="95" t="str">
        <f t="shared" si="2"/>
        <v>H000003613</v>
      </c>
    </row>
    <row r="155" spans="1:2">
      <c r="A155" t="s">
        <v>4569</v>
      </c>
      <c r="B155" s="95" t="str">
        <f t="shared" si="2"/>
        <v>H000003613</v>
      </c>
    </row>
    <row r="156" spans="1:2">
      <c r="A156" t="s">
        <v>4569</v>
      </c>
      <c r="B156" s="95" t="str">
        <f t="shared" si="2"/>
        <v>H000003613</v>
      </c>
    </row>
    <row r="157" spans="1:2">
      <c r="A157" t="s">
        <v>4569</v>
      </c>
      <c r="B157" s="95" t="str">
        <f t="shared" si="2"/>
        <v>H000003613</v>
      </c>
    </row>
    <row r="158" spans="1:2">
      <c r="A158" t="s">
        <v>4569</v>
      </c>
      <c r="B158" s="95" t="str">
        <f t="shared" si="2"/>
        <v>H000003613</v>
      </c>
    </row>
    <row r="159" spans="1:2">
      <c r="A159" t="s">
        <v>4569</v>
      </c>
      <c r="B159" s="95" t="str">
        <f t="shared" si="2"/>
        <v>H000003613</v>
      </c>
    </row>
    <row r="160" spans="1:2">
      <c r="A160" t="s">
        <v>4569</v>
      </c>
      <c r="B160" s="95" t="str">
        <f t="shared" si="2"/>
        <v>H000003613</v>
      </c>
    </row>
    <row r="161" spans="1:2">
      <c r="A161" t="s">
        <v>4569</v>
      </c>
      <c r="B161" s="95" t="str">
        <f t="shared" si="2"/>
        <v>H000003613</v>
      </c>
    </row>
    <row r="162" spans="1:2">
      <c r="A162" t="s">
        <v>4569</v>
      </c>
      <c r="B162" s="95" t="str">
        <f t="shared" si="2"/>
        <v>H000003613</v>
      </c>
    </row>
    <row r="163" spans="1:2">
      <c r="A163" t="s">
        <v>4569</v>
      </c>
      <c r="B163" s="95" t="str">
        <f t="shared" si="2"/>
        <v>H000003613</v>
      </c>
    </row>
    <row r="164" spans="1:2">
      <c r="A164" t="s">
        <v>4569</v>
      </c>
      <c r="B164" s="95" t="str">
        <f t="shared" si="2"/>
        <v>H000003613</v>
      </c>
    </row>
    <row r="165" spans="1:2">
      <c r="A165" t="s">
        <v>4569</v>
      </c>
      <c r="B165" s="95" t="str">
        <f t="shared" si="2"/>
        <v>H000003613</v>
      </c>
    </row>
    <row r="166" spans="1:2">
      <c r="A166" t="s">
        <v>4569</v>
      </c>
      <c r="B166" s="95" t="str">
        <f t="shared" si="2"/>
        <v>H000003613</v>
      </c>
    </row>
    <row r="167" spans="1:2">
      <c r="A167" t="s">
        <v>4569</v>
      </c>
      <c r="B167" s="95" t="str">
        <f t="shared" si="2"/>
        <v>H000003613</v>
      </c>
    </row>
    <row r="168" spans="1:2">
      <c r="A168" t="s">
        <v>4569</v>
      </c>
      <c r="B168" s="95" t="str">
        <f t="shared" si="2"/>
        <v>H000003613</v>
      </c>
    </row>
    <row r="169" spans="1:2">
      <c r="A169" t="s">
        <v>4569</v>
      </c>
      <c r="B169" s="95" t="str">
        <f t="shared" si="2"/>
        <v>H000003613</v>
      </c>
    </row>
    <row r="170" spans="1:2">
      <c r="A170" t="s">
        <v>4569</v>
      </c>
      <c r="B170" s="95" t="str">
        <f t="shared" si="2"/>
        <v>H000003613</v>
      </c>
    </row>
    <row r="171" spans="1:2">
      <c r="A171" t="s">
        <v>4569</v>
      </c>
      <c r="B171" s="95" t="str">
        <f t="shared" si="2"/>
        <v>H000003613</v>
      </c>
    </row>
    <row r="172" spans="1:2">
      <c r="A172" t="s">
        <v>4569</v>
      </c>
      <c r="B172" s="95" t="str">
        <f t="shared" si="2"/>
        <v>H000003613</v>
      </c>
    </row>
    <row r="173" spans="1:2">
      <c r="A173" t="s">
        <v>4569</v>
      </c>
      <c r="B173" s="95" t="str">
        <f t="shared" si="2"/>
        <v>H000003613</v>
      </c>
    </row>
    <row r="174" spans="1:2">
      <c r="A174" t="s">
        <v>4569</v>
      </c>
      <c r="B174" s="95" t="str">
        <f t="shared" si="2"/>
        <v>H000003613</v>
      </c>
    </row>
    <row r="175" spans="1:2">
      <c r="A175" t="s">
        <v>4569</v>
      </c>
      <c r="B175" s="95" t="str">
        <f t="shared" si="2"/>
        <v>H000003613</v>
      </c>
    </row>
    <row r="176" spans="1:2">
      <c r="A176" t="s">
        <v>4569</v>
      </c>
      <c r="B176" s="95" t="str">
        <f t="shared" si="2"/>
        <v>H000003613</v>
      </c>
    </row>
    <row r="177" spans="1:2">
      <c r="A177" t="s">
        <v>4569</v>
      </c>
      <c r="B177" s="95" t="str">
        <f t="shared" si="2"/>
        <v>H000003613</v>
      </c>
    </row>
    <row r="178" spans="1:2">
      <c r="A178" t="s">
        <v>4569</v>
      </c>
      <c r="B178" s="95" t="str">
        <f t="shared" si="2"/>
        <v>H000003613</v>
      </c>
    </row>
    <row r="179" spans="1:2">
      <c r="A179" t="s">
        <v>4569</v>
      </c>
      <c r="B179" s="95" t="str">
        <f t="shared" si="2"/>
        <v>H000003613</v>
      </c>
    </row>
    <row r="180" spans="1:2">
      <c r="A180" t="s">
        <v>4569</v>
      </c>
      <c r="B180" s="95" t="str">
        <f t="shared" si="2"/>
        <v>H000003613</v>
      </c>
    </row>
    <row r="181" spans="1:2">
      <c r="A181" t="s">
        <v>4569</v>
      </c>
      <c r="B181" s="95" t="str">
        <f t="shared" si="2"/>
        <v>H000003613</v>
      </c>
    </row>
    <row r="182" spans="1:2">
      <c r="A182" t="s">
        <v>4569</v>
      </c>
      <c r="B182" s="95" t="str">
        <f t="shared" si="2"/>
        <v>H000003613</v>
      </c>
    </row>
    <row r="183" spans="1:2">
      <c r="A183" t="s">
        <v>4569</v>
      </c>
      <c r="B183" s="95" t="str">
        <f t="shared" si="2"/>
        <v>H000003613</v>
      </c>
    </row>
    <row r="184" spans="1:2">
      <c r="A184" t="s">
        <v>4569</v>
      </c>
      <c r="B184" s="95" t="str">
        <f t="shared" si="2"/>
        <v>H000003613</v>
      </c>
    </row>
    <row r="185" spans="1:2">
      <c r="A185" t="s">
        <v>4569</v>
      </c>
      <c r="B185" s="95" t="str">
        <f t="shared" si="2"/>
        <v>H000003613</v>
      </c>
    </row>
    <row r="186" spans="1:2">
      <c r="A186" t="s">
        <v>4569</v>
      </c>
      <c r="B186" s="95" t="str">
        <f t="shared" si="2"/>
        <v>H000003613</v>
      </c>
    </row>
    <row r="187" spans="1:2">
      <c r="A187" t="s">
        <v>4569</v>
      </c>
      <c r="B187" s="95" t="str">
        <f t="shared" si="2"/>
        <v>H000003613</v>
      </c>
    </row>
    <row r="188" spans="1:2">
      <c r="A188" t="s">
        <v>4569</v>
      </c>
      <c r="B188" s="95" t="str">
        <f t="shared" si="2"/>
        <v>H000003613</v>
      </c>
    </row>
    <row r="189" spans="1:2">
      <c r="A189" t="s">
        <v>4569</v>
      </c>
      <c r="B189" s="95" t="str">
        <f t="shared" si="2"/>
        <v>H000003613</v>
      </c>
    </row>
    <row r="190" spans="1:2">
      <c r="A190" t="s">
        <v>4569</v>
      </c>
      <c r="B190" s="95" t="str">
        <f t="shared" si="2"/>
        <v>H000003613</v>
      </c>
    </row>
    <row r="191" spans="1:2">
      <c r="A191" t="s">
        <v>4569</v>
      </c>
      <c r="B191" s="95" t="str">
        <f t="shared" si="2"/>
        <v>H000003613</v>
      </c>
    </row>
    <row r="192" spans="1:2">
      <c r="A192" t="s">
        <v>4569</v>
      </c>
      <c r="B192" s="95" t="str">
        <f t="shared" si="2"/>
        <v>H000003613</v>
      </c>
    </row>
    <row r="193" spans="1:2">
      <c r="A193" t="s">
        <v>4569</v>
      </c>
      <c r="B193" s="95" t="str">
        <f t="shared" si="2"/>
        <v>H000003613</v>
      </c>
    </row>
    <row r="194" spans="1:2">
      <c r="A194" t="s">
        <v>4569</v>
      </c>
      <c r="B194" s="95" t="str">
        <f t="shared" ref="B194:B257" si="3">LEFT(A194,10)</f>
        <v>H000003613</v>
      </c>
    </row>
    <row r="195" spans="1:2">
      <c r="A195" t="s">
        <v>4569</v>
      </c>
      <c r="B195" s="95" t="str">
        <f t="shared" si="3"/>
        <v>H000003613</v>
      </c>
    </row>
    <row r="196" spans="1:2">
      <c r="A196" t="s">
        <v>4569</v>
      </c>
      <c r="B196" s="95" t="str">
        <f t="shared" si="3"/>
        <v>H000003613</v>
      </c>
    </row>
    <row r="197" spans="1:2">
      <c r="A197" t="s">
        <v>4569</v>
      </c>
      <c r="B197" s="95" t="str">
        <f t="shared" si="3"/>
        <v>H000003613</v>
      </c>
    </row>
    <row r="198" spans="1:2">
      <c r="A198" t="s">
        <v>4569</v>
      </c>
      <c r="B198" s="95" t="str">
        <f t="shared" si="3"/>
        <v>H000003613</v>
      </c>
    </row>
    <row r="199" spans="1:2">
      <c r="A199" t="s">
        <v>4569</v>
      </c>
      <c r="B199" s="95" t="str">
        <f t="shared" si="3"/>
        <v>H000003613</v>
      </c>
    </row>
    <row r="200" spans="1:2">
      <c r="A200" t="s">
        <v>4569</v>
      </c>
      <c r="B200" s="95" t="str">
        <f t="shared" si="3"/>
        <v>H000003613</v>
      </c>
    </row>
    <row r="201" spans="1:2">
      <c r="A201" t="s">
        <v>4570</v>
      </c>
      <c r="B201" s="95" t="str">
        <f t="shared" si="3"/>
        <v>H000003640</v>
      </c>
    </row>
    <row r="202" spans="1:2">
      <c r="A202" t="s">
        <v>4569</v>
      </c>
      <c r="B202" s="95" t="str">
        <f t="shared" si="3"/>
        <v>H000003613</v>
      </c>
    </row>
    <row r="203" spans="1:2">
      <c r="A203" t="s">
        <v>4569</v>
      </c>
      <c r="B203" s="95" t="str">
        <f t="shared" si="3"/>
        <v>H000003613</v>
      </c>
    </row>
    <row r="204" spans="1:2">
      <c r="A204" t="s">
        <v>4569</v>
      </c>
      <c r="B204" s="95" t="str">
        <f t="shared" si="3"/>
        <v>H000003613</v>
      </c>
    </row>
    <row r="205" spans="1:2">
      <c r="A205" t="s">
        <v>4569</v>
      </c>
      <c r="B205" s="95" t="str">
        <f t="shared" si="3"/>
        <v>H000003613</v>
      </c>
    </row>
    <row r="206" spans="1:2">
      <c r="A206" t="s">
        <v>4569</v>
      </c>
      <c r="B206" s="95" t="str">
        <f t="shared" si="3"/>
        <v>H000003613</v>
      </c>
    </row>
    <row r="207" spans="1:2">
      <c r="A207" t="s">
        <v>4570</v>
      </c>
      <c r="B207" s="95" t="str">
        <f t="shared" si="3"/>
        <v>H000003640</v>
      </c>
    </row>
    <row r="208" spans="1:2">
      <c r="A208" t="s">
        <v>4571</v>
      </c>
      <c r="B208" s="95" t="str">
        <f t="shared" si="3"/>
        <v>H000003640</v>
      </c>
    </row>
    <row r="209" spans="1:2">
      <c r="A209" t="s">
        <v>4571</v>
      </c>
      <c r="B209" s="95" t="str">
        <f t="shared" si="3"/>
        <v>H000003640</v>
      </c>
    </row>
    <row r="210" spans="1:2">
      <c r="A210" t="s">
        <v>4572</v>
      </c>
      <c r="B210" s="95" t="str">
        <f t="shared" si="3"/>
        <v>H000003615</v>
      </c>
    </row>
    <row r="211" spans="1:2">
      <c r="A211" t="s">
        <v>4569</v>
      </c>
      <c r="B211" s="95" t="str">
        <f t="shared" si="3"/>
        <v>H000003613</v>
      </c>
    </row>
    <row r="212" spans="1:2">
      <c r="A212" t="s">
        <v>4569</v>
      </c>
      <c r="B212" s="95" t="str">
        <f t="shared" si="3"/>
        <v>H000003613</v>
      </c>
    </row>
    <row r="213" spans="1:2">
      <c r="A213" t="s">
        <v>4569</v>
      </c>
      <c r="B213" s="95" t="str">
        <f t="shared" si="3"/>
        <v>H000003613</v>
      </c>
    </row>
    <row r="214" spans="1:2">
      <c r="A214" t="s">
        <v>4569</v>
      </c>
      <c r="B214" s="95" t="str">
        <f t="shared" si="3"/>
        <v>H000003613</v>
      </c>
    </row>
    <row r="215" spans="1:2">
      <c r="A215" t="s">
        <v>4569</v>
      </c>
      <c r="B215" s="95" t="str">
        <f t="shared" si="3"/>
        <v>H000003613</v>
      </c>
    </row>
    <row r="216" spans="1:2">
      <c r="A216" t="s">
        <v>4569</v>
      </c>
      <c r="B216" s="95" t="str">
        <f t="shared" si="3"/>
        <v>H000003613</v>
      </c>
    </row>
    <row r="217" spans="1:2">
      <c r="A217" t="s">
        <v>4569</v>
      </c>
      <c r="B217" s="95" t="str">
        <f t="shared" si="3"/>
        <v>H000003613</v>
      </c>
    </row>
    <row r="218" spans="1:2">
      <c r="A218" t="s">
        <v>4569</v>
      </c>
      <c r="B218" s="95" t="str">
        <f t="shared" si="3"/>
        <v>H000003613</v>
      </c>
    </row>
    <row r="219" spans="1:2">
      <c r="A219" t="s">
        <v>4569</v>
      </c>
      <c r="B219" s="95" t="str">
        <f t="shared" si="3"/>
        <v>H000003613</v>
      </c>
    </row>
    <row r="220" spans="1:2">
      <c r="A220" t="s">
        <v>4569</v>
      </c>
      <c r="B220" s="95" t="str">
        <f t="shared" si="3"/>
        <v>H000003613</v>
      </c>
    </row>
    <row r="221" spans="1:2">
      <c r="A221" t="s">
        <v>4569</v>
      </c>
      <c r="B221" s="95" t="str">
        <f t="shared" si="3"/>
        <v>H000003613</v>
      </c>
    </row>
    <row r="222" spans="1:2">
      <c r="A222" t="s">
        <v>4569</v>
      </c>
      <c r="B222" s="95" t="str">
        <f t="shared" si="3"/>
        <v>H000003613</v>
      </c>
    </row>
    <row r="223" spans="1:2">
      <c r="A223" t="s">
        <v>4569</v>
      </c>
      <c r="B223" s="95" t="str">
        <f t="shared" si="3"/>
        <v>H000003613</v>
      </c>
    </row>
    <row r="224" spans="1:2">
      <c r="A224" t="s">
        <v>4569</v>
      </c>
      <c r="B224" s="95" t="str">
        <f t="shared" si="3"/>
        <v>H000003613</v>
      </c>
    </row>
    <row r="225" spans="1:2">
      <c r="A225" t="s">
        <v>4569</v>
      </c>
      <c r="B225" s="95" t="str">
        <f t="shared" si="3"/>
        <v>H000003613</v>
      </c>
    </row>
    <row r="226" spans="1:2">
      <c r="A226" t="s">
        <v>4569</v>
      </c>
      <c r="B226" s="95" t="str">
        <f t="shared" si="3"/>
        <v>H000003613</v>
      </c>
    </row>
    <row r="227" spans="1:2">
      <c r="A227" t="s">
        <v>4569</v>
      </c>
      <c r="B227" s="95" t="str">
        <f t="shared" si="3"/>
        <v>H000003613</v>
      </c>
    </row>
    <row r="228" spans="1:2">
      <c r="A228" t="s">
        <v>4569</v>
      </c>
      <c r="B228" s="95" t="str">
        <f t="shared" si="3"/>
        <v>H000003613</v>
      </c>
    </row>
    <row r="229" spans="1:2">
      <c r="A229" t="s">
        <v>4569</v>
      </c>
      <c r="B229" s="95" t="str">
        <f t="shared" si="3"/>
        <v>H000003613</v>
      </c>
    </row>
    <row r="230" spans="1:2">
      <c r="A230" t="s">
        <v>4569</v>
      </c>
      <c r="B230" s="95" t="str">
        <f t="shared" si="3"/>
        <v>H000003613</v>
      </c>
    </row>
    <row r="231" spans="1:2">
      <c r="A231" t="s">
        <v>4569</v>
      </c>
      <c r="B231" s="95" t="str">
        <f t="shared" si="3"/>
        <v>H000003613</v>
      </c>
    </row>
    <row r="232" spans="1:2">
      <c r="A232" t="s">
        <v>4569</v>
      </c>
      <c r="B232" s="95" t="str">
        <f t="shared" si="3"/>
        <v>H000003613</v>
      </c>
    </row>
    <row r="233" spans="1:2">
      <c r="A233" t="s">
        <v>4569</v>
      </c>
      <c r="B233" s="95" t="str">
        <f t="shared" si="3"/>
        <v>H000003613</v>
      </c>
    </row>
    <row r="234" spans="1:2">
      <c r="A234" t="s">
        <v>4569</v>
      </c>
      <c r="B234" s="95" t="str">
        <f t="shared" si="3"/>
        <v>H000003613</v>
      </c>
    </row>
    <row r="235" spans="1:2">
      <c r="A235" t="s">
        <v>4569</v>
      </c>
      <c r="B235" s="95" t="str">
        <f t="shared" si="3"/>
        <v>H000003613</v>
      </c>
    </row>
    <row r="236" spans="1:2">
      <c r="A236" t="s">
        <v>4569</v>
      </c>
      <c r="B236" s="95" t="str">
        <f t="shared" si="3"/>
        <v>H000003613</v>
      </c>
    </row>
    <row r="237" spans="1:2">
      <c r="A237" t="s">
        <v>4569</v>
      </c>
      <c r="B237" s="95" t="str">
        <f t="shared" si="3"/>
        <v>H000003613</v>
      </c>
    </row>
    <row r="238" spans="1:2">
      <c r="A238" t="s">
        <v>4569</v>
      </c>
      <c r="B238" s="95" t="str">
        <f t="shared" si="3"/>
        <v>H000003613</v>
      </c>
    </row>
    <row r="239" spans="1:2">
      <c r="A239" t="s">
        <v>4569</v>
      </c>
      <c r="B239" s="95" t="str">
        <f t="shared" si="3"/>
        <v>H000003613</v>
      </c>
    </row>
    <row r="240" spans="1:2">
      <c r="A240" t="s">
        <v>4569</v>
      </c>
      <c r="B240" s="95" t="str">
        <f t="shared" si="3"/>
        <v>H000003613</v>
      </c>
    </row>
    <row r="241" spans="1:2">
      <c r="A241" t="s">
        <v>4569</v>
      </c>
      <c r="B241" s="95" t="str">
        <f t="shared" si="3"/>
        <v>H000003613</v>
      </c>
    </row>
    <row r="242" spans="1:2">
      <c r="A242" t="s">
        <v>4569</v>
      </c>
      <c r="B242" s="95" t="str">
        <f t="shared" si="3"/>
        <v>H000003613</v>
      </c>
    </row>
    <row r="243" spans="1:2">
      <c r="A243" t="s">
        <v>4569</v>
      </c>
      <c r="B243" s="95" t="str">
        <f t="shared" si="3"/>
        <v>H000003613</v>
      </c>
    </row>
    <row r="244" spans="1:2">
      <c r="A244" t="s">
        <v>4569</v>
      </c>
      <c r="B244" s="95" t="str">
        <f t="shared" si="3"/>
        <v>H000003613</v>
      </c>
    </row>
    <row r="245" spans="1:2">
      <c r="A245" t="s">
        <v>4569</v>
      </c>
      <c r="B245" s="95" t="str">
        <f t="shared" si="3"/>
        <v>H000003613</v>
      </c>
    </row>
    <row r="246" spans="1:2">
      <c r="A246" t="s">
        <v>4569</v>
      </c>
      <c r="B246" s="95" t="str">
        <f t="shared" si="3"/>
        <v>H000003613</v>
      </c>
    </row>
    <row r="247" spans="1:2">
      <c r="A247" t="s">
        <v>4569</v>
      </c>
      <c r="B247" s="95" t="str">
        <f t="shared" si="3"/>
        <v>H000003613</v>
      </c>
    </row>
    <row r="248" spans="1:2">
      <c r="A248" t="s">
        <v>4569</v>
      </c>
      <c r="B248" s="95" t="str">
        <f t="shared" si="3"/>
        <v>H000003613</v>
      </c>
    </row>
    <row r="249" spans="1:2">
      <c r="A249" t="s">
        <v>4569</v>
      </c>
      <c r="B249" s="95" t="str">
        <f t="shared" si="3"/>
        <v>H000003613</v>
      </c>
    </row>
    <row r="250" spans="1:2">
      <c r="A250" t="s">
        <v>4569</v>
      </c>
      <c r="B250" s="95" t="str">
        <f t="shared" si="3"/>
        <v>H000003613</v>
      </c>
    </row>
    <row r="251" spans="1:2">
      <c r="A251" t="s">
        <v>4569</v>
      </c>
      <c r="B251" s="95" t="str">
        <f t="shared" si="3"/>
        <v>H000003613</v>
      </c>
    </row>
    <row r="252" spans="1:2">
      <c r="A252" t="s">
        <v>4569</v>
      </c>
      <c r="B252" s="95" t="str">
        <f t="shared" si="3"/>
        <v>H000003613</v>
      </c>
    </row>
    <row r="253" spans="1:2">
      <c r="A253" t="s">
        <v>4569</v>
      </c>
      <c r="B253" s="95" t="str">
        <f t="shared" si="3"/>
        <v>H000003613</v>
      </c>
    </row>
    <row r="254" spans="1:2">
      <c r="A254" t="s">
        <v>4569</v>
      </c>
      <c r="B254" s="95" t="str">
        <f t="shared" si="3"/>
        <v>H000003613</v>
      </c>
    </row>
    <row r="255" spans="1:2">
      <c r="A255" t="s">
        <v>4569</v>
      </c>
      <c r="B255" s="95" t="str">
        <f t="shared" si="3"/>
        <v>H000003613</v>
      </c>
    </row>
    <row r="256" spans="1:2">
      <c r="A256" t="s">
        <v>4569</v>
      </c>
      <c r="B256" s="95" t="str">
        <f t="shared" si="3"/>
        <v>H000003613</v>
      </c>
    </row>
    <row r="257" spans="1:2">
      <c r="A257" t="s">
        <v>4569</v>
      </c>
      <c r="B257" s="95" t="str">
        <f t="shared" si="3"/>
        <v>H000003613</v>
      </c>
    </row>
    <row r="258" spans="1:2">
      <c r="A258" t="s">
        <v>4569</v>
      </c>
      <c r="B258" s="95" t="str">
        <f t="shared" ref="B258:B319" si="4">LEFT(A258,10)</f>
        <v>H000003613</v>
      </c>
    </row>
    <row r="259" spans="1:2">
      <c r="A259" t="s">
        <v>4569</v>
      </c>
      <c r="B259" s="95" t="str">
        <f t="shared" si="4"/>
        <v>H000003613</v>
      </c>
    </row>
    <row r="260" spans="1:2">
      <c r="A260" t="s">
        <v>4569</v>
      </c>
      <c r="B260" s="95" t="str">
        <f t="shared" si="4"/>
        <v>H000003613</v>
      </c>
    </row>
    <row r="261" spans="1:2">
      <c r="A261" t="s">
        <v>4569</v>
      </c>
      <c r="B261" s="95" t="str">
        <f t="shared" si="4"/>
        <v>H000003613</v>
      </c>
    </row>
    <row r="262" spans="1:2">
      <c r="A262" t="s">
        <v>4569</v>
      </c>
      <c r="B262" s="95" t="str">
        <f t="shared" si="4"/>
        <v>H000003613</v>
      </c>
    </row>
    <row r="263" spans="1:2">
      <c r="A263" t="s">
        <v>4569</v>
      </c>
      <c r="B263" s="95" t="str">
        <f t="shared" si="4"/>
        <v>H000003613</v>
      </c>
    </row>
    <row r="264" spans="1:2">
      <c r="A264" t="s">
        <v>4569</v>
      </c>
      <c r="B264" s="95" t="str">
        <f t="shared" si="4"/>
        <v>H000003613</v>
      </c>
    </row>
    <row r="265" spans="1:2">
      <c r="A265" t="s">
        <v>4569</v>
      </c>
      <c r="B265" s="95" t="str">
        <f t="shared" si="4"/>
        <v>H000003613</v>
      </c>
    </row>
    <row r="266" spans="1:2">
      <c r="A266" t="s">
        <v>4569</v>
      </c>
      <c r="B266" s="95" t="str">
        <f t="shared" si="4"/>
        <v>H000003613</v>
      </c>
    </row>
    <row r="267" spans="1:2">
      <c r="A267" t="s">
        <v>4569</v>
      </c>
      <c r="B267" s="95" t="str">
        <f t="shared" si="4"/>
        <v>H000003613</v>
      </c>
    </row>
    <row r="268" spans="1:2">
      <c r="A268" t="s">
        <v>4569</v>
      </c>
      <c r="B268" s="95" t="str">
        <f t="shared" si="4"/>
        <v>H000003613</v>
      </c>
    </row>
    <row r="269" spans="1:2">
      <c r="A269" t="s">
        <v>4569</v>
      </c>
      <c r="B269" s="95" t="str">
        <f t="shared" si="4"/>
        <v>H000003613</v>
      </c>
    </row>
    <row r="270" spans="1:2">
      <c r="A270" t="s">
        <v>4569</v>
      </c>
      <c r="B270" s="95" t="str">
        <f t="shared" si="4"/>
        <v>H000003613</v>
      </c>
    </row>
    <row r="271" spans="1:2">
      <c r="A271" t="s">
        <v>4569</v>
      </c>
      <c r="B271" s="95" t="str">
        <f t="shared" si="4"/>
        <v>H000003613</v>
      </c>
    </row>
    <row r="272" spans="1:2">
      <c r="A272" t="s">
        <v>4569</v>
      </c>
      <c r="B272" s="95" t="str">
        <f t="shared" si="4"/>
        <v>H000003613</v>
      </c>
    </row>
    <row r="273" spans="1:2">
      <c r="A273" t="s">
        <v>4569</v>
      </c>
      <c r="B273" s="95" t="str">
        <f t="shared" si="4"/>
        <v>H000003613</v>
      </c>
    </row>
    <row r="274" spans="1:2">
      <c r="A274" t="s">
        <v>4569</v>
      </c>
      <c r="B274" s="95" t="str">
        <f t="shared" si="4"/>
        <v>H000003613</v>
      </c>
    </row>
    <row r="275" spans="1:2">
      <c r="A275" t="s">
        <v>4569</v>
      </c>
      <c r="B275" s="95" t="str">
        <f t="shared" si="4"/>
        <v>H000003613</v>
      </c>
    </row>
    <row r="276" spans="1:2">
      <c r="A276" t="s">
        <v>4569</v>
      </c>
      <c r="B276" s="95" t="str">
        <f t="shared" si="4"/>
        <v>H000003613</v>
      </c>
    </row>
    <row r="277" spans="1:2">
      <c r="A277" t="s">
        <v>4569</v>
      </c>
      <c r="B277" s="95" t="str">
        <f t="shared" si="4"/>
        <v>H000003613</v>
      </c>
    </row>
    <row r="278" spans="1:2">
      <c r="A278" t="s">
        <v>4569</v>
      </c>
      <c r="B278" s="95" t="str">
        <f t="shared" si="4"/>
        <v>H000003613</v>
      </c>
    </row>
    <row r="279" spans="1:2">
      <c r="A279" t="s">
        <v>4569</v>
      </c>
      <c r="B279" s="95" t="str">
        <f t="shared" si="4"/>
        <v>H000003613</v>
      </c>
    </row>
    <row r="280" spans="1:2">
      <c r="A280" t="s">
        <v>4569</v>
      </c>
      <c r="B280" s="95" t="str">
        <f t="shared" si="4"/>
        <v>H000003613</v>
      </c>
    </row>
    <row r="281" spans="1:2">
      <c r="A281" t="s">
        <v>4569</v>
      </c>
      <c r="B281" s="95" t="str">
        <f t="shared" si="4"/>
        <v>H000003613</v>
      </c>
    </row>
    <row r="282" spans="1:2">
      <c r="A282" t="s">
        <v>4569</v>
      </c>
      <c r="B282" s="95" t="str">
        <f t="shared" si="4"/>
        <v>H000003613</v>
      </c>
    </row>
    <row r="283" spans="1:2">
      <c r="A283" t="s">
        <v>4569</v>
      </c>
      <c r="B283" s="95" t="str">
        <f t="shared" si="4"/>
        <v>H000003613</v>
      </c>
    </row>
    <row r="284" spans="1:2">
      <c r="A284" t="s">
        <v>4569</v>
      </c>
      <c r="B284" s="95" t="str">
        <f t="shared" si="4"/>
        <v>H000003613</v>
      </c>
    </row>
    <row r="285" spans="1:2">
      <c r="A285" t="s">
        <v>4569</v>
      </c>
      <c r="B285" s="95" t="str">
        <f t="shared" si="4"/>
        <v>H000003613</v>
      </c>
    </row>
    <row r="286" spans="1:2">
      <c r="A286" t="s">
        <v>4569</v>
      </c>
      <c r="B286" s="95" t="str">
        <f t="shared" si="4"/>
        <v>H000003613</v>
      </c>
    </row>
    <row r="287" spans="1:2">
      <c r="A287" t="s">
        <v>4569</v>
      </c>
      <c r="B287" s="95" t="str">
        <f t="shared" si="4"/>
        <v>H000003613</v>
      </c>
    </row>
    <row r="288" spans="1:2">
      <c r="A288" t="s">
        <v>4569</v>
      </c>
      <c r="B288" s="95" t="str">
        <f t="shared" si="4"/>
        <v>H000003613</v>
      </c>
    </row>
    <row r="289" spans="1:2">
      <c r="A289" t="s">
        <v>4569</v>
      </c>
      <c r="B289" s="95" t="str">
        <f t="shared" si="4"/>
        <v>H000003613</v>
      </c>
    </row>
    <row r="290" spans="1:2">
      <c r="A290" t="s">
        <v>4569</v>
      </c>
      <c r="B290" s="95" t="str">
        <f t="shared" si="4"/>
        <v>H000003613</v>
      </c>
    </row>
    <row r="291" spans="1:2">
      <c r="A291" t="s">
        <v>4569</v>
      </c>
      <c r="B291" s="95" t="str">
        <f t="shared" si="4"/>
        <v>H000003613</v>
      </c>
    </row>
    <row r="292" spans="1:2">
      <c r="A292" t="s">
        <v>4569</v>
      </c>
      <c r="B292" s="95" t="str">
        <f t="shared" si="4"/>
        <v>H000003613</v>
      </c>
    </row>
    <row r="293" spans="1:2">
      <c r="A293" t="s">
        <v>4569</v>
      </c>
      <c r="B293" s="95" t="str">
        <f t="shared" si="4"/>
        <v>H000003613</v>
      </c>
    </row>
    <row r="294" spans="1:2">
      <c r="A294" t="s">
        <v>4569</v>
      </c>
      <c r="B294" s="95" t="str">
        <f t="shared" si="4"/>
        <v>H000003613</v>
      </c>
    </row>
    <row r="295" spans="1:2">
      <c r="A295" t="s">
        <v>4569</v>
      </c>
      <c r="B295" s="95" t="str">
        <f t="shared" si="4"/>
        <v>H000003613</v>
      </c>
    </row>
    <row r="296" spans="1:2">
      <c r="A296" t="s">
        <v>4569</v>
      </c>
      <c r="B296" s="95" t="str">
        <f t="shared" si="4"/>
        <v>H000003613</v>
      </c>
    </row>
    <row r="297" spans="1:2">
      <c r="A297" t="s">
        <v>4569</v>
      </c>
      <c r="B297" s="95" t="str">
        <f t="shared" si="4"/>
        <v>H000003613</v>
      </c>
    </row>
    <row r="298" spans="1:2">
      <c r="A298" t="s">
        <v>4569</v>
      </c>
      <c r="B298" s="95" t="str">
        <f t="shared" si="4"/>
        <v>H000003613</v>
      </c>
    </row>
    <row r="299" spans="1:2">
      <c r="A299" t="s">
        <v>4569</v>
      </c>
      <c r="B299" s="95" t="str">
        <f t="shared" si="4"/>
        <v>H000003613</v>
      </c>
    </row>
    <row r="300" spans="1:2">
      <c r="A300" t="s">
        <v>4569</v>
      </c>
      <c r="B300" s="95" t="str">
        <f t="shared" si="4"/>
        <v>H000003613</v>
      </c>
    </row>
    <row r="301" spans="1:2">
      <c r="A301" t="s">
        <v>4570</v>
      </c>
      <c r="B301" s="95" t="str">
        <f t="shared" si="4"/>
        <v>H000003640</v>
      </c>
    </row>
    <row r="302" spans="1:2">
      <c r="A302" t="s">
        <v>4569</v>
      </c>
      <c r="B302" s="95" t="str">
        <f t="shared" si="4"/>
        <v>H000003613</v>
      </c>
    </row>
    <row r="303" spans="1:2">
      <c r="A303" t="s">
        <v>4569</v>
      </c>
      <c r="B303" s="95" t="str">
        <f t="shared" si="4"/>
        <v>H000003613</v>
      </c>
    </row>
    <row r="304" spans="1:2">
      <c r="A304" t="s">
        <v>4569</v>
      </c>
      <c r="B304" s="95" t="str">
        <f t="shared" si="4"/>
        <v>H000003613</v>
      </c>
    </row>
    <row r="305" spans="1:2">
      <c r="A305" t="s">
        <v>4569</v>
      </c>
      <c r="B305" s="95" t="str">
        <f t="shared" si="4"/>
        <v>H000003613</v>
      </c>
    </row>
    <row r="306" spans="1:2">
      <c r="A306" t="s">
        <v>4569</v>
      </c>
      <c r="B306" s="95" t="str">
        <f t="shared" si="4"/>
        <v>H000003613</v>
      </c>
    </row>
    <row r="307" spans="1:2">
      <c r="A307" t="s">
        <v>4569</v>
      </c>
      <c r="B307" s="95" t="str">
        <f t="shared" si="4"/>
        <v>H000003613</v>
      </c>
    </row>
    <row r="308" spans="1:2">
      <c r="A308" t="s">
        <v>4569</v>
      </c>
      <c r="B308" s="95" t="str">
        <f t="shared" si="4"/>
        <v>H000003613</v>
      </c>
    </row>
    <row r="309" spans="1:2">
      <c r="A309" t="s">
        <v>4569</v>
      </c>
      <c r="B309" s="95" t="str">
        <f t="shared" si="4"/>
        <v>H000003613</v>
      </c>
    </row>
    <row r="310" spans="1:2">
      <c r="A310" t="s">
        <v>4569</v>
      </c>
      <c r="B310" s="95" t="str">
        <f t="shared" si="4"/>
        <v>H000003613</v>
      </c>
    </row>
    <row r="311" spans="1:2">
      <c r="A311" t="s">
        <v>4569</v>
      </c>
      <c r="B311" s="95" t="str">
        <f t="shared" si="4"/>
        <v>H000003613</v>
      </c>
    </row>
    <row r="312" spans="1:2">
      <c r="A312" t="s">
        <v>4569</v>
      </c>
      <c r="B312" s="95" t="str">
        <f t="shared" si="4"/>
        <v>H000003613</v>
      </c>
    </row>
    <row r="313" spans="1:2">
      <c r="A313" t="s">
        <v>4569</v>
      </c>
      <c r="B313" s="95" t="str">
        <f t="shared" si="4"/>
        <v>H000003613</v>
      </c>
    </row>
    <row r="314" spans="1:2">
      <c r="A314" t="s">
        <v>4569</v>
      </c>
      <c r="B314" s="95" t="str">
        <f t="shared" si="4"/>
        <v>H000003613</v>
      </c>
    </row>
    <row r="315" spans="1:2">
      <c r="A315" t="s">
        <v>4569</v>
      </c>
      <c r="B315" s="95" t="str">
        <f t="shared" si="4"/>
        <v>H000003613</v>
      </c>
    </row>
    <row r="316" spans="1:2">
      <c r="A316" t="s">
        <v>4569</v>
      </c>
      <c r="B316" s="95" t="str">
        <f t="shared" si="4"/>
        <v>H000003613</v>
      </c>
    </row>
    <row r="317" spans="1:2">
      <c r="A317" t="s">
        <v>4569</v>
      </c>
      <c r="B317" s="95" t="str">
        <f t="shared" si="4"/>
        <v>H000003613</v>
      </c>
    </row>
    <row r="318" spans="1:2">
      <c r="A318" t="s">
        <v>4569</v>
      </c>
      <c r="B318" s="95" t="str">
        <f t="shared" si="4"/>
        <v>H000003613</v>
      </c>
    </row>
    <row r="319" spans="1:2">
      <c r="A319" t="s">
        <v>4571</v>
      </c>
      <c r="B319" s="95" t="str">
        <f t="shared" si="4"/>
        <v>H000003640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2025-05-30T21:32:08Z</dcterms:modified>
  <cp:category/>
  <cp:contentStatus/>
</cp:coreProperties>
</file>