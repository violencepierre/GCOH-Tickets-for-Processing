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D243A615-E14E-41FC-BD33-0E131777190A}" xr6:coauthVersionLast="47" xr6:coauthVersionMax="47" xr10:uidLastSave="{00000000-0000-0000-0000-000000000000}"/>
  <bookViews>
    <workbookView xWindow="-2892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30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"ea558a00-e85a-4587-b359-8d3fbd08c95e"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67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92" i="1" l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39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6" i="1"/>
  <c r="B4" i="1"/>
  <c r="B9" i="1"/>
  <c r="B2" i="1"/>
  <c r="B7" i="1"/>
  <c r="B10" i="1"/>
  <c r="B5" i="1"/>
  <c r="B3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<sst xmlns="http://schemas.openxmlformats.org/spreadsheetml/2006/main" count="9751" uniqueCount="2700">
  <si>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</si>
  <si>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</si>
  <si>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</si>
  <si>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</si>
  <si>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</si>
  <si>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</si>
  <si>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</si>
  <si>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</si>
  <si>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</si>
  <si>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</si>
  <si>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</si>
  <si>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</si>
  <si>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</si>
  <si>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</si>
  <si>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</si>
  <si>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</si>
  <si>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</si>
  <si>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</si>
  <si>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</si>
  <si>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</si>
  <si>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</si>
  <si>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</si>
  <si>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</si>
  <si>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</si>
  <si>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</si>
  <si>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</si>
  <si>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</si>
  <si>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</si>
  <si>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</si>
  <si>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</si>
  <si>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</si>
  <si>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</si>
  <si>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</si>
  <si>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</si>
  <si>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</si>
  <si>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</si>
  <si>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</si>
  <si>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</si>
  <si>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</si>
  <si>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</si>
  <si>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</si>
  <si>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</si>
  <si>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</si>
  <si>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</si>
  <si>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</si>
  <si>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</si>
  <si>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</si>
  <si>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</si>
  <si>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</si>
  <si>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</si>
  <si>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</si>
  <si>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</si>
  <si>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</si>
  <si>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</si>
  <si>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</si>
  <si>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</si>
  <si>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</si>
  <si>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</si>
  <si>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</si>
  <si>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</si>
  <si>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</si>
  <si>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</si>
  <si>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</si>
  <si>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</si>
  <si>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</si>
  <si>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</si>
  <si>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</si>
  <si>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</si>
  <si>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</si>
  <si>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</si>
  <si>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</si>
  <si>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</si>
  <si>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</si>
  <si>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</si>
  <si>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</si>
  <si>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</si>
  <si>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</si>
  <si>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</si>
  <si>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</si>
  <si>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</si>
  <si>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</si>
  <si>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</si>
  <si>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</si>
  <si>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</si>
  <si>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</si>
  <si>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</si>
  <si>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</si>
  <si>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</si>
  <si>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</si>
  <si>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</si>
  <si>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</si>
  <si>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</si>
  <si>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</si>
  <si>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</si>
  <si>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</si>
  <si>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</si>
  <si>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</si>
  <si>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</si>
  <si>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</si>
  <si>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</si>
  <si>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</si>
  <si>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</si>
  <si>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</si>
  <si>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</si>
  <si>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</si>
  <si>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</si>
  <si>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</si>
  <si>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</si>
  <si>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</si>
  <si>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</si>
  <si>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</si>
  <si>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</si>
  <si>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</si>
  <si>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</si>
  <si>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</si>
  <si>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</si>
  <si>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</si>
  <si>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</si>
  <si>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</si>
  <si>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</si>
  <si>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</si>
  <si>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</si>
  <si>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</si>
  <si>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</si>
  <si>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</si>
  <si>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</si>
  <si>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</si>
  <si>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</si>
  <si>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</si>
  <si>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</si>
  <si>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</si>
  <si>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</si>
  <si>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</si>
  <si>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</si>
  <si>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</si>
  <si>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</si>
  <si>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</si>
  <si>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</si>
  <si>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</si>
  <si>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</si>
  <si>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</si>
  <si>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</si>
  <si>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</si>
  <si>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</si>
  <si>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</si>
  <si>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</si>
  <si>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</si>
  <si>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</si>
  <si>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</si>
  <si>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</si>
  <si>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</si>
  <si>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</si>
  <si>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</si>
  <si>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</si>
  <si>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</si>
  <si>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</si>
  <si>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</si>
  <si>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</si>
  <si>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</si>
  <si>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</si>
  <si>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</si>
  <si>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</si>
  <si>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</si>
  <si>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</si>
  <si>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</si>
  <si>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</si>
  <si>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</si>
  <si>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</si>
  <si>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</si>
  <si>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</si>
  <si>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</si>
  <si>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</si>
  <si>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</si>
  <si>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</si>
  <si>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</si>
  <si>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</si>
  <si>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</si>
  <si>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</si>
  <si>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</si>
  <si>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</si>
  <si>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</si>
  <si>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</si>
  <si>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</si>
  <si>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</si>
  <si>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</si>
  <si>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</si>
  <si>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</si>
  <si>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</si>
  <si>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</si>
  <si>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</si>
  <si>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</si>
  <si>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</si>
  <si>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</si>
  <si>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</si>
  <si>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</si>
  <si>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</si>
  <si>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</si>
  <si>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</si>
  <si>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</si>
  <si>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</si>
  <si>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</si>
  <si>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</si>
  <si>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</si>
  <si>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</si>
  <si>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</si>
  <si>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</si>
  <si>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</si>
  <si>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</si>
  <si>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</si>
  <si>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</si>
  <si>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</si>
  <si>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</si>
  <si>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</si>
  <si>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</si>
  <si>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</si>
  <si>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</si>
  <si>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</si>
  <si>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</si>
  <si>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</si>
  <si>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</si>
  <si>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</si>
  <si>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</si>
  <si>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</si>
  <si>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</si>
  <si>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</si>
  <si>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</si>
  <si>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</si>
  <si>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</si>
  <si>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</si>
  <si>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</si>
  <si>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</si>
  <si>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</si>
  <si>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</si>
  <si>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</si>
  <si>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</si>
  <si>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</si>
  <si>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</si>
  <si>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</si>
  <si>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</si>
  <si>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</si>
  <si>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</si>
  <si>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</si>
  <si>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</si>
  <si>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</si>
  <si>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</si>
  <si>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</si>
  <si>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</si>
  <si>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</si>
  <si>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</si>
  <si>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</si>
  <si>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</si>
  <si>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</si>
  <si>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</si>
  <si>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</si>
  <si>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</si>
  <si>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</si>
  <si>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</si>
  <si>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</si>
  <si>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</si>
  <si>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</si>
  <si>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</si>
  <si>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</si>
  <si>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</si>
  <si>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</si>
  <si>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</si>
  <si>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</si>
  <si>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</si>
  <si>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</si>
  <si>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</si>
  <si>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</si>
  <si>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</si>
  <si>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</si>
  <si>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</si>
  <si>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</si>
  <si>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</si>
  <si>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</si>
  <si>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</si>
  <si>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</si>
  <si>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</si>
  <si>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</si>
  <si>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</si>
  <si>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</si>
  <si>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</si>
  <si>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</si>
  <si>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</si>
  <si>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</si>
  <si>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</si>
  <si>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</si>
  <si>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</si>
  <si>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</si>
  <si>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</si>
  <si>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</si>
  <si>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</si>
  <si>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</si>
  <si>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</si>
  <si>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</si>
  <si>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</si>
  <si>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</si>
  <si>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</si>
  <si>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</si>
  <si>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</si>
  <si>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</si>
  <si>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</si>
  <si>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</si>
  <si>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</si>
  <si>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</si>
  <si>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</si>
  <si>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</si>
  <si>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</si>
  <si>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</si>
  <si>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</si>
  <si>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</si>
  <si>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</si>
  <si>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</si>
  <si>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</si>
  <si>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</si>
  <si>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</si>
  <si>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</si>
  <si>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</si>
  <si>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</si>
  <si>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</si>
  <si>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</si>
  <si>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</si>
  <si>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</si>
  <si>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</si>
  <si>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</si>
  <si>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</si>
  <si>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</si>
  <si>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</si>
  <si>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</si>
  <si>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</si>
  <si>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</si>
  <si>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</si>
  <si>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</si>
  <si>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</si>
  <si>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</si>
  <si>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</si>
  <si>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</si>
  <si>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</si>
  <si>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</si>
  <si>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</si>
  <si>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</si>
  <si>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</si>
  <si>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</si>
  <si>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</si>
  <si>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</si>
  <si>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</si>
  <si>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</si>
  <si>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</si>
  <si>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</si>
  <si>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</si>
  <si>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</si>
  <si>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</si>
  <si>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</si>
  <si>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</si>
  <si>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</si>
  <si>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</si>
  <si>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</si>
  <si>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</si>
  <si>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</si>
  <si>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</si>
  <si>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</si>
  <si>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</si>
  <si>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</si>
  <si>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</si>
  <si>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</si>
  <si>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</si>
  <si>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</si>
  <si>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</si>
  <si>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</si>
  <si>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</si>
  <si>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</si>
  <si>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</si>
  <si>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</si>
  <si>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</si>
  <si>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</si>
  <si>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</si>
  <si>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</si>
  <si>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</si>
  <si>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</si>
  <si>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</si>
  <si>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</si>
  <si>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</si>
  <si>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</si>
  <si>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</si>
  <si>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</si>
  <si>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</si>
  <si>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</si>
  <si>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</si>
  <si>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</si>
  <si>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</si>
  <si>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</si>
  <si>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</si>
  <si>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</si>
  <si>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</si>
  <si>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</si>
  <si>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</si>
  <si>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</si>
  <si>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</si>
  <si>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</si>
  <si>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</si>
  <si>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</si>
  <si>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</si>
  <si>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</si>
  <si>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</si>
  <si>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</si>
  <si>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</si>
  <si>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</si>
  <si>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</si>
  <si>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</si>
  <si>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</si>
  <si>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</si>
  <si>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</si>
  <si>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</si>
  <si>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</si>
  <si>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</si>
  <si>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</si>
  <si>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</si>
  <si>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</si>
  <si>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</si>
  <si>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</si>
  <si>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</si>
  <si>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</si>
  <si>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</si>
  <si>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</si>
  <si>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</si>
  <si>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</si>
  <si>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</si>
  <si>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</si>
  <si>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</si>
  <si>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</si>
  <si>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</si>
  <si>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</si>
  <si>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</si>
  <si>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</si>
  <si>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</si>
  <si>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</si>
  <si>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</si>
  <si>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</si>
  <si>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</si>
  <si>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</si>
  <si>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</si>
  <si>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</si>
  <si>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</si>
  <si>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</si>
  <si>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</si>
  <si>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</si>
  <si>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</si>
  <si>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</si>
  <si>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</si>
  <si>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</si>
  <si>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</si>
  <si>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</si>
  <si>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</si>
  <si>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</si>
  <si>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</si>
  <si>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</si>
  <si>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</si>
  <si>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</si>
  <si>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</si>
  <si>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</si>
  <si>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</si>
  <si>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</si>
  <si>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</si>
  <si>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</si>
  <si>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</si>
  <si>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</si>
  <si>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</si>
  <si>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</si>
  <si>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</si>
  <si>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</si>
  <si>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</si>
  <si>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</si>
  <si>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</si>
  <si>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</si>
  <si>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</si>
  <si>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</si>
  <si>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</si>
  <si>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</si>
  <si>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</si>
  <si>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</si>
  <si>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</si>
  <si>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</si>
  <si>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</si>
  <si>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</si>
  <si>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</si>
  <si>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</si>
  <si>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</si>
  <si>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</si>
  <si>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</si>
  <si>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</si>
  <si>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</si>
  <si>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</si>
  <si>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</si>
  <si>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</si>
  <si>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</si>
  <si>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</si>
  <si>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</si>
  <si>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</si>
  <si>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</si>
  <si>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</si>
  <si>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</si>
  <si>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</si>
  <si>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</si>
  <si>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</si>
  <si>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</si>
  <si>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</si>
  <si>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</si>
  <si>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</si>
  <si>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</si>
  <si>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</si>
  <si>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</si>
  <si>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</si>
  <si>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</si>
  <si>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</si>
  <si>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</si>
  <si>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</si>
  <si>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</si>
  <si>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</si>
  <si>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</si>
  <si>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</si>
  <si>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</si>
  <si>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</si>
  <si>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</si>
  <si>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</si>
  <si>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</si>
  <si>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</si>
  <si>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</si>
  <si>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</si>
  <si>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</si>
  <si>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</si>
  <si>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</si>
  <si>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</si>
  <si>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</si>
  <si>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</si>
  <si>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</si>
  <si>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</si>
  <si>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</si>
  <si>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</si>
  <si>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</si>
  <si>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</si>
  <si>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</si>
  <si>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</si>
  <si>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</si>
  <si>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</si>
  <si>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</si>
  <si>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</si>
  <si>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</si>
  <si>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</si>
  <si>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</si>
  <si>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</si>
  <si>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</si>
  <si>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</si>
  <si>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</si>
  <si>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</si>
  <si>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</si>
  <si>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</si>
  <si>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</si>
  <si>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</si>
  <si>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</si>
  <si>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</si>
  <si>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</si>
  <si>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</si>
  <si>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</si>
  <si>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</si>
  <si>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</si>
  <si>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</si>
  <si>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</si>
  <si>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</si>
  <si>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</si>
  <si>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</si>
  <si>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</si>
  <si>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</si>
  <si>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</si>
  <si>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</si>
  <si>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</si>
  <si>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</si>
  <si>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</si>
  <si>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</si>
  <si>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</si>
  <si>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</si>
  <si>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</si>
  <si>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</si>
  <si>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</si>
  <si>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</si>
  <si>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</si>
  <si>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</si>
  <si>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</si>
  <si>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</si>
  <si>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</si>
  <si>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</si>
  <si>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</si>
  <si>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</si>
  <si>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</si>
  <si>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</si>
  <si>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</si>
  <si>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</si>
  <si>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</si>
  <si>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</si>
  <si>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</si>
  <si>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</si>
  <si>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</si>
  <si>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</si>
  <si>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</si>
  <si>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</si>
  <si>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</si>
  <si>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</si>
  <si>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</si>
  <si>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</si>
  <si>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</si>
  <si>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</si>
  <si>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</si>
  <si>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</si>
  <si>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</si>
  <si>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</si>
  <si>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</si>
  <si>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</si>
  <si>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</si>
  <si>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</si>
  <si>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</si>
  <si>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</si>
  <si>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</si>
  <si>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</si>
  <si>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</si>
  <si>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</si>
  <si>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</si>
  <si>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</si>
  <si>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</si>
  <si>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</si>
  <si>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</si>
  <si>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</si>
  <si>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</si>
  <si>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</si>
  <si>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</si>
  <si>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</si>
  <si>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</si>
  <si>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</si>
  <si>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</si>
  <si>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</si>
  <si>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</si>
  <si>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</si>
  <si>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</si>
  <si>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</si>
  <si>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</si>
  <si>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</si>
  <si>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</si>
  <si>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</si>
  <si>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</si>
  <si>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</si>
  <si>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</si>
  <si>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</si>
  <si>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</si>
  <si>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</si>
  <si>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</si>
  <si>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</si>
  <si>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</si>
  <si>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</si>
  <si>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</si>
  <si>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</si>
  <si>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</si>
  <si>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</si>
  <si>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</si>
  <si>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</si>
  <si>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</si>
  <si>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</si>
  <si>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</si>
  <si>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</si>
  <si>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</si>
  <si>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</si>
  <si>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</si>
  <si>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</si>
  <si>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</si>
  <si>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</si>
  <si>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</si>
  <si>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</si>
  <si>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</si>
  <si>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</si>
  <si>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</si>
  <si>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</si>
  <si>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</si>
  <si>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</si>
  <si>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</si>
  <si>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</si>
  <si>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</si>
  <si>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</si>
  <si>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</si>
  <si>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</si>
  <si>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</si>
  <si>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</si>
  <si>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</si>
  <si>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</si>
  <si>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</si>
  <si>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</si>
  <si>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</si>
  <si>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</si>
  <si>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</si>
  <si>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</si>
  <si>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</si>
  <si>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</si>
  <si>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</si>
  <si>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</si>
  <si>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</si>
  <si>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</si>
  <si>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</si>
  <si>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</si>
  <si>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</si>
  <si>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</si>
  <si>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</si>
  <si>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</si>
  <si>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</si>
  <si>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</si>
  <si>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</si>
  <si>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</si>
  <si>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</si>
  <si>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</si>
  <si>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</si>
  <si>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</si>
  <si>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</si>
  <si>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</si>
  <si>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</si>
  <si>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</si>
  <si>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</si>
  <si>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</si>
  <si>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</si>
  <si>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</si>
  <si>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</si>
  <si>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</si>
  <si>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</si>
  <si>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</si>
  <si>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</si>
  <si>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</si>
  <si>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</si>
  <si>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</si>
  <si>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</si>
  <si>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</si>
  <si>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</si>
  <si>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</si>
  <si>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</si>
  <si>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</si>
  <si>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</si>
  <si>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</si>
  <si>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</si>
  <si>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</si>
  <si>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</si>
  <si>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</si>
  <si>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</si>
  <si>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</si>
  <si>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</si>
  <si>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</si>
  <si>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</si>
  <si>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</si>
  <si>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</si>
  <si>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</si>
  <si>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</si>
  <si>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</si>
  <si>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</si>
  <si>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</si>
  <si>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</si>
  <si>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</si>
  <si>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</si>
  <si>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</si>
  <si>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</si>
  <si>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</si>
  <si>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</si>
  <si>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</si>
  <si>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</si>
  <si>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</si>
  <si>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</si>
  <si>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</si>
  <si>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</si>
  <si>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</si>
  <si>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</si>
  <si>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</si>
  <si>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</si>
  <si>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</si>
  <si>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</si>
  <si>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</si>
  <si>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</si>
  <si>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</si>
  <si>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</si>
  <si>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</si>
  <si>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</si>
  <si>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</si>
  <si>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</si>
  <si>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</si>
  <si>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</si>
  <si>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</si>
  <si>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</si>
  <si>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</si>
  <si>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</si>
  <si>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</si>
  <si>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</si>
  <si>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</si>
  <si>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</si>
  <si>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</si>
  <si>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</si>
  <si>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</si>
  <si>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</si>
  <si>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</si>
  <si>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</si>
  <si>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</si>
  <si>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</si>
  <si>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</si>
  <si>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</si>
  <si>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</si>
  <si>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</si>
  <si>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</si>
  <si>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</si>
  <si>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</si>
  <si>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</si>
  <si>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</si>
  <si>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</si>
  <si>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</si>
  <si>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</si>
  <si>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</si>
  <si>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</si>
  <si>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</si>
  <si>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</si>
  <si>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</si>
  <si>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</si>
  <si>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</si>
  <si>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</si>
  <si>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</si>
  <si>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</si>
  <si>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</si>
  <si>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</si>
  <si>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</si>
  <si>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</si>
  <si>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</si>
  <si>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</si>
  <si>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</si>
  <si>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</si>
  <si>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</si>
  <si>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</si>
  <si>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</si>
  <si>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</si>
  <si>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</si>
  <si>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</si>
  <si>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</si>
  <si>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</si>
  <si>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</si>
  <si>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</si>
  <si>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</si>
  <si>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</si>
  <si>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</si>
  <si>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</si>
  <si>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</si>
  <si>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</si>
  <si>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</si>
  <si>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</si>
  <si>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</si>
  <si>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</si>
  <si>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</si>
  <si>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</si>
  <si>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</si>
  <si>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</si>
  <si>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</si>
  <si>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</si>
  <si>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</si>
  <si>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</si>
  <si>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</si>
  <si>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</si>
  <si>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</si>
  <si>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</si>
  <si>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</si>
  <si>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</si>
  <si>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</si>
  <si>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</si>
  <si>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</si>
  <si>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</si>
  <si>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</si>
  <si>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</si>
  <si>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</si>
  <si>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</si>
  <si>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</si>
  <si>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</si>
  <si>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</si>
  <si>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</si>
  <si>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</si>
  <si>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</si>
  <si>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</si>
  <si>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</si>
  <si>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</si>
  <si>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</si>
  <si>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</si>
  <si>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</si>
  <si>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</si>
  <si>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</si>
  <si>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</si>
  <si>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</si>
  <si>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</si>
  <si>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</si>
  <si>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</si>
  <si>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</si>
  <si>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</si>
  <si>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</si>
  <si>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</si>
  <si>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on track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</si>
  <si>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</si>
  <si>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</si>
  <si>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</si>
  <si>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</si>
  <si>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</si>
  <si>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</si>
  <si>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</si>
  <si>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</si>
  <si>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</si>
  <si>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</si>
  <si>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</si>
  <si>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</si>
  <si>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</si>
  <si>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</si>
  <si>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</si>
  <si>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</si>
  <si>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</si>
  <si>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</si>
  <si>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</si>
  <si>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</si>
  <si>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</si>
  <si>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</si>
  <si>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</si>
  <si>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</si>
  <si>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</si>
  <si>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</si>
  <si>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</si>
  <si>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</si>
  <si>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</si>
  <si>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</si>
  <si>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</si>
  <si>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</si>
  <si>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</si>
  <si>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</si>
  <si>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</si>
  <si>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</si>
  <si>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</si>
  <si>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</si>
  <si>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</si>
  <si>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</si>
  <si>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</si>
  <si>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</si>
  <si>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</si>
  <si>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</si>
  <si>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</si>
  <si>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</si>
  <si>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</si>
  <si>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</si>
  <si>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</si>
  <si>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</si>
  <si>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</si>
  <si>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</si>
  <si>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</si>
  <si>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</si>
  <si>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</si>
  <si>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</si>
  <si>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</si>
  <si>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</si>
  <si>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</si>
  <si>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</si>
  <si>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</si>
  <si>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</si>
  <si>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</si>
  <si>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</si>
  <si>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</si>
  <si>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</si>
  <si>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</si>
  <si>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</si>
  <si>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</si>
  <si>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</si>
  <si>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</si>
  <si>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</si>
  <si>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</si>
  <si>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</si>
  <si>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</si>
  <si>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</si>
  <si>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</si>
  <si>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</si>
  <si>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</si>
  <si>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</si>
  <si>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</si>
  <si>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</si>
  <si>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</si>
  <si>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</si>
  <si>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</si>
  <si>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</si>
  <si>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</si>
  <si>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</si>
  <si>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</si>
  <si>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</si>
  <si>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</si>
  <si>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</si>
  <si>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</si>
  <si>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</si>
  <si>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</si>
  <si>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</si>
  <si>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</si>
  <si>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</si>
  <si>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</si>
  <si>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</si>
  <si>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</si>
  <si>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</si>
  <si>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</si>
  <si>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</si>
  <si>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</si>
  <si>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</si>
  <si>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</si>
  <si>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</si>
  <si>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</si>
  <si>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</si>
  <si>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</si>
  <si>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</si>
  <si>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</si>
  <si>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</si>
  <si>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</si>
  <si>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</si>
  <si>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</si>
  <si>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</si>
  <si>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</si>
  <si>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</si>
  <si>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</si>
  <si>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</si>
  <si>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</si>
  <si>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</si>
  <si>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</si>
  <si>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</si>
  <si>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</si>
  <si>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</si>
  <si>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</si>
  <si>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</si>
  <si>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</si>
  <si>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</si>
  <si>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</si>
  <si>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</si>
  <si>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</si>
  <si>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</si>
  <si>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</si>
  <si>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</si>
  <si>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</si>
  <si>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</si>
  <si>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</si>
  <si>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</si>
  <si>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</si>
  <si>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</si>
  <si>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</si>
  <si>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</si>
  <si>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</si>
  <si>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</si>
  <si>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</si>
  <si>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</si>
  <si>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</si>
  <si>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</si>
  <si>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</si>
  <si>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</si>
  <si>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</si>
  <si>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</si>
  <si>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</si>
  <si>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</si>
  <si>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</si>
  <si>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</si>
  <si>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</si>
  <si>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</si>
  <si>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</si>
  <si>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</si>
  <si>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</si>
  <si>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</si>
  <si>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</si>
  <si>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</si>
  <si>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</si>
  <si>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</si>
  <si>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</si>
  <si>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</si>
  <si>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</si>
  <si>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</si>
  <si>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</si>
  <si>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</si>
  <si>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</si>
  <si>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</si>
  <si>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</si>
  <si>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</si>
  <si>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</si>
  <si>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</si>
  <si>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</si>
  <si>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</si>
  <si>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</si>
  <si>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</si>
  <si>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</si>
  <si>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</si>
  <si>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</si>
  <si>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</si>
  <si>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</si>
  <si>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</si>
  <si>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</si>
  <si>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</si>
  <si>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</si>
  <si>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</si>
  <si>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</si>
  <si>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</si>
  <si>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</si>
  <si>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</si>
  <si>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</si>
  <si>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</si>
  <si>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</si>
  <si>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</si>
  <si>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</si>
  <si>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</si>
  <si>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</si>
  <si>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</si>
  <si>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</si>
  <si>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</si>
  <si>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</si>
  <si>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</si>
  <si>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</si>
  <si>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</si>
  <si>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</si>
  <si>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</si>
  <si>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</si>
  <si>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</si>
  <si>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</si>
  <si>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</si>
  <si>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</si>
  <si>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</si>
  <si>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</si>
  <si>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</si>
  <si>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</si>
  <si>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</si>
  <si>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</si>
  <si>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</si>
  <si>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</si>
  <si>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</si>
  <si>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</si>
  <si>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</si>
  <si>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</si>
  <si>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</si>
  <si>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</si>
  <si>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</si>
  <si>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</si>
  <si>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</si>
  <si>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</si>
  <si>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</si>
  <si>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</si>
  <si>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</si>
  <si>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</si>
  <si>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</si>
  <si>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</si>
  <si>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</si>
  <si>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</si>
  <si>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</si>
  <si>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</si>
  <si>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</si>
  <si>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</si>
  <si>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</si>
  <si>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</si>
  <si>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</si>
  <si>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</si>
  <si>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</si>
  <si>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</si>
  <si>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</si>
  <si>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</si>
  <si>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</si>
  <si>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</si>
  <si>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</si>
  <si>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</si>
  <si>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</si>
  <si>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</si>
  <si>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</si>
  <si>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</si>
  <si>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</si>
  <si>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</si>
  <si>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</si>
  <si>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</si>
  <si>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</si>
  <si>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</si>
  <si>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</si>
  <si>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</si>
  <si>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</si>
  <si>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</si>
  <si>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</si>
  <si>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</si>
  <si>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</si>
  <si>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</si>
  <si>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</si>
  <si>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</si>
  <si>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</si>
  <si>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</si>
  <si>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</si>
  <si>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</si>
  <si>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</si>
  <si>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</si>
  <si>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</si>
  <si>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</si>
  <si>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</si>
  <si>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</si>
  <si>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</si>
  <si>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</si>
  <si>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</si>
  <si>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</si>
  <si>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</si>
  <si>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</si>
  <si>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</si>
  <si>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</si>
  <si>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</si>
  <si>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</si>
  <si>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</si>
  <si>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</si>
  <si>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</si>
  <si>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</si>
  <si>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</si>
  <si>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</si>
  <si>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</si>
  <si>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</si>
  <si>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</si>
  <si>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</si>
  <si>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</si>
  <si>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</si>
  <si>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</si>
  <si>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</si>
  <si>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</si>
  <si>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</si>
  <si>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</si>
  <si>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</si>
  <si>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</si>
  <si>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</si>
  <si>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</si>
  <si>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</si>
  <si>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</si>
  <si>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</si>
  <si>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</si>
  <si>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</si>
  <si>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</si>
  <si>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</si>
  <si>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</si>
  <si>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</si>
  <si>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</si>
  <si>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</si>
  <si>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</si>
  <si>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</si>
  <si>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</si>
  <si>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</si>
  <si>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</si>
  <si>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</si>
  <si>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</si>
  <si>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</si>
  <si>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</si>
  <si>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</si>
  <si>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</si>
  <si>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</si>
  <si>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</si>
  <si>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</si>
  <si>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</si>
  <si>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</si>
  <si>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</si>
  <si>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</si>
  <si>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</si>
  <si>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</si>
  <si>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</si>
  <si>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</si>
  <si>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</si>
  <si>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</si>
  <si>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</si>
  <si>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</si>
  <si>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</si>
  <si>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</si>
  <si>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</si>
  <si>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</si>
  <si>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</si>
  <si>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</si>
  <si>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</si>
  <si>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</si>
  <si>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</si>
  <si>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</si>
  <si>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</si>
  <si>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</si>
  <si>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</si>
  <si>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</si>
  <si>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</si>
  <si>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</si>
  <si>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</si>
  <si>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</si>
  <si>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</si>
  <si>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</si>
  <si>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</si>
  <si>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</si>
  <si>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</si>
  <si>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</si>
  <si>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</si>
  <si>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</si>
  <si>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</si>
  <si>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</si>
  <si>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</si>
  <si>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</si>
  <si>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</si>
  <si>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</si>
  <si>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</si>
  <si>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</si>
  <si>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</si>
  <si>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</si>
  <si>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</si>
  <si>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</si>
  <si>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</si>
  <si>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</si>
  <si>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</si>
  <si>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</si>
  <si>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</si>
  <si>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</si>
  <si>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</si>
  <si>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</si>
  <si>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</si>
  <si>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</si>
  <si>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</si>
  <si>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</si>
  <si>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</si>
  <si>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</si>
  <si>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</si>
  <si>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</si>
  <si>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</si>
  <si>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</si>
  <si>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</si>
  <si>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</si>
  <si>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</si>
  <si>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</si>
  <si>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</si>
  <si>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</si>
  <si>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</si>
  <si>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</si>
  <si>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</si>
  <si>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</si>
  <si>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</si>
  <si>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</si>
  <si>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</si>
  <si>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</si>
  <si>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</si>
  <si>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</si>
  <si>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</si>
  <si>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</si>
  <si>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</si>
  <si>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</si>
  <si>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</si>
  <si>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</si>
  <si>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</si>
  <si>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</si>
  <si>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</si>
  <si>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</si>
  <si>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</si>
  <si>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</si>
  <si>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</si>
  <si>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</si>
  <si>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</si>
  <si>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</si>
  <si>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</si>
  <si>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</si>
  <si>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</si>
  <si>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</si>
  <si>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</si>
  <si>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</si>
  <si>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</si>
  <si>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</si>
  <si>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</si>
  <si>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</si>
  <si>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</si>
  <si>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</si>
  <si>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</si>
  <si>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</si>
  <si>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</si>
  <si>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</si>
  <si>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</si>
  <si>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</si>
  <si>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</si>
  <si>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</si>
  <si>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</si>
  <si>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</si>
  <si>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</si>
  <si>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</si>
  <si>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</si>
  <si>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</si>
  <si>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</si>
  <si>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</si>
  <si>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</si>
  <si>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</si>
  <si>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</si>
  <si>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</si>
  <si>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</si>
  <si>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</si>
  <si>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</si>
  <si>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</si>
  <si>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</si>
  <si>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</si>
  <si>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</si>
  <si>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</si>
  <si>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</si>
  <si>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</si>
  <si>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</si>
  <si>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</si>
  <si>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</si>
  <si>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</si>
  <si>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</si>
  <si>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</si>
  <si>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</si>
  <si>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</si>
  <si>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</si>
  <si>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</si>
  <si>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</si>
  <si>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</si>
  <si>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</si>
  <si>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</si>
  <si>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</si>
  <si>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</si>
  <si>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</si>
  <si>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</si>
  <si>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</si>
  <si>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</si>
  <si>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</si>
  <si>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</si>
  <si>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</si>
  <si>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</si>
  <si>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</si>
  <si>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</si>
  <si>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</si>
  <si>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</si>
  <si>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</si>
  <si>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</si>
  <si>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</si>
  <si>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</si>
  <si>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</si>
  <si>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</si>
  <si>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</si>
  <si>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</si>
  <si>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</si>
  <si>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</si>
  <si>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</si>
  <si>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</si>
  <si>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</si>
  <si>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</si>
  <si>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</si>
  <si>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</si>
  <si>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</si>
  <si>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</si>
  <si>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</si>
  <si>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</si>
  <si>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</si>
  <si>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</si>
  <si>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</si>
  <si>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</si>
  <si>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</si>
  <si>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</si>
  <si>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</si>
  <si>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</si>
  <si>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</si>
  <si>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</si>
  <si>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</si>
  <si>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</si>
  <si>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</si>
  <si>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</si>
  <si>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</si>
  <si>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</si>
  <si>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</si>
  <si>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</si>
  <si>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</si>
  <si>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</si>
  <si>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</si>
  <si>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</si>
  <si>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</si>
  <si>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</si>
  <si>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</si>
  <si>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</si>
  <si>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</si>
  <si>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</si>
  <si>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</si>
  <si>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</si>
  <si>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</si>
  <si>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</si>
  <si>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</si>
  <si>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</si>
  <si>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</si>
  <si>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</si>
  <si>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</si>
  <si>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</si>
  <si>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</si>
  <si>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</si>
  <si>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</si>
  <si>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</si>
  <si>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</si>
  <si>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</si>
  <si>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</si>
  <si>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</si>
  <si>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</si>
  <si>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</si>
  <si>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</si>
  <si>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</si>
  <si>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</si>
  <si>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</si>
  <si>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</si>
  <si>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</si>
  <si>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</si>
  <si>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</si>
  <si>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</si>
  <si>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</si>
  <si>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</si>
  <si>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</si>
  <si>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</si>
  <si>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</si>
  <si>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</si>
  <si>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</si>
  <si>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</si>
  <si>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</si>
  <si>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</si>
  <si>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</si>
  <si>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</si>
  <si>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</si>
  <si>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</si>
  <si>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</si>
  <si>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</si>
  <si>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</si>
  <si>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</si>
  <si>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</si>
  <si>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</si>
  <si>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</si>
  <si>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</si>
  <si>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</si>
  <si>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</si>
  <si>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</si>
  <si>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</si>
  <si>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</si>
  <si>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</si>
  <si>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</si>
  <si>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</si>
  <si>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</si>
  <si>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</si>
  <si>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</si>
  <si>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</si>
  <si>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</si>
  <si>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</si>
  <si>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</si>
  <si>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</si>
  <si>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</si>
  <si>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</si>
  <si>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</si>
  <si>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</si>
  <si>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</si>
  <si>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</si>
  <si>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</si>
  <si>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</si>
  <si>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</si>
  <si>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</si>
  <si>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</si>
  <si>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</si>
  <si>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</si>
  <si>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</si>
  <si>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</si>
  <si>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</si>
  <si>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</si>
  <si>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</si>
  <si>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</si>
  <si>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</si>
  <si>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</si>
  <si>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</si>
  <si>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</si>
  <si>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</si>
  <si>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</si>
  <si>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</si>
  <si>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</si>
  <si>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</si>
  <si>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</si>
  <si>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</si>
  <si>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</si>
  <si>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</si>
  <si>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</si>
  <si>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</si>
  <si>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</si>
  <si>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</si>
  <si>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</si>
  <si>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</si>
  <si>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</si>
  <si>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</si>
  <si>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</si>
  <si>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</si>
  <si>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</si>
  <si>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</si>
  <si>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</si>
  <si>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</si>
  <si>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</si>
  <si>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</si>
  <si>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</si>
  <si>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</si>
  <si>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</si>
  <si>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</si>
  <si>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</si>
  <si>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</si>
  <si>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</si>
  <si>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</si>
  <si>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</si>
  <si>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</si>
  <si>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</si>
  <si>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</si>
  <si>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</si>
  <si>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</si>
  <si>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</si>
  <si>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</si>
  <si>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</si>
  <si>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</si>
  <si>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</si>
  <si>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</si>
  <si>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</si>
  <si>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</si>
  <si>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</si>
  <si>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</si>
  <si>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</si>
  <si>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</si>
  <si>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</si>
  <si>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</si>
  <si>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</si>
  <si>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</si>
  <si>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</si>
  <si>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</si>
  <si>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</si>
  <si>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</si>
  <si>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</si>
  <si>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</si>
  <si>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</si>
  <si>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</si>
  <si>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</si>
  <si>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</si>
  <si>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</si>
  <si>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</si>
  <si>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</si>
  <si>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</si>
  <si>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</si>
  <si>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</si>
  <si>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</si>
  <si>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</si>
  <si>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</si>
  <si>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</si>
  <si>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</si>
  <si>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</si>
  <si>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</si>
  <si>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</si>
  <si>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</si>
  <si>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</si>
  <si>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</si>
  <si>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</si>
  <si>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</si>
  <si>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</si>
  <si>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</si>
  <si>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</si>
  <si>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</si>
  <si>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</si>
  <si>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</si>
  <si>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</si>
  <si>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</si>
  <si>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</si>
  <si>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</si>
  <si>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</si>
  <si>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</si>
  <si>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</si>
  <si>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</si>
  <si>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</si>
  <si>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</si>
  <si>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</si>
  <si>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</si>
  <si>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</si>
  <si>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</si>
  <si>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</si>
  <si>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</si>
  <si>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</si>
  <si>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</si>
  <si>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</si>
  <si>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</si>
  <si>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</si>
  <si>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</si>
  <si>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</si>
  <si>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</si>
  <si>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</si>
  <si>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</si>
  <si>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</si>
  <si>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</si>
  <si>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</si>
  <si>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</si>
  <si>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</si>
  <si>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</si>
  <si>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</si>
  <si>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</si>
  <si>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</si>
  <si>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</si>
  <si>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</si>
  <si>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</si>
  <si>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</si>
  <si>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</si>
  <si>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</si>
  <si>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</si>
  <si>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</si>
  <si>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</si>
  <si>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</si>
  <si>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</si>
  <si>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</si>
  <si>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</si>
  <si>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</si>
  <si>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</si>
  <si>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</si>
  <si>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</si>
  <si>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</si>
  <si>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</si>
  <si>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</si>
  <si>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</si>
  <si>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</si>
  <si>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</si>
  <si>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</si>
  <si>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</si>
  <si>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</si>
  <si>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</si>
  <si>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</si>
  <si>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</si>
  <si>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</si>
  <si>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</si>
  <si>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</si>
  <si>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</si>
  <si>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</si>
  <si>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</si>
  <si>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</si>
  <si>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</si>
  <si>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</si>
  <si>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</si>
  <si>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</si>
  <si>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</si>
  <si>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</si>
  <si>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</si>
  <si>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</si>
  <si>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</si>
  <si>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</si>
  <si>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</si>
  <si>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</si>
  <si>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</si>
  <si>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</si>
  <si>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</si>
  <si>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</si>
  <si>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</si>
  <si>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</si>
  <si>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</si>
  <si>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</si>
  <si>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</si>
  <si>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</si>
  <si>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</si>
  <si>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</si>
  <si>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</si>
  <si>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</si>
  <si>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</si>
  <si>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</si>
  <si>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</si>
  <si>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</si>
  <si>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</si>
  <si>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</si>
  <si>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</si>
  <si>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</si>
  <si>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</si>
  <si>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</si>
  <si>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</si>
  <si>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</si>
  <si>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</si>
  <si>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</si>
  <si>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</si>
  <si>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</si>
  <si>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</si>
  <si>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</si>
  <si>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</si>
  <si>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</si>
  <si>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</si>
  <si>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</si>
  <si>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</si>
  <si>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</si>
  <si>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</si>
  <si>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</si>
  <si>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</si>
  <si>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</si>
  <si>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</si>
  <si>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</si>
  <si>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</si>
  <si>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</si>
  <si>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</si>
  <si>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</si>
  <si>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</si>
  <si>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</si>
  <si>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</si>
  <si>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</si>
  <si>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</si>
  <si>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</si>
  <si>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</si>
  <si>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</si>
  <si>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</si>
  <si>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</si>
  <si>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</si>
  <si>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</si>
  <si>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</si>
  <si>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</si>
  <si>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</si>
  <si>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</si>
  <si>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</si>
  <si>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</si>
  <si>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</si>
  <si>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</si>
  <si>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</si>
  <si>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</si>
  <si>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</si>
  <si>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</si>
  <si>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</si>
  <si>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</si>
  <si>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</si>
  <si>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</si>
  <si>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</si>
  <si>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</si>
  <si>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</si>
  <si>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</si>
  <si>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</si>
  <si>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</si>
  <si>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</si>
  <si>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</si>
  <si>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</si>
  <si>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</si>
  <si>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</si>
  <si>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</si>
  <si>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</si>
  <si>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</si>
  <si>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</si>
  <si>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</si>
  <si>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</si>
  <si>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</si>
  <si>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</si>
  <si>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</si>
  <si>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</si>
  <si>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</si>
  <si>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</si>
  <si>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</si>
  <si>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</si>
  <si>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</si>
  <si>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</si>
  <si>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</si>
  <si>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</si>
  <si>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</si>
  <si>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</si>
  <si>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</si>
  <si>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</si>
  <si>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</si>
  <si>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</si>
  <si>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</si>
  <si>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</si>
  <si>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</si>
  <si>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</si>
  <si>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</si>
  <si>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</si>
  <si>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</si>
  <si>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</si>
  <si>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</si>
  <si>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</si>
  <si>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</si>
  <si>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</si>
  <si>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</si>
  <si>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</si>
  <si>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</si>
  <si>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</si>
  <si>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</si>
  <si>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</si>
  <si>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</si>
  <si>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</si>
  <si>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</si>
  <si>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</si>
  <si>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</si>
  <si>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</si>
  <si>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</si>
  <si>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</si>
  <si>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</si>
  <si>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</si>
  <si>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</si>
  <si>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</si>
  <si>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</si>
  <si>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</si>
  <si>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</si>
  <si>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</si>
  <si>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</si>
  <si>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</si>
  <si>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</si>
  <si>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</si>
  <si>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</si>
  <si>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</si>
  <si>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</si>
  <si>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</si>
  <si>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</si>
  <si>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</si>
  <si>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</si>
  <si>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</si>
  <si>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</si>
  <si>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</si>
  <si>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</si>
  <si>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</si>
  <si>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</si>
  <si>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</si>
  <si>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</si>
  <si>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</si>
  <si>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</si>
  <si>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</si>
  <si>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</si>
  <si>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</si>
  <si>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</si>
  <si>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</si>
  <si>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</si>
  <si>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</si>
  <si>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</si>
  <si>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</si>
  <si>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</si>
  <si>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</si>
  <si>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</si>
  <si>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</si>
  <si>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</si>
  <si>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</si>
  <si>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</si>
  <si>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</si>
  <si>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</si>
  <si>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</si>
  <si>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</si>
  <si>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</si>
  <si>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</si>
  <si>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</si>
  <si>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</si>
  <si>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</si>
  <si>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</si>
  <si>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</si>
  <si>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</si>
  <si>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</si>
  <si>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</si>
  <si>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</si>
  <si>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</si>
  <si>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</si>
  <si>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</si>
  <si>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</si>
  <si>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</si>
  <si>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</si>
  <si>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</si>
  <si>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</si>
  <si>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</si>
  <si>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</si>
  <si>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</si>
  <si>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</si>
  <si>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</si>
  <si>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</si>
  <si>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</si>
  <si>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</si>
  <si>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</si>
  <si>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</si>
  <si>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</si>
  <si>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</si>
  <si>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</si>
  <si>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</si>
  <si>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</si>
  <si>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</si>
  <si>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</si>
  <si>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</si>
  <si>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</si>
  <si>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</si>
  <si>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</si>
  <si>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</si>
  <si>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</si>
  <si>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</si>
  <si>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</si>
  <si>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</si>
  <si>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</si>
  <si>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</si>
  <si>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</si>
  <si>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</si>
  <si>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</si>
  <si>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</si>
  <si>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</si>
  <si>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</si>
  <si>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</si>
  <si>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</si>
  <si>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</si>
  <si>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</si>
  <si>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</si>
  <si>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</si>
  <si>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</si>
  <si>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</si>
  <si>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</si>
  <si>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</si>
  <si>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</si>
  <si>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</si>
  <si>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</si>
  <si>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</si>
  <si>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</si>
  <si>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</si>
  <si>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</si>
  <si>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</si>
  <si>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</si>
  <si>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</si>
  <si>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</si>
  <si>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</si>
  <si>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</si>
  <si>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</si>
  <si>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</si>
  <si>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</si>
  <si>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</si>
  <si>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</si>
  <si>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</si>
  <si>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</si>
  <si>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</si>
  <si>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</si>
  <si>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</si>
  <si>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</si>
  <si>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</si>
  <si>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</si>
  <si>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</si>
  <si>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</si>
  <si>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</si>
  <si>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</si>
  <si>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</si>
  <si>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</si>
  <si>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</si>
  <si>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</si>
  <si>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</si>
  <si>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</si>
  <si>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</si>
  <si>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</si>
  <si>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</si>
  <si>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</si>
  <si>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</si>
  <si>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</si>
  <si>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</si>
  <si>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</si>
  <si>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</si>
  <si>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</si>
  <si>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</si>
  <si>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</si>
  <si>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</si>
  <si>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</si>
  <si>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</si>
  <si>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</si>
  <si>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</si>
  <si>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</si>
  <si>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</si>
  <si>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</si>
  <si>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</si>
  <si>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</si>
  <si>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</si>
  <si>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</si>
  <si>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</si>
  <si>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</si>
  <si>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</si>
  <si>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</si>
  <si>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</si>
  <si>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</si>
  <si>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</si>
  <si>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</si>
  <si>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</si>
  <si>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</si>
  <si>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</si>
  <si>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</si>
  <si>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</si>
  <si>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</si>
  <si>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</si>
  <si>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</si>
  <si>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</si>
  <si>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</si>
  <si>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</si>
  <si>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</si>
  <si>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</si>
  <si>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</si>
  <si>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</si>
  <si>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</si>
  <si>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</si>
  <si>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</si>
  <si>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</si>
  <si>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</si>
  <si>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</si>
  <si>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</si>
  <si>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</si>
  <si>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</si>
  <si>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</si>
  <si>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</si>
  <si>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</si>
  <si>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</si>
  <si>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</si>
  <si>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</si>
  <si>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</si>
  <si>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</si>
  <si>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</si>
  <si>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</si>
  <si>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</si>
  <si>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</si>
  <si>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</si>
  <si>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</si>
  <si>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</si>
  <si>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</si>
  <si>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</si>
  <si>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</si>
  <si>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</si>
  <si>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</si>
  <si>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</si>
  <si>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</si>
  <si>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</si>
  <si>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</si>
  <si>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</si>
  <si>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</si>
  <si>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</si>
  <si>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</si>
  <si>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</si>
  <si>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</si>
  <si>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</si>
  <si>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</si>
  <si>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</si>
  <si>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</si>
  <si>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</si>
  <si>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</si>
  <si>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</si>
  <si>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</si>
  <si>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</si>
  <si>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</si>
  <si>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</si>
  <si>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</si>
  <si>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</si>
  <si>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</si>
  <si>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</si>
  <si>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</si>
  <si>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</si>
  <si>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</si>
  <si>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</si>
  <si>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</si>
  <si>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</si>
  <si>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</si>
  <si>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</si>
  <si>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</si>
  <si>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</si>
  <si>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</si>
  <si>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</si>
  <si>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</si>
  <si>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</si>
  <si>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</si>
  <si>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</si>
  <si>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</si>
  <si>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</si>
  <si>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</si>
  <si>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</si>
  <si>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</si>
  <si>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</si>
  <si>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</si>
  <si>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</si>
  <si>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</si>
  <si>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</si>
  <si>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</si>
  <si>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</si>
  <si>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</si>
  <si>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</si>
  <si>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</si>
  <si>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</si>
  <si>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</si>
  <si>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</si>
  <si>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</si>
  <si>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</si>
  <si>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</si>
  <si>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</si>
  <si>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</si>
  <si>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</si>
  <si>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</si>
  <si>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</si>
  <si>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</si>
  <si>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</si>
  <si>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</si>
  <si>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</si>
  <si>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</si>
  <si>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</si>
  <si>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</si>
  <si>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</si>
  <si>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</si>
  <si>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</si>
  <si>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</si>
  <si>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</si>
  <si>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</si>
  <si>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</si>
  <si>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</si>
  <si>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</si>
  <si>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</si>
  <si>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</si>
  <si>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</si>
  <si>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</si>
  <si>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</si>
  <si>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</si>
  <si>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</si>
  <si>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</si>
  <si>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</si>
  <si>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</si>
  <si>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</si>
  <si>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</si>
  <si>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</si>
  <si>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</si>
  <si>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</si>
  <si>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</si>
  <si>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</si>
  <si>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</si>
  <si>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</si>
  <si>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</si>
  <si>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</si>
  <si>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</si>
  <si>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</si>
  <si>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</si>
  <si>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</si>
  <si>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</si>
  <si>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</si>
  <si>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</si>
  <si>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</si>
  <si>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</si>
  <si>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</si>
  <si>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</si>
  <si>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</si>
  <si>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</si>
  <si>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</si>
  <si>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</si>
  <si>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</si>
  <si>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</si>
  <si>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</si>
  <si>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</si>
  <si>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</si>
  <si>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</si>
  <si>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</si>
  <si>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</si>
  <si>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</si>
  <si>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</si>
  <si>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</si>
  <si>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</si>
  <si>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</si>
  <si>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</si>
  <si>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</si>
  <si>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</si>
  <si>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</si>
  <si>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</si>
  <si>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</si>
  <si>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</si>
  <si>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</si>
  <si>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</si>
  <si>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</si>
  <si>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</si>
  <si>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</si>
  <si>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</si>
  <si>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</si>
  <si>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</si>
  <si>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</si>
  <si>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</si>
  <si>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</si>
  <si>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</si>
  <si>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</si>
  <si>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</si>
  <si>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</si>
  <si>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</si>
  <si>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</si>
  <si>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</si>
  <si>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</si>
  <si>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</si>
  <si>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</si>
  <si>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</si>
  <si>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</si>
  <si>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</si>
  <si>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</si>
  <si>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</si>
  <si>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</si>
  <si>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</si>
  <si>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</si>
  <si>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</si>
  <si>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</si>
  <si>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</si>
  <si>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</si>
  <si>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</si>
  <si>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</si>
  <si>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</si>
  <si>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</si>
  <si>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</si>
  <si>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</si>
  <si>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</si>
  <si>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</si>
  <si>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</si>
  <si>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</si>
  <si>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</si>
  <si>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</si>
  <si>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</si>
  <si>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</si>
  <si>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</si>
  <si>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</si>
  <si>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</si>
  <si>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</si>
  <si>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</si>
  <si>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</si>
  <si>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</si>
  <si>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</si>
  <si>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</si>
  <si>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</si>
  <si>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</si>
  <si>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</si>
  <si>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</si>
  <si>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</si>
  <si>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</si>
  <si>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</si>
  <si>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</si>
  <si>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</si>
  <si>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</si>
  <si>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</si>
  <si>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</si>
  <si>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</si>
  <si>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</si>
  <si>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</si>
  <si>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</si>
  <si>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</si>
  <si>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</si>
  <si>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</si>
  <si>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</si>
  <si>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</si>
  <si>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</si>
  <si>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</si>
  <si>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</si>
  <si>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</si>
  <si>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</si>
  <si>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</si>
  <si>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</si>
  <si>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</si>
  <si>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</si>
  <si>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</si>
  <si>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</si>
  <si>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</si>
  <si>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</si>
  <si>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</si>
  <si>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</si>
  <si>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</si>
  <si>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</si>
  <si>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</si>
  <si>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</si>
  <si>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</si>
  <si>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</si>
  <si>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</si>
  <si>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</si>
  <si>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</si>
  <si>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</si>
  <si>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</si>
  <si>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</si>
  <si>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</si>
  <si>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</si>
  <si>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</si>
  <si>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</si>
  <si>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</si>
  <si>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</si>
  <si>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</si>
  <si>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</si>
  <si>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</si>
  <si>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</si>
  <si>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</si>
  <si>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</si>
  <si>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</si>
  <si>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</si>
  <si>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</si>
  <si>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</si>
  <si>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</si>
  <si>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</si>
  <si>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</si>
  <si>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</si>
  <si>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</si>
  <si>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</si>
  <si>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</si>
  <si>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</si>
  <si>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</si>
  <si>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</si>
  <si>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</si>
  <si>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</si>
  <si>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</si>
  <si>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</si>
  <si>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</si>
  <si>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</si>
  <si>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</si>
  <si>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</si>
  <si>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</si>
  <si>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</si>
  <si>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</si>
  <si>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</si>
  <si>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</si>
  <si>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</si>
  <si>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</si>
  <si>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</si>
  <si>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</si>
  <si>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</si>
  <si>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</si>
  <si>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</si>
  <si>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</si>
  <si>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</si>
  <si>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</si>
  <si>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</si>
  <si>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</si>
  <si>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</si>
  <si>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</si>
  <si>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</si>
  <si>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</si>
  <si>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</si>
  <si>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</si>
  <si>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</si>
  <si>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</si>
  <si>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</si>
  <si>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</si>
  <si>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</si>
  <si>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</si>
  <si>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</si>
  <si>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</si>
  <si>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</si>
  <si>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</si>
  <si>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</si>
  <si>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</si>
  <si>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</si>
  <si>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</si>
  <si>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</si>
  <si>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</si>
  <si>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</si>
  <si>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</si>
  <si>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</si>
  <si>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</si>
  <si>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</si>
  <si>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</si>
  <si>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</si>
  <si>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</si>
  <si>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</si>
  <si>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</si>
  <si>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</si>
  <si>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</si>
  <si>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</si>
  <si>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</si>
  <si>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</si>
  <si>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</si>
  <si>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</si>
  <si>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</si>
  <si>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</si>
  <si>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</si>
  <si>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</si>
  <si>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</si>
  <si>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</si>
  <si>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</si>
  <si>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</si>
  <si>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</si>
  <si>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</si>
  <si>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</si>
  <si>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</si>
  <si>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</si>
  <si>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</si>
  <si>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</si>
  <si>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</si>
  <si>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</si>
  <si>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</si>
  <si>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</si>
  <si>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</si>
  <si>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</si>
  <si>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</si>
  <si>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</si>
  <si>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</si>
  <si>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</si>
  <si>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</si>
  <si>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</si>
  <si>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</si>
  <si>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</si>
  <si>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</si>
  <si>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</si>
  <si>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</si>
  <si>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</si>
  <si>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</si>
  <si>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</si>
  <si>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</si>
  <si>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</si>
  <si>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</si>
  <si>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</si>
  <si>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</si>
  <si>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</si>
  <si>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</si>
  <si>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</si>
  <si>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</si>
  <si>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</si>
  <si>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</si>
  <si>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</si>
  <si>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</si>
  <si>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</si>
  <si>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</si>
  <si>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</si>
  <si>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</si>
  <si>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</si>
  <si>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</si>
  <si>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</si>
  <si>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</si>
  <si>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</si>
  <si>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</si>
  <si>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</si>
  <si>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</si>
  <si>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</si>
  <si>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</si>
  <si>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</si>
  <si>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</si>
  <si>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</si>
  <si>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</si>
  <si>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</si>
  <si>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</si>
  <si>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</si>
  <si>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</si>
  <si>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</si>
  <si>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</si>
  <si>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</si>
  <si>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</si>
  <si>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</si>
  <si>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</si>
  <si>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</si>
  <si>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</si>
  <si>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</si>
  <si>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</si>
  <si>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</si>
  <si>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</si>
  <si>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</si>
  <si>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</si>
  <si>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</si>
  <si>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</si>
  <si>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</si>
  <si>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</si>
  <si>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</si>
  <si>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</si>
  <si>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</si>
  <si>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</si>
  <si>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</si>
  <si>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</si>
  <si>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</si>
  <si>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</si>
  <si>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</si>
  <si>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</si>
  <si>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</si>
  <si>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</si>
  <si>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</si>
  <si>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</si>
  <si>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</si>
  <si>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</si>
  <si>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</si>
  <si>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</si>
  <si>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</si>
  <si>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</si>
  <si>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</si>
  <si>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</si>
  <si>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</si>
  <si>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</si>
  <si>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</si>
  <si>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</si>
  <si>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</si>
  <si>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</si>
  <si>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</si>
  <si>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</si>
  <si>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</si>
  <si>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</si>
  <si>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</si>
  <si>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</si>
  <si>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</si>
  <si>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</si>
  <si>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</si>
  <si>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</si>
  <si>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</si>
  <si>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</si>
  <si>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</si>
  <si>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</si>
  <si>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</si>
  <si>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</si>
  <si>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</si>
  <si>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</si>
  <si>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</si>
  <si>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</si>
  <si>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</si>
  <si>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</si>
  <si>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</si>
  <si>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</si>
  <si>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</si>
  <si>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</si>
  <si>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</si>
  <si>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</si>
  <si>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</si>
  <si>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</si>
  <si>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</si>
  <si>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</si>
  <si>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</si>
  <si>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</si>
  <si>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</si>
  <si>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</si>
  <si>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</si>
  <si>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</si>
  <si>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</si>
  <si>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</si>
  <si>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</si>
  <si>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</si>
  <si>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</si>
  <si>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</si>
  <si>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</si>
  <si>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</si>
  <si>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</si>
  <si>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</si>
  <si>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</si>
  <si>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</si>
  <si>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</si>
  <si>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</si>
  <si>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</si>
  <si>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G000000253</t>
  </si>
  <si>
    <t>G000000282</t>
  </si>
  <si>
    <t>G000001278</t>
  </si>
  <si>
    <t>DFLTPGCOH_BF-C2_001242</t>
  </si>
  <si>
    <t>DFLTPGCOH_BF-C4_002002</t>
  </si>
  <si>
    <t>DFLTPGCOH_001042</t>
  </si>
  <si>
    <t>DFLTPGCOH_001401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</si>
  <si>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</si>
  <si>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</si>
  <si>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</si>
  <si>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</si>
  <si>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</si>
  <si>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</si>
  <si>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</si>
  <si>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</si>
  <si>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</si>
  <si>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</si>
  <si>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</si>
  <si>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</si>
  <si>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</si>
  <si>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</si>
  <si>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</si>
  <si>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</si>
  <si>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</si>
  <si>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</si>
  <si>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</si>
  <si>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</si>
  <si>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</si>
  <si>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</si>
  <si>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</si>
  <si>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</si>
  <si>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</si>
  <si>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</si>
  <si>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</si>
  <si>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</si>
  <si>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</si>
  <si>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</si>
  <si>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</si>
  <si>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</si>
  <si>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</si>
  <si>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</si>
  <si>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</si>
  <si>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</si>
  <si>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</si>
  <si>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</si>
  <si>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</si>
  <si>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</si>
  <si>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</si>
  <si>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</si>
  <si>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</si>
  <si>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</si>
  <si>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</si>
  <si>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</si>
  <si>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</si>
  <si>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</si>
  <si>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</si>
  <si>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</si>
  <si>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</si>
  <si>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</si>
  <si>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</si>
  <si>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</si>
  <si>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</si>
  <si>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</si>
  <si>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</si>
  <si>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</si>
  <si>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</si>
  <si>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</si>
  <si>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</si>
  <si>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</si>
  <si>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</si>
  <si>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</si>
  <si>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</si>
  <si>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</si>
  <si>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</si>
  <si>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</si>
  <si>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</si>
  <si>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</si>
  <si>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</si>
  <si>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</si>
  <si>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</si>
  <si>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</si>
  <si>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</si>
  <si>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H000000704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</si>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</sst>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7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numFmt numFmtId="19" formatCode="dd/mm/yyyy"/>
    </dxf>
    <dxf>
      <numFmt numFmtId="19" formatCode="dd/mm/yyyy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29.483952083334" createdVersion="7" refreshedVersion="8" minRefreshableVersion="3" recordCount="894" xr:uid="{11839AE3-6158-4318-87AD-2C711D0BF451}">
  <cacheSource type="worksheet">
    <worksheetSource name="Proc"/>
  </cacheSource>
  <cacheFields count="19">
    <cacheField name="App" numFmtId="0">
      <sharedItems containsBlank="1" count="1294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m u="1"/>
        <s v="F3" u="1"/>
        <s v="F2" u="1"/>
      </sharedItems>
    </cacheField>
    <cacheField name="DateOpened" numFmtId="14">
      <sharedItems containsSemiMixedTypes="0" containsNonDate="0" containsDate="1" containsString="0" minDate="2023-09-01T00:00:00" maxDate="2025-03-12T11:36:24"/>
    </cacheField>
    <cacheField name="DateMapped" numFmtId="14">
      <sharedItems containsNonDate="0" containsDate="1" containsString="0" containsBlank="1" minDate="2023-09-01T00:00:00" maxDate="2025-03-14T00:00:00"/>
    </cacheField>
    <cacheField name="DateClosed" numFmtId="14">
      <sharedItems containsNonDate="0" containsDate="1" containsString="0" containsBlank="1" minDate="2023-09-06T00:00:00" maxDate="2025-03-1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59"/>
    </cacheField>
    <cacheField name="Author" numFmtId="0">
      <sharedItems containsBlank="1"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4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59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3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3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3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3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3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3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3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3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3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3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34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30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27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27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27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27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27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27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27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27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27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27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27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27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27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27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27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27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27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27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27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27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27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27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27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27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27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27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27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27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27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27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27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27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27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27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27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27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27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27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27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27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27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26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26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26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26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26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25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25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25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25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25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24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24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22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22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21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18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18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18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18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18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18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18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18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18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18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18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17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17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17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17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17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18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18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18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18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18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18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18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18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18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18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12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12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12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1"/>
    <x v="5"/>
    <s v="CLFF_1000$$$DE10698316"/>
    <s v="G000001280"/>
    <s v="G000001222"/>
    <s v="LFF (MDG-F)"/>
    <s v="DE10698316"/>
    <m/>
    <b v="0"/>
    <x v="0"/>
    <x v="1"/>
    <d v="2025-03-03T20:31:53"/>
    <m/>
    <m/>
    <x v="1"/>
    <n v="8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5"/>
    <s v="CEMERAL_70006301992296"/>
    <s v="G000001233"/>
    <s v="G000000253"/>
    <s v="Non-LFF"/>
    <s v=""/>
    <m/>
    <b v="0"/>
    <x v="0"/>
    <x v="1"/>
    <d v="2025-03-04T14:35:25"/>
    <m/>
    <m/>
    <x v="1"/>
    <n v="7"/>
    <s v="Jay-R Lizardo"/>
    <m/>
  </r>
  <r>
    <x v="101"/>
    <x v="1"/>
    <x v="5"/>
    <s v="CITR_1000$$$3943IT1055"/>
    <s v="G000000279"/>
    <s v="G000000282"/>
    <s v="Non-LFF"/>
    <s v=""/>
    <m/>
    <b v="0"/>
    <x v="0"/>
    <x v="1"/>
    <d v="2025-03-04T14:35:25"/>
    <m/>
    <m/>
    <x v="1"/>
    <n v="7"/>
    <s v="Jay-R Lizardo"/>
    <m/>
  </r>
  <r>
    <x v="101"/>
    <x v="1"/>
    <x v="5"/>
    <s v="CITR_1000$$$ITCC179801"/>
    <s v="G000001233"/>
    <s v="G000000253"/>
    <s v="Non-LFF"/>
    <s v=""/>
    <m/>
    <b v="0"/>
    <x v="0"/>
    <x v="1"/>
    <d v="2025-03-04T14:35:25"/>
    <m/>
    <m/>
    <x v="1"/>
    <n v="7"/>
    <s v="Jay-R Lizardo"/>
    <m/>
  </r>
  <r>
    <x v="101"/>
    <x v="1"/>
    <x v="5"/>
    <s v="CLFF_1000$$$DE10513301"/>
    <s v="G000001356"/>
    <s v="G000001235"/>
    <s v="LFF (MDG-F)"/>
    <s v="DE10513301"/>
    <m/>
    <b v="0"/>
    <x v="0"/>
    <x v="1"/>
    <d v="2025-03-04T14:35:25"/>
    <m/>
    <m/>
    <x v="1"/>
    <n v="7"/>
    <s v="Jay-R Lizardo"/>
    <m/>
  </r>
  <r>
    <x v="101"/>
    <x v="1"/>
    <x v="5"/>
    <s v="CLFF_1000$$$DE10533004"/>
    <s v="G000001123"/>
    <s v="G000001278"/>
    <s v="LFF (MDG-F)"/>
    <s v="DE10533004"/>
    <m/>
    <b v="0"/>
    <x v="0"/>
    <x v="1"/>
    <d v="2025-03-04T14:35:25"/>
    <m/>
    <m/>
    <x v="1"/>
    <n v="7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1"/>
    <n v="7"/>
    <s v="Jay-R Lizardo"/>
    <m/>
  </r>
  <r>
    <x v="101"/>
    <x v="1"/>
    <x v="5"/>
    <s v="CLFF_1000$$$VN50GIT050"/>
    <s v="H000004183"/>
    <s v="O000000007"/>
    <s v="LFF (MDG-F)"/>
    <s v="VN50GIT050"/>
    <m/>
    <b v="0"/>
    <x v="0"/>
    <x v="1"/>
    <d v="2025-03-04T14:35:25"/>
    <m/>
    <m/>
    <x v="1"/>
    <n v="7"/>
    <s v="Jay-R Lizardo"/>
    <m/>
  </r>
  <r>
    <x v="101"/>
    <x v="1"/>
    <x v="5"/>
    <s v="CLFF_1000$$$ZA50GIT11B"/>
    <s v="G000000279"/>
    <s v="G000000282"/>
    <s v="LFF (MDG-F)"/>
    <s v="ZA50GIT11B"/>
    <m/>
    <b v="0"/>
    <x v="0"/>
    <x v="1"/>
    <d v="2025-03-04T14:35:25"/>
    <m/>
    <m/>
    <x v="1"/>
    <n v="7"/>
    <s v="Jay-R Lizardo"/>
    <m/>
  </r>
  <r>
    <x v="101"/>
    <x v="1"/>
    <x v="5"/>
    <s v="CLFF_VMCA$$$US10GIT044"/>
    <s v="G000001356"/>
    <s v="G000001235"/>
    <s v="LFF (MDG-F)"/>
    <s v="US10GIT044"/>
    <m/>
    <b v="0"/>
    <x v="0"/>
    <x v="1"/>
    <d v="2025-03-04T14:35:25"/>
    <m/>
    <m/>
    <x v="1"/>
    <n v="7"/>
    <s v="Jay-R Lizardo"/>
    <m/>
  </r>
  <r>
    <x v="101"/>
    <x v="1"/>
    <x v="5"/>
    <s v="CNOW_7210$$$0000010256"/>
    <s v="G000001356"/>
    <s v="G000001235"/>
    <s v="Non-LFF"/>
    <m/>
    <m/>
    <b v="0"/>
    <x v="0"/>
    <x v="1"/>
    <d v="2025-03-04T14:35:25"/>
    <m/>
    <m/>
    <x v="1"/>
    <n v="7"/>
    <s v="Jay-R Lizardo"/>
    <m/>
  </r>
  <r>
    <x v="101"/>
    <x v="1"/>
    <x v="5"/>
    <s v="CNOW_7210$$$0000015455"/>
    <s v="L000013391"/>
    <s v="DFLTPGCOH_BF-C4_002002"/>
    <s v="Non-LFF"/>
    <s v=""/>
    <m/>
    <b v="0"/>
    <x v="0"/>
    <x v="1"/>
    <d v="2025-03-04T14:35:25"/>
    <m/>
    <m/>
    <x v="1"/>
    <n v="7"/>
    <s v="Jay-R Lizardo"/>
    <m/>
  </r>
  <r>
    <x v="101"/>
    <x v="1"/>
    <x v="5"/>
    <s v="CNOW_7210$$$0000051657"/>
    <s v="L000013808"/>
    <s v="DFLTPGCOH_002014"/>
    <s v="Non-LFF"/>
    <s v=""/>
    <m/>
    <b v="0"/>
    <x v="0"/>
    <x v="1"/>
    <d v="2025-03-04T14:35:25"/>
    <m/>
    <m/>
    <x v="1"/>
    <n v="7"/>
    <s v="Jay-R Lizardo"/>
    <m/>
  </r>
  <r>
    <x v="101"/>
    <x v="1"/>
    <x v="5"/>
    <s v="CNOW_7210$$$0000051660"/>
    <s v="L000013808"/>
    <s v="DFLTPGCOH_002014"/>
    <s v="Non-LFF"/>
    <s v=""/>
    <m/>
    <b v="0"/>
    <x v="0"/>
    <x v="1"/>
    <d v="2025-03-04T14:35:25"/>
    <m/>
    <m/>
    <x v="1"/>
    <n v="7"/>
    <s v="Jay-R Lizardo"/>
    <m/>
  </r>
  <r>
    <x v="101"/>
    <x v="1"/>
    <x v="5"/>
    <s v="CNOW_7210$$$0000051708"/>
    <s v="L000013391"/>
    <s v="DFLTPGCOH_002014"/>
    <s v="Non-LFF"/>
    <s v=""/>
    <m/>
    <b v="0"/>
    <x v="0"/>
    <x v="1"/>
    <d v="2025-03-04T14:35:25"/>
    <m/>
    <m/>
    <x v="1"/>
    <n v="7"/>
    <s v="Jay-R Lizardo"/>
    <m/>
  </r>
  <r>
    <x v="101"/>
    <x v="1"/>
    <x v="5"/>
    <s v="CNOW_7210$$$0000057162"/>
    <s v="G000001356"/>
    <s v="G000001235"/>
    <s v="Non-LFF"/>
    <s v=""/>
    <m/>
    <b v="0"/>
    <x v="0"/>
    <x v="1"/>
    <d v="2025-03-04T14:35:25"/>
    <m/>
    <m/>
    <x v="1"/>
    <n v="7"/>
    <s v="Jay-R Lizardo"/>
    <m/>
  </r>
  <r>
    <x v="101"/>
    <x v="1"/>
    <x v="5"/>
    <s v="CORAERP_MMOR1975.9445"/>
    <s v="G000001356"/>
    <s v="G000001235"/>
    <s v="Non-LFF"/>
    <s v=""/>
    <m/>
    <b v="0"/>
    <x v="0"/>
    <x v="1"/>
    <d v="2025-03-04T14:35:25"/>
    <m/>
    <m/>
    <x v="1"/>
    <n v="7"/>
    <s v="Jay-R Lizardo"/>
    <m/>
  </r>
  <r>
    <x v="101"/>
    <x v="1"/>
    <x v="5"/>
    <s v="CSCALA_1042$PMIT"/>
    <s v="G000000277"/>
    <s v="DFLTPGCOH_001042"/>
    <s v="Non-LFF"/>
    <s v=""/>
    <m/>
    <b v="0"/>
    <x v="0"/>
    <x v="1"/>
    <d v="2025-03-04T14:35:25"/>
    <m/>
    <m/>
    <x v="1"/>
    <n v="7"/>
    <s v="Jay-R Lizardo"/>
    <m/>
  </r>
  <r>
    <x v="101"/>
    <x v="1"/>
    <x v="5"/>
    <s v="CTEMPEU_1000FR40708101"/>
    <s v="G000001240"/>
    <s v="DFLTPGCOH_001401"/>
    <s v="Non-LFF"/>
    <s v=""/>
    <m/>
    <b v="0"/>
    <x v="0"/>
    <x v="1"/>
    <d v="2025-03-04T14:35:25"/>
    <m/>
    <m/>
    <x v="1"/>
    <n v="7"/>
    <s v="Jay-R Lizardo"/>
    <m/>
  </r>
  <r>
    <x v="101"/>
    <x v="1"/>
    <x v="5"/>
    <s v="CTEMPEU_1000GB10005697"/>
    <s v="G000001356"/>
    <s v="G000001235"/>
    <s v="Non-LFF"/>
    <s v=""/>
    <m/>
    <b v="0"/>
    <x v="0"/>
    <x v="1"/>
    <d v="2025-03-04T14:35:25"/>
    <m/>
    <m/>
    <x v="1"/>
    <n v="7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1"/>
    <x v="5"/>
    <s v="CLFF_1000$$$CH65R00044"/>
    <s v="H000000865"/>
    <s v="H000000704"/>
    <s v="LFF (MDG-F)"/>
    <s v="CH65R00044"/>
    <m/>
    <b v="0"/>
    <x v="1"/>
    <x v="1"/>
    <d v="2025-03-10T18:14:29"/>
    <m/>
    <m/>
    <x v="0"/>
    <n v="3"/>
    <s v="Luigia Bocola"/>
    <m/>
  </r>
  <r>
    <x v="109"/>
    <x v="1"/>
    <x v="5"/>
    <s v="CLFF_1000$$$CH65R00045"/>
    <s v="H000000864"/>
    <s v="H000000704"/>
    <s v="LFF (MDG-F)"/>
    <s v="CH65R00045"/>
    <m/>
    <b v="0"/>
    <x v="1"/>
    <x v="1"/>
    <d v="2025-03-10T18:14:29"/>
    <m/>
    <m/>
    <x v="0"/>
    <n v="3"/>
    <s v="Luigia Bocola"/>
    <m/>
  </r>
  <r>
    <x v="109"/>
    <x v="1"/>
    <x v="5"/>
    <s v="CLFF_1000$$$CH65R00046"/>
    <s v="H000000861"/>
    <s v="H000000704"/>
    <s v="LFF (MDG-F)"/>
    <s v="CH65R00046"/>
    <m/>
    <b v="0"/>
    <x v="1"/>
    <x v="1"/>
    <d v="2025-03-10T18:14:29"/>
    <m/>
    <m/>
    <x v="0"/>
    <n v="3"/>
    <s v="Luigia Bocola"/>
    <m/>
  </r>
  <r>
    <x v="109"/>
    <x v="1"/>
    <x v="5"/>
    <s v="CLFF_1000$$$CH65R00054"/>
    <s v="H000000907"/>
    <s v="H000000697"/>
    <s v="LFF (MDG-F)"/>
    <s v="CH65R00054"/>
    <m/>
    <b v="0"/>
    <x v="1"/>
    <x v="1"/>
    <d v="2025-03-10T18:14:29"/>
    <m/>
    <m/>
    <x v="0"/>
    <n v="3"/>
    <s v="Luigia Bocola"/>
    <m/>
  </r>
  <r>
    <x v="110"/>
    <x v="1"/>
    <x v="6"/>
    <s v="CLFF_1000$$$DE10300049"/>
    <s v="G000000229"/>
    <s v="G000000556"/>
    <s v="LFF (MDG-F)"/>
    <s v="DE10300049"/>
    <m/>
    <b v="0"/>
    <x v="0"/>
    <x v="1"/>
    <d v="2025-03-12T11:36:24"/>
    <m/>
    <m/>
    <x v="0"/>
    <n v="1"/>
    <s v="Jojeff Tagnong"/>
    <m/>
  </r>
  <r>
    <x v="111"/>
    <x v="1"/>
    <x v="5"/>
    <s v="CTEMPNA_1000PH80GFO017"/>
    <s v="G000000635"/>
    <s v="G000001166"/>
    <s v="Non-LFF"/>
    <s v=""/>
    <m/>
    <b v="0"/>
    <x v="0"/>
    <x v="1"/>
    <d v="2025-03-11T11:33:59"/>
    <m/>
    <m/>
    <x v="0"/>
    <n v="2"/>
    <s v="Jojeff Tagnong"/>
    <m/>
  </r>
  <r>
    <x v="112"/>
    <x v="1"/>
    <x v="6"/>
    <s v="CLFF_7210$$$2013OFIBM1 STO - IBM Finland"/>
    <s v="L000013118"/>
    <s v="L000011321"/>
    <s v="LFF (MDG-F)"/>
    <s v="2013OFIBM1"/>
    <m/>
    <b v="0"/>
    <x v="4"/>
    <x v="1"/>
    <d v="2025-03-11T10:50:27"/>
    <m/>
    <m/>
    <x v="0"/>
    <n v="2"/>
    <m/>
    <m/>
  </r>
  <r>
    <x v="112"/>
    <x v="1"/>
    <x v="5"/>
    <s v="CORAERP_MMOR1975.6619 KAIST - CTO - Technology Fund"/>
    <s v="L000013813"/>
    <s v="L000013325"/>
    <s v="Non-LFF"/>
    <s v=""/>
    <m/>
    <b v="0"/>
    <x v="4"/>
    <x v="1"/>
    <d v="2025-03-11T10:50:27"/>
    <m/>
    <m/>
    <x v="0"/>
    <n v="2"/>
    <m/>
    <m/>
  </r>
  <r>
    <x v="112"/>
    <x v="1"/>
    <x v="6"/>
    <s v="CLFF_7210$$$2123C00001 R&amp;A Com - Analytics"/>
    <s v="L000011139"/>
    <s v="L000013742"/>
    <s v="LFF (MDG-F)"/>
    <s v="2123C00001"/>
    <m/>
    <b v="0"/>
    <x v="4"/>
    <x v="1"/>
    <d v="2025-03-11T10:50:27"/>
    <m/>
    <m/>
    <x v="0"/>
    <n v="2"/>
    <m/>
    <m/>
  </r>
  <r>
    <x v="112"/>
    <x v="1"/>
    <x v="6"/>
    <s v="CLFF_7210$$$2128TMCZ95 Project E&amp;T APAC"/>
    <s v="L000013457"/>
    <s v="L000013452"/>
    <s v="LFF (MDG-F)"/>
    <s v="2128TMCZ95"/>
    <m/>
    <b v="0"/>
    <x v="4"/>
    <x v="1"/>
    <d v="2025-03-11T10:50:27"/>
    <m/>
    <m/>
    <x v="0"/>
    <n v="2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4"/>
        <item m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295">
        <item m="1" x="679"/>
        <item x="0"/>
        <item m="1" x="749"/>
        <item m="1" x="1170"/>
        <item m="1" x="332"/>
        <item m="1" x="1187"/>
        <item m="1" x="709"/>
        <item m="1" x="799"/>
        <item m="1" x="1220"/>
        <item m="1" x="1014"/>
        <item m="1" x="702"/>
        <item m="1" x="1286"/>
        <item m="1" x="1032"/>
        <item m="1" x="1276"/>
        <item m="1" x="650"/>
        <item m="1" x="551"/>
        <item m="1" x="255"/>
        <item m="1" x="516"/>
        <item m="1" x="1240"/>
        <item m="1" x="308"/>
        <item m="1" x="616"/>
        <item m="1" x="984"/>
        <item m="1" x="699"/>
        <item m="1" x="792"/>
        <item m="1" x="1088"/>
        <item m="1" x="1273"/>
        <item m="1" x="734"/>
        <item m="1" x="756"/>
        <item m="1" x="521"/>
        <item m="1" x="922"/>
        <item m="1" x="681"/>
        <item m="1" x="1227"/>
        <item m="1" x="884"/>
        <item m="1" x="317"/>
        <item m="1" x="425"/>
        <item m="1" x="1212"/>
        <item m="1" x="976"/>
        <item m="1" x="230"/>
        <item m="1" x="1062"/>
        <item m="1" x="728"/>
        <item m="1" x="1023"/>
        <item m="1" x="609"/>
        <item m="1" x="961"/>
        <item m="1" x="220"/>
        <item m="1" x="250"/>
        <item m="1" x="1289"/>
        <item m="1" x="968"/>
        <item m="1" x="1036"/>
        <item m="1" x="1143"/>
        <item m="1" x="912"/>
        <item m="1" x="1010"/>
        <item m="1" x="849"/>
        <item m="1" x="304"/>
        <item m="1" x="495"/>
        <item m="1" x="1271"/>
        <item m="1" x="839"/>
        <item m="1" x="979"/>
        <item m="1" x="507"/>
        <item m="1" x="468"/>
        <item m="1" x="760"/>
        <item m="1" x="652"/>
        <item m="1" x="685"/>
        <item m="1" x="244"/>
        <item m="1" x="383"/>
        <item m="1" x="1045"/>
        <item m="1" x="1262"/>
        <item m="1" x="448"/>
        <item m="1" x="853"/>
        <item m="1" x="863"/>
        <item m="1" x="1040"/>
        <item m="1" x="1150"/>
        <item m="1" x="1028"/>
        <item m="1" x="323"/>
        <item m="1" x="1171"/>
        <item m="1" x="901"/>
        <item m="1" x="888"/>
        <item m="1" x="423"/>
        <item m="1" x="776"/>
        <item m="1" x="1123"/>
        <item m="1" x="241"/>
        <item m="1" x="820"/>
        <item m="1" x="1173"/>
        <item m="1" x="1011"/>
        <item m="1" x="746"/>
        <item m="1" x="788"/>
        <item m="1" x="669"/>
        <item m="1" x="904"/>
        <item m="1" x="716"/>
        <item m="1" x="948"/>
        <item m="1" x="432"/>
        <item m="1" x="1261"/>
        <item m="1" x="786"/>
        <item m="1" x="1072"/>
        <item m="1" x="149"/>
        <item m="1" x="1277"/>
        <item m="1" x="813"/>
        <item m="1" x="1102"/>
        <item m="1" x="1015"/>
        <item m="1" x="793"/>
        <item m="1" x="303"/>
        <item m="1" x="310"/>
        <item m="1" x="350"/>
        <item m="1" x="532"/>
        <item m="1" x="956"/>
        <item m="1" x="717"/>
        <item m="1" x="833"/>
        <item m="1" x="896"/>
        <item m="1" x="1043"/>
        <item m="1" x="1126"/>
        <item m="1" x="688"/>
        <item m="1" x="409"/>
        <item m="1" x="252"/>
        <item m="1" x="395"/>
        <item m="1" x="1270"/>
        <item m="1" x="427"/>
        <item m="1" x="1108"/>
        <item m="1" x="1037"/>
        <item m="1" x="655"/>
        <item m="1" x="727"/>
        <item m="1" x="593"/>
        <item m="1" x="850"/>
        <item m="1" x="1225"/>
        <item m="1" x="401"/>
        <item m="1" x="349"/>
        <item m="1" x="284"/>
        <item m="1" x="950"/>
        <item m="1" x="1210"/>
        <item m="1" x="1138"/>
        <item m="1" x="795"/>
        <item m="1" x="319"/>
        <item m="1" x="1044"/>
        <item m="1" x="496"/>
        <item m="1" x="750"/>
        <item m="1" x="925"/>
        <item m="1" x="1033"/>
        <item m="1" x="153"/>
        <item m="1" x="982"/>
        <item m="1" x="945"/>
        <item m="1" x="386"/>
        <item m="1" x="834"/>
        <item m="1" x="722"/>
        <item m="1" x="675"/>
        <item m="1" x="408"/>
        <item m="1" x="344"/>
        <item m="1" x="584"/>
        <item m="1" x="771"/>
        <item m="1" x="178"/>
        <item m="1" x="517"/>
        <item m="1" x="376"/>
        <item m="1" x="118"/>
        <item m="1" x="628"/>
        <item m="1" x="829"/>
        <item m="1" x="711"/>
        <item m="1" x="757"/>
        <item m="1" x="1076"/>
        <item m="1" x="658"/>
        <item m="1" x="1184"/>
        <item m="1" x="908"/>
        <item m="1" x="847"/>
        <item m="1" x="361"/>
        <item m="1" x="994"/>
        <item m="1" x="1272"/>
        <item m="1" x="960"/>
        <item m="1" x="944"/>
        <item m="1" x="231"/>
        <item m="1" x="279"/>
        <item m="1" x="814"/>
        <item m="1" x="320"/>
        <item m="1" x="1257"/>
        <item m="1" x="923"/>
        <item m="1" x="848"/>
        <item m="1" x="800"/>
        <item m="1" x="601"/>
        <item m="1" x="229"/>
        <item m="1" x="329"/>
        <item m="1" x="435"/>
        <item m="1" x="1168"/>
        <item m="1" x="1200"/>
        <item m="1" x="899"/>
        <item m="1" x="626"/>
        <item m="1" x="714"/>
        <item m="1" x="224"/>
        <item m="1" x="264"/>
        <item m="1" x="603"/>
        <item m="1" x="828"/>
        <item m="1" x="741"/>
        <item m="1" x="399"/>
        <item m="1" x="632"/>
        <item m="1" x="346"/>
        <item m="1" x="541"/>
        <item m="1" x="463"/>
        <item m="1" x="298"/>
        <item m="1" x="434"/>
        <item m="1" x="804"/>
        <item m="1" x="214"/>
        <item m="1" x="453"/>
        <item m="1" x="245"/>
        <item m="1" x="938"/>
        <item m="1" x="1127"/>
        <item m="1" x="737"/>
        <item m="1" x="381"/>
        <item m="1" x="1031"/>
        <item m="1" x="876"/>
        <item m="1" x="393"/>
        <item m="1" x="394"/>
        <item m="1" x="579"/>
        <item m="1" x="269"/>
        <item m="1" x="458"/>
        <item m="1" x="253"/>
        <item m="1" x="439"/>
        <item m="1" x="1007"/>
        <item m="1" x="518"/>
        <item m="1" x="885"/>
        <item m="1" x="935"/>
        <item m="1" x="1069"/>
        <item m="1" x="1073"/>
        <item m="1" x="790"/>
        <item m="1" x="631"/>
        <item m="1" x="670"/>
        <item m="1" x="1237"/>
        <item m="1" x="530"/>
        <item m="1" x="342"/>
        <item m="1" x="720"/>
        <item m="1" x="177"/>
        <item m="1" x="1241"/>
        <item m="1" x="704"/>
        <item m="1" x="138"/>
        <item m="1" x="1159"/>
        <item m="1" x="1202"/>
        <item m="1" x="1039"/>
        <item m="1" x="416"/>
        <item m="1" x="155"/>
        <item m="1" x="1089"/>
        <item m="1" x="480"/>
        <item m="1" x="116"/>
        <item m="1" x="1260"/>
        <item m="1" x="504"/>
        <item m="1" x="659"/>
        <item m="1" x="1104"/>
        <item m="1" x="191"/>
        <item m="1" x="1016"/>
        <item m="1" x="824"/>
        <item m="1" x="689"/>
        <item m="1" x="559"/>
        <item m="1" x="306"/>
        <item m="1" x="807"/>
        <item m="1" x="509"/>
        <item m="1" x="1047"/>
        <item m="1" x="369"/>
        <item m="1" x="1117"/>
        <item m="1" x="1124"/>
        <item m="1" x="808"/>
        <item m="1" x="998"/>
        <item m="1" x="415"/>
        <item m="1" x="712"/>
        <item m="1" x="1001"/>
        <item m="1" x="585"/>
        <item m="1" x="875"/>
        <item m="1" x="514"/>
        <item m="1" x="299"/>
        <item m="1" x="503"/>
        <item m="1" x="1269"/>
        <item m="1" x="1211"/>
        <item m="1" x="356"/>
        <item m="1" x="1157"/>
        <item m="1" x="163"/>
        <item m="1" x="1179"/>
        <item m="1" x="198"/>
        <item m="1" x="500"/>
        <item m="1" x="598"/>
        <item m="1" x="545"/>
        <item m="1" x="1152"/>
        <item m="1" x="1055"/>
        <item m="1" x="296"/>
        <item m="1" x="866"/>
        <item m="1" x="1074"/>
        <item m="1" x="1208"/>
        <item m="1" x="1115"/>
        <item m="1" x="201"/>
        <item m="1" x="1281"/>
        <item m="1" x="352"/>
        <item m="1" x="633"/>
        <item m="1" x="1077"/>
        <item m="1" x="200"/>
        <item m="1" x="1136"/>
        <item m="1" x="365"/>
        <item m="1" x="1009"/>
        <item m="1" x="873"/>
        <item m="1" x="851"/>
        <item m="1" x="430"/>
        <item m="1" x="392"/>
        <item m="1" x="1204"/>
        <item m="1" x="145"/>
        <item m="1" x="327"/>
        <item m="1" x="986"/>
        <item m="1" x="1097"/>
        <item m="1" x="1024"/>
        <item m="1" x="1228"/>
        <item m="1" x="732"/>
        <item m="1" x="359"/>
        <item m="1" x="479"/>
        <item m="1" x="798"/>
        <item m="1" x="540"/>
        <item m="1" x="868"/>
        <item m="1" x="481"/>
        <item m="1" x="283"/>
        <item m="1" x="936"/>
        <item m="1" x="338"/>
        <item m="1" x="218"/>
        <item m="1" x="1070"/>
        <item m="1" x="1217"/>
        <item m="1" x="918"/>
        <item m="1" x="183"/>
        <item m="1" x="1109"/>
        <item m="1" x="907"/>
        <item m="1" x="1017"/>
        <item m="1" x="1156"/>
        <item m="1" x="384"/>
        <item m="1" x="576"/>
        <item m="1" x="414"/>
        <item m="1" x="682"/>
        <item m="1" x="606"/>
        <item m="1" x="636"/>
        <item m="1" x="1172"/>
        <item m="1" x="618"/>
        <item m="1" x="821"/>
        <item m="1" x="353"/>
        <item m="1" x="552"/>
        <item m="1" x="526"/>
        <item m="1" x="869"/>
        <item m="1" x="772"/>
        <item m="1" x="1000"/>
        <item m="1" x="522"/>
        <item m="1" x="1158"/>
        <item m="1" x="360"/>
        <item m="1" x="286"/>
        <item m="1" x="542"/>
        <item m="1" x="1083"/>
        <item m="1" x="193"/>
        <item m="1" x="194"/>
        <item m="1" x="490"/>
        <item m="1" x="1163"/>
        <item m="1" x="557"/>
        <item m="1" x="202"/>
        <item m="1" x="362"/>
        <item m="1" x="604"/>
        <item m="1" x="915"/>
        <item m="1" x="887"/>
        <item m="1" x="558"/>
        <item m="1" x="139"/>
        <item m="1" x="277"/>
        <item m="1" x="489"/>
        <item m="1" x="377"/>
        <item m="1" x="134"/>
        <item m="1" x="1087"/>
        <item m="1" x="1216"/>
        <item m="1" x="686"/>
        <item m="1" x="1116"/>
        <item m="1" x="1176"/>
        <item m="1" x="199"/>
        <item m="1" x="1214"/>
        <item m="1" x="952"/>
        <item m="1" x="375"/>
        <item m="1" x="561"/>
        <item m="1" x="465"/>
        <item m="1" x="827"/>
        <item m="1" x="398"/>
        <item m="1" x="614"/>
        <item m="1" x="909"/>
        <item m="1" x="1034"/>
        <item m="1" x="537"/>
        <item m="1" x="665"/>
        <item m="1" x="477"/>
        <item m="1" x="403"/>
        <item m="1" x="914"/>
        <item m="1" x="1029"/>
        <item m="1" x="1191"/>
        <item m="1" x="233"/>
        <item m="1" x="437"/>
        <item m="1" x="877"/>
        <item m="1" x="278"/>
        <item m="1" x="565"/>
        <item m="1" x="946"/>
        <item m="1" x="211"/>
        <item m="1" x="421"/>
        <item m="1" x="531"/>
        <item m="1" x="1137"/>
        <item m="1" x="370"/>
        <item m="1" x="640"/>
        <item m="1" x="1193"/>
        <item m="1" x="321"/>
        <item m="1" x="510"/>
        <item m="1" x="698"/>
        <item m="1" x="1035"/>
        <item m="1" x="333"/>
        <item m="1" x="589"/>
        <item m="1" x="431"/>
        <item m="1" x="927"/>
        <item m="1" x="1113"/>
        <item m="1" x="239"/>
        <item m="1" x="459"/>
        <item m="1" x="1195"/>
        <item m="1" x="1160"/>
        <item m="1" x="260"/>
        <item m="1" x="577"/>
        <item m="1" x="1101"/>
        <item m="1" x="1232"/>
        <item m="1" x="1103"/>
        <item m="1" x="1078"/>
        <item m="1" x="209"/>
        <item m="1" x="385"/>
        <item m="1" x="467"/>
        <item m="1" x="456"/>
        <item m="1" x="683"/>
        <item m="1" x="171"/>
        <item m="1" x="870"/>
        <item m="1" x="941"/>
        <item m="1" x="123"/>
        <item m="1" x="1201"/>
        <item m="1" x="1063"/>
        <item m="1" x="1192"/>
        <item m="1" x="1222"/>
        <item m="1" x="1258"/>
        <item m="1" x="1196"/>
        <item m="1" x="560"/>
        <item m="1" x="920"/>
        <item m="1" x="527"/>
        <item m="1" x="933"/>
        <item m="1" x="898"/>
        <item m="1" x="336"/>
        <item m="1" x="374"/>
        <item m="1" x="512"/>
        <item m="1" x="977"/>
        <item m="1" x="497"/>
        <item m="1" x="243"/>
        <item m="1" x="1242"/>
        <item m="1" x="992"/>
        <item m="1" x="825"/>
        <item m="1" x="857"/>
        <item m="1" x="906"/>
        <item m="1" x="331"/>
        <item m="1" x="673"/>
        <item m="1" x="1018"/>
        <item m="1" x="169"/>
        <item m="1" x="412"/>
        <item m="1" x="312"/>
        <item m="1" x="309"/>
        <item m="1" x="313"/>
        <item m="1" x="114"/>
        <item m="1" x="335"/>
        <item m="1" x="1132"/>
        <item m="1" x="136"/>
        <item m="1" x="782"/>
        <item m="1" x="1219"/>
        <item m="1" x="1030"/>
        <item m="1" x="290"/>
        <item m="1" x="1290"/>
        <item m="1" x="219"/>
        <item m="1" x="586"/>
        <item m="1" x="809"/>
        <item m="1" x="265"/>
        <item m="1" x="718"/>
        <item m="1" x="878"/>
        <item m="1" x="1146"/>
        <item m="1" x="1048"/>
        <item m="1" x="127"/>
        <item m="1" x="810"/>
        <item m="1" x="210"/>
        <item m="1" x="446"/>
        <item m="1" x="418"/>
        <item m="1" x="180"/>
        <item m="1" x="773"/>
        <item m="1" x="780"/>
        <item m="1" x="880"/>
        <item m="1" x="629"/>
        <item m="1" x="1129"/>
        <item m="1" x="538"/>
        <item m="1" x="1248"/>
        <item m="1" x="883"/>
        <item m="1" x="774"/>
        <item m="1" x="438"/>
        <item m="1" x="846"/>
        <item m="1" x="1144"/>
        <item m="1" x="1209"/>
        <item m="1" x="1188"/>
        <item m="1" x="1118"/>
        <item m="1" x="867"/>
        <item m="1" x="980"/>
        <item m="1" x="493"/>
        <item m="1" x="942"/>
        <item m="1" x="767"/>
        <item m="1" x="726"/>
        <item m="1" x="724"/>
        <item m="1" x="725"/>
        <item m="1" x="422"/>
        <item m="1" x="466"/>
        <item m="1" x="1079"/>
        <item m="1" x="644"/>
        <item m="1" x="486"/>
        <item m="1" x="528"/>
        <item m="1" x="574"/>
        <item m="1" x="826"/>
        <item m="1" x="1164"/>
        <item m="1" x="1253"/>
        <item m="1" x="371"/>
        <item m="1" x="322"/>
        <item m="1" x="159"/>
        <item m="1" x="181"/>
        <item m="1" x="478"/>
        <item m="1" x="266"/>
        <item m="1" x="594"/>
        <item m="1" x="1130"/>
        <item m="1" x="471"/>
        <item m="1" x="263"/>
        <item m="1" x="1022"/>
        <item m="1" x="140"/>
        <item m="1" x="1148"/>
        <item m="1" x="1223"/>
        <item m="1" x="1287"/>
        <item m="1" x="1162"/>
        <item m="1" x="405"/>
        <item m="1" x="182"/>
        <item m="1" x="646"/>
        <item m="1" x="730"/>
        <item m="1" x="926"/>
        <item m="1" x="894"/>
        <item m="1" x="930"/>
        <item m="1" x="707"/>
        <item m="1" x="745"/>
        <item m="1" x="1186"/>
        <item m="1" x="949"/>
        <item m="1" x="919"/>
        <item m="1" x="858"/>
        <item m="1" x="931"/>
        <item m="1" x="132"/>
        <item m="1" x="137"/>
        <item m="1" x="740"/>
        <item m="1" x="1125"/>
        <item m="1" x="695"/>
        <item m="1" x="1265"/>
        <item m="1" x="664"/>
        <item m="1" x="840"/>
        <item m="1" x="911"/>
        <item m="1" x="525"/>
        <item m="1" x="357"/>
        <item m="1" x="733"/>
        <item m="1" x="419"/>
        <item m="1" x="1274"/>
        <item m="1" x="1189"/>
        <item m="1" x="1002"/>
        <item m="1" x="259"/>
        <item m="1" x="186"/>
        <item m="1" x="759"/>
        <item m="1" x="1003"/>
        <item m="1" x="1292"/>
        <item m="1" x="638"/>
        <item m="1" x="1239"/>
        <item m="1" x="173"/>
        <item m="1" x="287"/>
        <item m="1" x="599"/>
        <item m="1" x="690"/>
        <item m="1" x="1119"/>
        <item m="1" x="443"/>
        <item m="1" x="1122"/>
        <item m="1" x="539"/>
        <item m="1" x="1111"/>
        <item m="1" x="1275"/>
        <item m="1" x="203"/>
        <item m="1" x="1259"/>
        <item m="1" x="150"/>
        <item m="1" x="1012"/>
        <item m="1" x="630"/>
        <item m="1" x="461"/>
        <item m="1" x="424"/>
        <item m="1" x="568"/>
        <item m="1" x="167"/>
        <item m="1" x="1252"/>
        <item m="1" x="251"/>
        <item m="1" x="272"/>
        <item m="1" x="1145"/>
        <item m="1" x="1224"/>
        <item m="1" x="738"/>
        <item m="1" x="879"/>
        <item m="1" x="580"/>
        <item m="1" x="693"/>
        <item m="1" x="842"/>
        <item m="1" x="959"/>
        <item m="1" x="546"/>
        <item m="1" x="822"/>
        <item m="1" x="641"/>
        <item m="1" x="1278"/>
        <item m="1" x="131"/>
        <item m="1" x="570"/>
        <item m="1" x="511"/>
        <item m="1" x="472"/>
        <item m="1" x="1266"/>
        <item m="1" x="1084"/>
        <item m="1" x="1215"/>
        <item m="1" x="228"/>
        <item m="1" x="1226"/>
        <item m="1" x="1213"/>
        <item m="1" x="1090"/>
        <item m="1" x="325"/>
        <item m="1" x="694"/>
        <item m="1" x="787"/>
        <item m="1" x="533"/>
        <item m="1" x="1131"/>
        <item m="1" x="917"/>
        <item m="1" x="937"/>
        <item m="1" x="831"/>
        <item m="1" x="174"/>
        <item m="1" x="1004"/>
        <item m="1" x="1166"/>
        <item m="1" x="571"/>
        <item m="1" x="1285"/>
        <item m="1" x="779"/>
        <item m="1" x="366"/>
        <item m="1" x="499"/>
        <item m="1" x="535"/>
        <item m="1" x="1194"/>
        <item m="1" x="1178"/>
        <item m="1" x="238"/>
        <item m="1" x="240"/>
        <item m="1" x="154"/>
        <item m="1" x="1114"/>
        <item m="1" x="156"/>
        <item m="1" x="573"/>
        <item m="1" x="473"/>
        <item m="1" x="929"/>
        <item m="1" x="872"/>
        <item m="1" x="1221"/>
        <item m="1" x="1153"/>
        <item m="1" x="645"/>
        <item m="1" x="859"/>
        <item m="1" x="1094"/>
        <item m="1" x="207"/>
        <item m="1" x="639"/>
        <item m="1" x="569"/>
        <item m="1" x="1263"/>
        <item m="1" x="1230"/>
        <item m="1" x="661"/>
        <item m="1" x="267"/>
        <item m="1" x="562"/>
        <item m="1" x="735"/>
        <item m="1" x="189"/>
        <item m="1" x="1025"/>
        <item m="1" x="619"/>
        <item m="1" x="429"/>
        <item m="1" x="523"/>
        <item m="1" x="969"/>
        <item m="1" x="1268"/>
        <item m="1" x="347"/>
        <item m="1" x="1120"/>
        <item m="1" x="341"/>
        <item m="1" x="905"/>
        <item m="1" x="677"/>
        <item m="1" x="608"/>
        <item m="1" x="330"/>
        <item m="1" x="397"/>
        <item m="1" x="185"/>
        <item m="1" x="985"/>
        <item m="1" x="498"/>
        <item m="1" x="222"/>
        <item m="1" x="836"/>
        <item m="1" x="1151"/>
        <item m="1" x="691"/>
        <item m="1" x="649"/>
        <item m="1" x="120"/>
        <item m="1" x="1256"/>
        <item m="1" x="506"/>
        <item m="1" x="566"/>
        <item m="1" x="973"/>
        <item m="1" x="1250"/>
        <item m="1" x="1175"/>
        <item m="1" x="1026"/>
        <item m="1" x="1141"/>
        <item m="1" x="302"/>
        <item m="1" x="501"/>
        <item m="1" x="334"/>
        <item m="1" x="126"/>
        <item m="1" x="739"/>
        <item m="1" x="188"/>
        <item m="1" x="410"/>
        <item m="1" x="354"/>
        <item m="1" x="300"/>
        <item m="1" x="1255"/>
        <item m="1" x="351"/>
        <item m="1" x="953"/>
        <item m="1" x="1165"/>
        <item m="1" x="291"/>
        <item m="1" x="195"/>
        <item m="1" x="988"/>
        <item m="1" x="964"/>
        <item m="1" x="1005"/>
        <item m="1" x="924"/>
        <item m="1" x="268"/>
        <item m="1" x="624"/>
        <item m="1" x="892"/>
        <item m="1" x="1142"/>
        <item m="1" x="736"/>
        <item m="1" x="854"/>
        <item m="1" x="1198"/>
        <item m="1" x="610"/>
        <item m="1" x="454"/>
        <item m="1" x="687"/>
        <item m="1" x="634"/>
        <item m="1" x="564"/>
        <item m="1" x="1081"/>
        <item m="1" x="768"/>
        <item m="1" x="864"/>
        <item m="1" x="115"/>
        <item m="1" x="660"/>
        <item m="1" x="262"/>
        <item m="1" x="529"/>
        <item m="1" x="667"/>
        <item m="1" x="197"/>
        <item m="1" x="314"/>
        <item m="1" x="769"/>
        <item m="1" x="966"/>
        <item m="1" x="1236"/>
        <item m="1" x="1279"/>
        <item m="1" x="889"/>
        <item m="1" x="237"/>
        <item m="1" x="165"/>
        <item m="1" x="751"/>
        <item m="1" x="373"/>
        <item m="1" x="647"/>
        <item m="1" x="275"/>
        <item m="1" x="378"/>
        <item m="1" x="805"/>
        <item m="1" x="1161"/>
        <item m="1" x="1092"/>
        <item m="1" x="508"/>
        <item m="1" x="543"/>
        <item m="1" x="819"/>
        <item m="1" x="1249"/>
        <item m="1" x="975"/>
        <item m="1" x="141"/>
        <item m="1" x="1203"/>
        <item m="1" x="249"/>
        <item m="1" x="895"/>
        <item m="1" x="940"/>
        <item m="1" x="943"/>
        <item m="1" x="1283"/>
        <item m="1" x="176"/>
        <item m="1" x="954"/>
        <item m="1" x="1051"/>
        <item m="1" x="823"/>
        <item m="1" x="993"/>
        <item m="1" x="235"/>
        <item m="1" x="627"/>
        <item m="1" x="474"/>
        <item m="1" x="1086"/>
        <item m="1" x="1181"/>
        <item m="1" x="710"/>
        <item m="1" x="1149"/>
        <item m="1" x="1197"/>
        <item m="1" x="550"/>
        <item m="1" x="1053"/>
        <item m="1" x="916"/>
        <item m="1" x="1199"/>
        <item m="1" x="1243"/>
        <item m="1" x="981"/>
        <item m="1" x="591"/>
        <item m="1" x="396"/>
        <item m="1" x="1231"/>
        <item m="1" x="778"/>
        <item m="1" x="752"/>
        <item m="1" x="761"/>
        <item m="1" x="1282"/>
        <item m="1" x="1006"/>
        <item m="1" x="701"/>
        <item m="1" x="970"/>
        <item m="1" x="947"/>
        <item m="1" x="563"/>
        <item m="1" x="464"/>
        <item m="1" x="963"/>
        <item m="1" x="358"/>
        <item m="1" x="315"/>
        <item m="1" x="257"/>
        <item m="1" x="1244"/>
        <item m="1" x="860"/>
        <item m="1" x="595"/>
        <item m="1" x="676"/>
        <item m="1" x="157"/>
        <item m="1" x="1233"/>
        <item m="1" x="784"/>
        <item m="1" x="932"/>
        <item m="1" x="380"/>
        <item m="1" x="1064"/>
        <item m="1" x="567"/>
        <item m="1" x="460"/>
        <item m="1" x="1288"/>
        <item m="1" x="590"/>
        <item m="1" x="1229"/>
        <item m="1" x="815"/>
        <item m="1" x="491"/>
        <item m="1" x="282"/>
        <item m="1" x="225"/>
        <item m="1" x="519"/>
        <item m="1" x="216"/>
        <item m="1" x="187"/>
        <item m="1" x="204"/>
        <item m="1" x="483"/>
        <item m="1" x="328"/>
        <item m="1" x="635"/>
        <item m="1" x="692"/>
        <item m="1" x="791"/>
        <item m="1" x="662"/>
        <item m="1" x="995"/>
        <item m="1" x="1059"/>
        <item m="1" x="271"/>
        <item m="1" x="281"/>
        <item m="1" x="470"/>
        <item m="1" x="612"/>
        <item m="1" x="402"/>
        <item m="1" x="955"/>
        <item m="1" x="705"/>
        <item m="1" x="622"/>
        <item m="1" x="755"/>
        <item m="1" x="1061"/>
        <item m="1" x="999"/>
        <item m="1" x="1085"/>
        <item m="1" x="841"/>
        <item m="1" x="261"/>
        <item m="1" x="1267"/>
        <item m="1" x="680"/>
        <item m="1" x="295"/>
        <item m="1" x="119"/>
        <item m="1" x="1264"/>
        <item m="1" x="748"/>
        <item m="1" x="715"/>
        <item m="1" x="487"/>
        <item m="1" x="367"/>
        <item m="1" x="451"/>
        <item m="1" x="605"/>
        <item m="1" x="1180"/>
        <item m="1" x="1099"/>
        <item m="1" x="475"/>
        <item m="1" x="548"/>
        <item m="1" x="555"/>
        <item m="1" x="1093"/>
        <item m="1" x="696"/>
        <item m="1" x="168"/>
        <item m="1" x="729"/>
        <item m="1" x="1008"/>
        <item m="1" x="1134"/>
        <item m="1" x="1027"/>
        <item m="1" x="835"/>
        <item m="1" x="1133"/>
        <item m="1" x="147"/>
        <item m="1" x="1050"/>
        <item m="1" x="129"/>
        <item m="1" x="469"/>
        <item m="1" x="133"/>
        <item m="1" x="292"/>
        <item m="1" x="382"/>
        <item m="1" x="388"/>
        <item m="1" x="806"/>
        <item m="1" x="1060"/>
        <item m="1" x="587"/>
        <item m="1" x="158"/>
        <item m="1" x="364"/>
        <item m="1" x="152"/>
        <item m="1" x="1147"/>
        <item m="1" x="372"/>
        <item m="1" x="708"/>
        <item m="1" x="1167"/>
        <item m="1" x="494"/>
        <item m="1" x="436"/>
        <item m="1" x="832"/>
        <item m="1" x="389"/>
        <item m="1" x="697"/>
        <item m="1" x="991"/>
        <item m="1" x="130"/>
        <item m="1" x="643"/>
        <item m="1" x="762"/>
        <item m="1" x="254"/>
        <item m="1" x="596"/>
        <item m="1" x="731"/>
        <item m="1" x="482"/>
        <item m="1" x="520"/>
        <item m="1" x="247"/>
        <item m="1" x="653"/>
        <item m="1" x="117"/>
        <item m="1" x="789"/>
        <item m="1" x="1182"/>
        <item m="1" x="903"/>
        <item m="1" x="897"/>
        <item m="1" x="796"/>
        <item m="1" x="122"/>
        <item m="1" x="928"/>
        <item m="1" x="971"/>
        <item m="1" x="777"/>
        <item m="1" x="121"/>
        <item m="1" x="1128"/>
        <item m="1" x="1095"/>
        <item m="1" x="125"/>
        <item m="1" x="404"/>
        <item m="1" x="794"/>
        <item m="1" x="1049"/>
        <item m="1" x="246"/>
        <item m="1" x="142"/>
        <item m="1" x="301"/>
        <item m="1" x="192"/>
        <item m="1" x="600"/>
        <item m="1" x="413"/>
        <item m="1" x="411"/>
        <item m="1" x="582"/>
        <item m="1" x="684"/>
        <item m="1" x="588"/>
        <item m="1" x="785"/>
        <item m="1" x="637"/>
        <item m="1" x="502"/>
        <item m="1" x="617"/>
        <item m="1" x="1110"/>
        <item m="1" x="1205"/>
        <item m="1" x="462"/>
        <item m="1" x="1185"/>
        <item m="1" x="227"/>
        <item m="1" x="1174"/>
        <item m="1" x="871"/>
        <item m="1" x="1042"/>
        <item m="1" x="1121"/>
        <item m="1" x="801"/>
        <item m="1" x="1013"/>
        <item m="1" x="305"/>
        <item m="1" x="288"/>
        <item m="1" x="910"/>
        <item m="1" x="882"/>
        <item m="1" x="444"/>
        <item m="1" x="1280"/>
        <item m="1" x="852"/>
        <item m="1" x="592"/>
        <item m="1" x="666"/>
        <item m="1" x="625"/>
        <item m="1" x="1135"/>
        <item m="1" x="1139"/>
        <item m="1" x="135"/>
        <item m="1" x="1019"/>
        <item m="1" x="1065"/>
        <item m="1" x="184"/>
        <item m="1" x="556"/>
        <item m="1" x="547"/>
        <item m="1" x="1054"/>
        <item m="1" x="753"/>
        <item m="1" x="957"/>
        <item m="1" x="623"/>
        <item m="1" x="974"/>
        <item m="1" x="162"/>
        <item m="1" x="285"/>
        <item m="1" x="1254"/>
        <item m="1" x="874"/>
        <item m="1" x="1246"/>
        <item m="1" x="166"/>
        <item m="1" x="426"/>
        <item m="1" x="242"/>
        <item m="1" x="175"/>
        <item m="1" x="190"/>
        <item m="1" x="742"/>
        <item m="1" x="775"/>
        <item m="1" x="447"/>
        <item m="1" x="865"/>
        <item m="1" x="1183"/>
        <item m="1" x="534"/>
        <item m="1" x="613"/>
        <item m="1" x="763"/>
        <item m="1" x="1251"/>
        <item m="1" x="428"/>
        <item m="1" x="440"/>
        <item m="1" x="450"/>
        <item m="1" x="1071"/>
        <item m="1" x="1207"/>
        <item m="1" x="124"/>
        <item m="1" x="951"/>
        <item m="1" x="1247"/>
        <item m="1" x="348"/>
        <item m="1" x="663"/>
        <item m="1" x="1284"/>
        <item m="1" x="1190"/>
        <item m="1" x="337"/>
        <item m="1" x="449"/>
        <item m="1" x="536"/>
        <item m="1" x="861"/>
        <item m="1" x="1058"/>
        <item m="1" x="293"/>
        <item m="1" x="764"/>
        <item m="1" x="289"/>
        <item m="1" x="258"/>
        <item m="1" x="206"/>
        <item m="1" x="1177"/>
        <item m="1" x="770"/>
        <item m="1" x="1218"/>
        <item m="1" x="611"/>
        <item m="1" x="1235"/>
        <item m="1" x="987"/>
        <item m="1" x="276"/>
        <item m="1" x="1091"/>
        <item m="1" x="1105"/>
        <item m="1" x="765"/>
        <item m="1" x="1140"/>
        <item m="1" x="978"/>
        <item m="1" x="843"/>
        <item m="1" x="160"/>
        <item m="1" x="989"/>
        <item m="1" x="721"/>
        <item m="1" x="654"/>
        <item m="1" x="997"/>
        <item m="1" x="581"/>
        <item m="1" x="215"/>
        <item m="1" x="387"/>
        <item m="1" x="164"/>
        <item m="1" x="513"/>
        <item m="1" x="891"/>
        <item m="1" x="476"/>
        <item m="1" x="339"/>
        <item m="1" x="554"/>
        <item m="1" x="232"/>
        <item m="1" x="484"/>
        <item m="1" x="355"/>
        <item m="1" x="706"/>
        <item m="1" x="1293"/>
        <item m="1" x="747"/>
        <item m="1" x="343"/>
        <item m="1" x="620"/>
        <item m="1" x="326"/>
        <item m="1" x="379"/>
        <item m="1" x="671"/>
        <item m="1" x="939"/>
        <item m="1" x="656"/>
        <item m="1" x="1106"/>
        <item m="1" x="668"/>
        <item m="1" x="902"/>
        <item m="1" x="217"/>
        <item m="1" x="700"/>
        <item m="1" x="340"/>
        <item m="1" x="270"/>
        <item m="1" x="996"/>
        <item m="1" x="311"/>
        <item m="1" x="1020"/>
        <item m="1" x="212"/>
        <item m="1" x="837"/>
        <item m="1" x="844"/>
        <item m="1" x="248"/>
        <item m="1" x="766"/>
        <item m="1" x="144"/>
        <item m="1" x="967"/>
        <item m="1" x="672"/>
        <item m="1" x="893"/>
        <item m="1" x="862"/>
        <item m="1" x="1082"/>
        <item m="1" x="855"/>
        <item m="1" x="433"/>
        <item m="1" x="934"/>
        <item m="1" x="1068"/>
        <item m="1" x="758"/>
        <item m="1" x="890"/>
        <item m="1" x="223"/>
        <item m="1" x="1056"/>
        <item m="1" x="713"/>
        <item m="1" x="578"/>
        <item m="1" x="962"/>
        <item m="1" x="488"/>
        <item m="1" x="811"/>
        <item m="1" x="345"/>
        <item m="1" x="441"/>
        <item m="1" x="838"/>
        <item m="1" x="607"/>
        <item m="1" x="151"/>
        <item m="1" x="485"/>
        <item m="1" x="965"/>
        <item m="1" x="1067"/>
        <item m="1" x="170"/>
        <item m="1" x="455"/>
        <item m="1" x="390"/>
        <item m="1" x="723"/>
        <item m="1" x="816"/>
        <item m="1" x="256"/>
        <item m="1" x="1238"/>
        <item m="1" x="221"/>
        <item m="1" x="294"/>
        <item m="1" x="1075"/>
        <item m="1" x="583"/>
        <item m="1" x="597"/>
        <item m="1" x="651"/>
        <item m="1" x="226"/>
        <item m="1" x="505"/>
        <item m="1" x="900"/>
        <item m="1" x="812"/>
        <item m="1" x="602"/>
        <item m="1" x="549"/>
        <item m="1" x="179"/>
        <item m="1" x="417"/>
        <item m="1" x="881"/>
        <item m="1" x="515"/>
        <item m="1" x="678"/>
        <item m="1" x="615"/>
        <item m="1" x="797"/>
        <item m="1" x="161"/>
        <item m="1" x="642"/>
        <item m="1" x="316"/>
        <item m="1" x="719"/>
        <item m="1" x="845"/>
        <item m="1" x="921"/>
        <item m="1" x="856"/>
        <item m="1" x="817"/>
        <item m="1" x="743"/>
        <item m="1" x="1154"/>
        <item m="1" x="1046"/>
        <item m="1" x="297"/>
        <item m="1" x="1038"/>
        <item m="1" x="492"/>
        <item m="1" x="802"/>
        <item m="1" x="208"/>
        <item m="1" x="781"/>
        <item m="1" x="648"/>
        <item m="1" x="1080"/>
        <item m="1" x="234"/>
        <item m="1" x="1291"/>
        <item m="1" x="273"/>
        <item m="1" x="213"/>
        <item m="1" x="783"/>
        <item m="1" x="983"/>
        <item m="1" x="886"/>
        <item m="1" x="172"/>
        <item m="1" x="324"/>
        <item m="1" x="1112"/>
        <item m="1" x="1052"/>
        <item m="1" x="307"/>
        <item m="1" x="280"/>
        <item m="1" x="575"/>
        <item m="1" x="196"/>
        <item m="1" x="803"/>
        <item m="1" x="236"/>
        <item m="1" x="406"/>
        <item m="1" x="703"/>
        <item m="1" x="1234"/>
        <item m="1" x="274"/>
        <item m="1" x="544"/>
        <item m="1" x="391"/>
        <item m="1" x="553"/>
        <item m="1" x="1107"/>
        <item m="1" x="990"/>
        <item m="1" x="452"/>
        <item m="1" x="205"/>
        <item m="1" x="1155"/>
        <item m="1" x="318"/>
        <item m="1" x="1100"/>
        <item m="1" x="657"/>
        <item m="1" x="1041"/>
        <item m="1" x="400"/>
        <item m="1" x="572"/>
        <item m="1" x="1057"/>
        <item m="1" x="1245"/>
        <item m="1" x="1021"/>
        <item m="1" x="420"/>
        <item m="1" x="363"/>
        <item m="1" x="1066"/>
        <item m="1" x="830"/>
        <item m="1" x="674"/>
        <item m="1" x="1098"/>
        <item m="1" x="146"/>
        <item m="1" x="143"/>
        <item m="1" x="818"/>
        <item m="1" x="958"/>
        <item m="1" x="913"/>
        <item m="1" x="1096"/>
        <item m="1" x="621"/>
        <item m="1" x="368"/>
        <item m="1" x="442"/>
        <item m="1" x="972"/>
        <item m="1" x="524"/>
        <item m="1" x="754"/>
        <item m="1" x="1169"/>
        <item m="1" x="407"/>
        <item m="1" x="744"/>
        <item m="1" x="128"/>
        <item m="1" x="457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06"/>
        <item x="109"/>
        <item x="108"/>
        <item x="112"/>
        <item x="111"/>
        <item x="110"/>
        <item m="1" x="445"/>
        <item m="1" x="1206"/>
        <item m="1" x="148"/>
        <item m="1" x="11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285"/>
    </i>
    <i r="2">
      <x v="8"/>
    </i>
    <i r="1">
      <x v="1287"/>
    </i>
    <i r="2">
      <x v="8"/>
    </i>
    <i r="2">
      <x v="11"/>
    </i>
    <i r="1">
      <x v="1288"/>
    </i>
    <i r="2">
      <x v="8"/>
    </i>
    <i r="1">
      <x v="1289"/>
    </i>
    <i r="2">
      <x v="11"/>
    </i>
    <i>
      <x v="1"/>
    </i>
    <i r="1">
      <x v="1277"/>
    </i>
    <i r="2">
      <x v="8"/>
    </i>
    <i r="1">
      <x v="1281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31" totalsRowShown="0" totalsRowDxfId="23">
  <autoFilter ref="A1:C1031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895" totalsRowShown="0">
  <autoFilter ref="A1:S895" xr:uid="{678037D6-A574-4B81-B392-ED766472D9FE}">
    <filterColumn colId="0">
      <filters>
        <filter val="FR7127941"/>
        <filter val="FR7148376"/>
      </filters>
    </filterColumn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2"/>
    <tableColumn id="17" xr3:uid="{78B7D816-31FE-4F8F-8018-91CE8D5DE9A2}" name="DateMapped" dataDxfId="1"/>
    <tableColumn id="16" xr3:uid="{37F76675-DAA7-497A-B0C3-D5ADC87396FC}" name="DateClosed" dataDxfId="0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16" totalsRowShown="0">
  <autoFilter ref="A1:B11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2" t="s">
        <v>1940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4" sqref="A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2" t="s">
        <v>954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897</v>
      </c>
      <c r="B5" s="73">
        <v>10</v>
      </c>
      <c r="C5"/>
      <c r="D5"/>
      <c r="E5"/>
    </row>
    <row r="6" spans="1:6">
      <c r="A6" s="67" t="s">
        <v>2669</v>
      </c>
      <c r="B6" s="73">
        <v>4</v>
      </c>
      <c r="C6"/>
      <c r="D6"/>
      <c r="E6"/>
    </row>
    <row r="7" spans="1:6">
      <c r="A7" s="68" t="s">
        <v>370</v>
      </c>
      <c r="B7" s="73">
        <v>4</v>
      </c>
      <c r="C7"/>
      <c r="D7"/>
      <c r="E7"/>
    </row>
    <row r="8" spans="1:6">
      <c r="A8" s="67" t="s">
        <v>2694</v>
      </c>
      <c r="B8" s="73">
        <v>4</v>
      </c>
      <c r="C8" s="56"/>
      <c r="D8"/>
      <c r="E8"/>
    </row>
    <row r="9" spans="1:6">
      <c r="A9" s="68" t="s">
        <v>370</v>
      </c>
      <c r="B9" s="73">
        <v>1</v>
      </c>
      <c r="C9"/>
      <c r="D9"/>
    </row>
    <row r="10" spans="1:6">
      <c r="A10" s="68" t="s">
        <v>375</v>
      </c>
      <c r="B10" s="73">
        <v>3</v>
      </c>
      <c r="C10" s="53"/>
      <c r="D10"/>
    </row>
    <row r="11" spans="1:6">
      <c r="A11" s="67" t="s">
        <v>2680</v>
      </c>
      <c r="B11" s="73">
        <v>1</v>
      </c>
      <c r="C11"/>
      <c r="D11"/>
    </row>
    <row r="12" spans="1:6">
      <c r="A12" s="68" t="s">
        <v>370</v>
      </c>
      <c r="B12" s="73">
        <v>1</v>
      </c>
      <c r="C12"/>
      <c r="D12"/>
    </row>
    <row r="13" spans="1:6">
      <c r="A13" s="67" t="s">
        <v>2677</v>
      </c>
      <c r="B13" s="73">
        <v>1</v>
      </c>
      <c r="C13"/>
      <c r="D13"/>
    </row>
    <row r="14" spans="1:6">
      <c r="A14" s="68" t="s">
        <v>375</v>
      </c>
      <c r="B14" s="73">
        <v>1</v>
      </c>
      <c r="C14" s="53"/>
      <c r="D14"/>
    </row>
    <row r="15" spans="1:6">
      <c r="A15" s="17" t="s">
        <v>2676</v>
      </c>
      <c r="B15" s="73">
        <v>20</v>
      </c>
      <c r="C15"/>
      <c r="D15"/>
    </row>
    <row r="16" spans="1:6">
      <c r="A16" s="67" t="s">
        <v>2559</v>
      </c>
      <c r="B16" s="73">
        <v>1</v>
      </c>
      <c r="C16"/>
      <c r="D16"/>
    </row>
    <row r="17" spans="1:4">
      <c r="A17" s="68" t="s">
        <v>370</v>
      </c>
      <c r="B17" s="73">
        <v>1</v>
      </c>
      <c r="C17"/>
      <c r="D17"/>
    </row>
    <row r="18" spans="1:4">
      <c r="A18" s="67" t="s">
        <v>2587</v>
      </c>
      <c r="B18" s="73">
        <v>19</v>
      </c>
      <c r="C18"/>
      <c r="D18"/>
    </row>
    <row r="19" spans="1:4">
      <c r="A19" s="68" t="s">
        <v>370</v>
      </c>
      <c r="B19" s="73">
        <v>19</v>
      </c>
      <c r="C19" s="47"/>
      <c r="D19"/>
    </row>
    <row r="20" spans="1:4">
      <c r="A20" s="17" t="s">
        <v>381</v>
      </c>
      <c r="B20" s="73">
        <v>30</v>
      </c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31"/>
  <sheetViews>
    <sheetView topLeftCell="A1003" workbookViewId="0">
      <selection activeCell="C1030" sqref="C1030:C1031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898</v>
      </c>
      <c r="B571">
        <v>11</v>
      </c>
      <c r="C571" s="38" t="s">
        <v>4</v>
      </c>
    </row>
    <row r="572" spans="1:3">
      <c r="A572" t="s">
        <v>900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899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902</v>
      </c>
      <c r="B578">
        <v>4</v>
      </c>
      <c r="C578" s="38" t="s">
        <v>4</v>
      </c>
    </row>
    <row r="579" spans="1:3">
      <c r="A579" t="s">
        <v>903</v>
      </c>
      <c r="B579">
        <v>1</v>
      </c>
      <c r="C579" s="38" t="s">
        <v>4</v>
      </c>
    </row>
    <row r="580" spans="1:3">
      <c r="A580" t="s">
        <v>905</v>
      </c>
      <c r="B580">
        <v>1</v>
      </c>
      <c r="C580" s="38" t="s">
        <v>4</v>
      </c>
    </row>
    <row r="581" spans="1:3">
      <c r="A581" t="s">
        <v>907</v>
      </c>
      <c r="B581">
        <v>1</v>
      </c>
      <c r="C581" s="38" t="s">
        <v>4</v>
      </c>
    </row>
    <row r="582" spans="1:3">
      <c r="A582" t="s">
        <v>908</v>
      </c>
      <c r="B582">
        <v>1</v>
      </c>
      <c r="C582" s="38" t="s">
        <v>4</v>
      </c>
    </row>
    <row r="583" spans="1:3">
      <c r="A583" t="s">
        <v>909</v>
      </c>
      <c r="B583">
        <v>1</v>
      </c>
      <c r="C583" s="38" t="s">
        <v>4</v>
      </c>
    </row>
    <row r="584" spans="1:3">
      <c r="A584" t="s">
        <v>910</v>
      </c>
      <c r="B584">
        <v>3</v>
      </c>
      <c r="C584" s="38" t="s">
        <v>4</v>
      </c>
    </row>
    <row r="585" spans="1:3">
      <c r="A585" t="s">
        <v>901</v>
      </c>
      <c r="B585">
        <v>8</v>
      </c>
      <c r="C585" t="s">
        <v>4</v>
      </c>
    </row>
    <row r="586" spans="1:3">
      <c r="A586" t="s">
        <v>904</v>
      </c>
      <c r="B586">
        <v>4</v>
      </c>
      <c r="C586" s="38" t="s">
        <v>4</v>
      </c>
    </row>
    <row r="587" spans="1:3">
      <c r="A587" t="s">
        <v>912</v>
      </c>
      <c r="B587">
        <v>1</v>
      </c>
      <c r="C587" t="s">
        <v>4</v>
      </c>
    </row>
    <row r="588" spans="1:3">
      <c r="A588" t="s">
        <v>911</v>
      </c>
      <c r="B588">
        <v>19</v>
      </c>
      <c r="C588" t="s">
        <v>4</v>
      </c>
    </row>
    <row r="589" spans="1:3">
      <c r="A589" t="s">
        <v>913</v>
      </c>
      <c r="B589">
        <v>6</v>
      </c>
      <c r="C589" t="s">
        <v>4</v>
      </c>
    </row>
    <row r="590" spans="1:3">
      <c r="A590" t="s">
        <v>915</v>
      </c>
      <c r="B590">
        <v>5</v>
      </c>
      <c r="C590" t="s">
        <v>4</v>
      </c>
    </row>
    <row r="591" spans="1:3">
      <c r="A591" t="s">
        <v>918</v>
      </c>
      <c r="B591">
        <v>1</v>
      </c>
      <c r="C591" t="s">
        <v>4</v>
      </c>
    </row>
    <row r="592" spans="1:3">
      <c r="A592" t="s">
        <v>917</v>
      </c>
      <c r="B592">
        <v>8</v>
      </c>
      <c r="C592" t="s">
        <v>4</v>
      </c>
    </row>
    <row r="593" spans="1:3">
      <c r="A593" t="s">
        <v>920</v>
      </c>
      <c r="B593">
        <v>1</v>
      </c>
      <c r="C593" s="38" t="s">
        <v>4</v>
      </c>
    </row>
    <row r="594" spans="1:3">
      <c r="A594" t="s">
        <v>922</v>
      </c>
      <c r="B594">
        <v>14</v>
      </c>
      <c r="C594" t="s">
        <v>4</v>
      </c>
    </row>
    <row r="595" spans="1:3">
      <c r="A595" t="s">
        <v>916</v>
      </c>
      <c r="B595">
        <v>13</v>
      </c>
      <c r="C595" t="s">
        <v>4</v>
      </c>
    </row>
    <row r="596" spans="1:3">
      <c r="A596" t="s">
        <v>919</v>
      </c>
      <c r="B596">
        <v>1</v>
      </c>
      <c r="C596" t="s">
        <v>4</v>
      </c>
    </row>
    <row r="597" spans="1:3">
      <c r="A597" t="s">
        <v>921</v>
      </c>
      <c r="B597">
        <v>3</v>
      </c>
      <c r="C597" t="s">
        <v>4</v>
      </c>
    </row>
    <row r="598" spans="1:3">
      <c r="A598" t="s">
        <v>924</v>
      </c>
      <c r="B598">
        <v>1</v>
      </c>
      <c r="C598" s="38" t="s">
        <v>4</v>
      </c>
    </row>
    <row r="599" spans="1:3">
      <c r="A599" t="s">
        <v>923</v>
      </c>
      <c r="B599">
        <v>1</v>
      </c>
      <c r="C599" s="38" t="s">
        <v>4</v>
      </c>
    </row>
    <row r="600" spans="1:3">
      <c r="A600" s="31" t="s">
        <v>925</v>
      </c>
      <c r="B600" s="35">
        <v>14</v>
      </c>
      <c r="C600" s="38" t="s">
        <v>4</v>
      </c>
    </row>
    <row r="601" spans="1:3">
      <c r="A601" t="s">
        <v>926</v>
      </c>
      <c r="B601">
        <v>11</v>
      </c>
      <c r="C601" s="38" t="s">
        <v>4</v>
      </c>
    </row>
    <row r="602" spans="1:3">
      <c r="A602" t="s">
        <v>929</v>
      </c>
      <c r="B602">
        <v>2</v>
      </c>
      <c r="C602" s="38" t="s">
        <v>4</v>
      </c>
    </row>
    <row r="603" spans="1:3">
      <c r="A603" t="s">
        <v>927</v>
      </c>
      <c r="B603">
        <v>20</v>
      </c>
      <c r="C603" s="38" t="s">
        <v>4</v>
      </c>
    </row>
    <row r="604" spans="1:3">
      <c r="A604" t="s">
        <v>928</v>
      </c>
      <c r="B604">
        <v>3</v>
      </c>
      <c r="C604" s="38" t="s">
        <v>4</v>
      </c>
    </row>
    <row r="605" spans="1:3">
      <c r="A605" t="s">
        <v>914</v>
      </c>
      <c r="B605">
        <v>5</v>
      </c>
      <c r="C605" t="s">
        <v>4</v>
      </c>
    </row>
    <row r="606" spans="1:3">
      <c r="A606" t="s">
        <v>935</v>
      </c>
      <c r="B606">
        <v>1</v>
      </c>
      <c r="C606" t="s">
        <v>4</v>
      </c>
    </row>
    <row r="607" spans="1:3">
      <c r="A607" t="s">
        <v>936</v>
      </c>
      <c r="B607">
        <v>13</v>
      </c>
      <c r="C607" t="s">
        <v>4</v>
      </c>
    </row>
    <row r="608" spans="1:3">
      <c r="A608" t="s">
        <v>937</v>
      </c>
      <c r="B608">
        <v>1</v>
      </c>
      <c r="C608" s="47" t="s">
        <v>4</v>
      </c>
    </row>
    <row r="609" spans="1:3">
      <c r="A609" t="s">
        <v>932</v>
      </c>
      <c r="B609">
        <v>1</v>
      </c>
      <c r="C609" s="47" t="s">
        <v>4</v>
      </c>
    </row>
    <row r="610" spans="1:3">
      <c r="A610" t="s">
        <v>933</v>
      </c>
      <c r="B610">
        <v>1</v>
      </c>
      <c r="C610" s="47" t="s">
        <v>4</v>
      </c>
    </row>
    <row r="611" spans="1:3">
      <c r="A611" t="s">
        <v>934</v>
      </c>
      <c r="B611">
        <v>23</v>
      </c>
      <c r="C611" s="47" t="s">
        <v>4</v>
      </c>
    </row>
    <row r="612" spans="1:3">
      <c r="A612" t="s">
        <v>931</v>
      </c>
      <c r="B612">
        <v>1</v>
      </c>
      <c r="C612" s="47" t="s">
        <v>4</v>
      </c>
    </row>
    <row r="613" spans="1:3">
      <c r="A613" t="s">
        <v>940</v>
      </c>
      <c r="B613">
        <v>14</v>
      </c>
      <c r="C613" s="47" t="s">
        <v>4</v>
      </c>
    </row>
    <row r="614" spans="1:3">
      <c r="A614" t="s">
        <v>941</v>
      </c>
      <c r="B614">
        <v>2</v>
      </c>
      <c r="C614" s="47" t="s">
        <v>4</v>
      </c>
    </row>
    <row r="615" spans="1:3">
      <c r="A615" t="s">
        <v>942</v>
      </c>
      <c r="B615">
        <v>146</v>
      </c>
      <c r="C615" s="47" t="s">
        <v>4</v>
      </c>
    </row>
    <row r="616" spans="1:3">
      <c r="A616" t="s">
        <v>939</v>
      </c>
      <c r="B616">
        <v>1</v>
      </c>
      <c r="C616" t="s">
        <v>4</v>
      </c>
    </row>
    <row r="617" spans="1:3">
      <c r="A617" t="s">
        <v>943</v>
      </c>
      <c r="B617">
        <v>1</v>
      </c>
      <c r="C617" t="s">
        <v>4</v>
      </c>
    </row>
    <row r="618" spans="1:3">
      <c r="A618" t="s">
        <v>944</v>
      </c>
      <c r="B618">
        <v>2</v>
      </c>
      <c r="C618" t="s">
        <v>4</v>
      </c>
    </row>
    <row r="619" spans="1:3">
      <c r="A619" t="s">
        <v>945</v>
      </c>
      <c r="B619">
        <v>1</v>
      </c>
      <c r="C619" t="s">
        <v>4</v>
      </c>
    </row>
    <row r="620" spans="1:3">
      <c r="A620" t="s">
        <v>947</v>
      </c>
      <c r="B620">
        <v>7</v>
      </c>
      <c r="C620" s="47" t="s">
        <v>4</v>
      </c>
    </row>
    <row r="621" spans="1:3">
      <c r="A621" t="s">
        <v>946</v>
      </c>
      <c r="B621">
        <v>1</v>
      </c>
      <c r="C621" s="47" t="s">
        <v>4</v>
      </c>
    </row>
    <row r="622" spans="1:3">
      <c r="A622" t="s">
        <v>948</v>
      </c>
      <c r="B622">
        <v>17</v>
      </c>
      <c r="C622" s="47" t="s">
        <v>4</v>
      </c>
    </row>
    <row r="623" spans="1:3">
      <c r="A623" t="s">
        <v>951</v>
      </c>
      <c r="B623">
        <v>5</v>
      </c>
      <c r="C623" s="47" t="s">
        <v>4</v>
      </c>
    </row>
    <row r="624" spans="1:3">
      <c r="A624" t="s">
        <v>953</v>
      </c>
      <c r="B624">
        <v>6</v>
      </c>
      <c r="C624" s="47" t="s">
        <v>4</v>
      </c>
    </row>
    <row r="625" spans="1:3">
      <c r="A625" t="s">
        <v>952</v>
      </c>
      <c r="B625">
        <v>2</v>
      </c>
      <c r="C625" s="47" t="s">
        <v>4</v>
      </c>
    </row>
    <row r="626" spans="1:3">
      <c r="A626" t="s">
        <v>949</v>
      </c>
      <c r="B626">
        <v>15</v>
      </c>
      <c r="C626" s="47" t="s">
        <v>4</v>
      </c>
    </row>
    <row r="627" spans="1:3">
      <c r="A627" t="s">
        <v>957</v>
      </c>
      <c r="B627">
        <v>30</v>
      </c>
      <c r="C627" s="47" t="s">
        <v>4</v>
      </c>
    </row>
    <row r="628" spans="1:3">
      <c r="A628" t="s">
        <v>958</v>
      </c>
      <c r="B628">
        <v>10</v>
      </c>
      <c r="C628" s="47" t="s">
        <v>4</v>
      </c>
    </row>
    <row r="629" spans="1:3">
      <c r="A629" t="s">
        <v>959</v>
      </c>
      <c r="B629">
        <v>2</v>
      </c>
      <c r="C629" s="47" t="s">
        <v>4</v>
      </c>
    </row>
    <row r="630" spans="1:3">
      <c r="A630" t="s">
        <v>955</v>
      </c>
      <c r="B630">
        <v>1</v>
      </c>
      <c r="C630" s="47" t="s">
        <v>4</v>
      </c>
    </row>
    <row r="631" spans="1:3">
      <c r="A631" t="s">
        <v>960</v>
      </c>
      <c r="B631">
        <v>7</v>
      </c>
      <c r="C631" s="47" t="s">
        <v>4</v>
      </c>
    </row>
    <row r="632" spans="1:3">
      <c r="A632" t="s">
        <v>962</v>
      </c>
      <c r="B632">
        <v>1</v>
      </c>
      <c r="C632" s="47" t="s">
        <v>4</v>
      </c>
    </row>
    <row r="633" spans="1:3">
      <c r="A633" t="s">
        <v>963</v>
      </c>
      <c r="B633">
        <v>4</v>
      </c>
      <c r="C633" s="47" t="s">
        <v>4</v>
      </c>
    </row>
    <row r="634" spans="1:3">
      <c r="A634" t="s">
        <v>961</v>
      </c>
      <c r="B634">
        <v>2</v>
      </c>
      <c r="C634" s="47" t="s">
        <v>4</v>
      </c>
    </row>
    <row r="635" spans="1:3">
      <c r="A635" s="31" t="s">
        <v>950</v>
      </c>
      <c r="B635" s="35">
        <v>9</v>
      </c>
      <c r="C635" s="47" t="s">
        <v>4</v>
      </c>
    </row>
    <row r="636" spans="1:3">
      <c r="A636" t="s">
        <v>964</v>
      </c>
      <c r="B636">
        <v>5</v>
      </c>
      <c r="C636" t="s">
        <v>4</v>
      </c>
    </row>
    <row r="637" spans="1:3">
      <c r="A637" t="s">
        <v>967</v>
      </c>
      <c r="B637">
        <v>1</v>
      </c>
      <c r="C637" s="49" t="s">
        <v>4</v>
      </c>
    </row>
    <row r="638" spans="1:3">
      <c r="A638" t="s">
        <v>966</v>
      </c>
      <c r="B638">
        <v>12</v>
      </c>
      <c r="C638" s="49" t="s">
        <v>4</v>
      </c>
    </row>
    <row r="639" spans="1:3">
      <c r="A639" s="49" t="s">
        <v>965</v>
      </c>
      <c r="B639">
        <v>14</v>
      </c>
      <c r="C639" s="49" t="s">
        <v>4</v>
      </c>
    </row>
    <row r="640" spans="1:3">
      <c r="A640" t="s">
        <v>968</v>
      </c>
      <c r="B640">
        <v>29</v>
      </c>
      <c r="C640" s="49" t="s">
        <v>4</v>
      </c>
    </row>
    <row r="641" spans="1:3">
      <c r="A641" t="s">
        <v>969</v>
      </c>
      <c r="B641">
        <v>24</v>
      </c>
      <c r="C641" s="49" t="s">
        <v>4</v>
      </c>
    </row>
    <row r="642" spans="1:3">
      <c r="A642" t="s">
        <v>971</v>
      </c>
      <c r="B642">
        <v>1</v>
      </c>
      <c r="C642" s="49" t="s">
        <v>4</v>
      </c>
    </row>
    <row r="643" spans="1:3">
      <c r="A643" t="s">
        <v>972</v>
      </c>
      <c r="B643">
        <v>1</v>
      </c>
      <c r="C643" s="49" t="s">
        <v>4</v>
      </c>
    </row>
    <row r="644" spans="1:3">
      <c r="A644" t="s">
        <v>979</v>
      </c>
      <c r="B644">
        <v>7</v>
      </c>
      <c r="C644" s="49" t="s">
        <v>4</v>
      </c>
    </row>
    <row r="645" spans="1:3">
      <c r="A645" t="s">
        <v>970</v>
      </c>
      <c r="B645">
        <v>4</v>
      </c>
      <c r="C645" s="49" t="s">
        <v>4</v>
      </c>
    </row>
    <row r="646" spans="1:3">
      <c r="A646" t="s">
        <v>973</v>
      </c>
      <c r="B646">
        <v>11</v>
      </c>
      <c r="C646" t="s">
        <v>4</v>
      </c>
    </row>
    <row r="647" spans="1:3">
      <c r="A647" t="s">
        <v>974</v>
      </c>
      <c r="B647">
        <v>11</v>
      </c>
      <c r="C647" t="s">
        <v>4</v>
      </c>
    </row>
    <row r="648" spans="1:3">
      <c r="A648" t="s">
        <v>976</v>
      </c>
      <c r="B648">
        <v>19</v>
      </c>
      <c r="C648" t="s">
        <v>4</v>
      </c>
    </row>
    <row r="649" spans="1:3">
      <c r="A649" t="s">
        <v>978</v>
      </c>
      <c r="B649">
        <v>2</v>
      </c>
      <c r="C649" t="s">
        <v>4</v>
      </c>
    </row>
    <row r="650" spans="1:3">
      <c r="A650" t="s">
        <v>977</v>
      </c>
      <c r="B650">
        <v>1</v>
      </c>
      <c r="C650" t="s">
        <v>4</v>
      </c>
    </row>
    <row r="651" spans="1:3">
      <c r="A651" t="s">
        <v>980</v>
      </c>
      <c r="B651">
        <v>1</v>
      </c>
      <c r="C651" s="49" t="s">
        <v>4</v>
      </c>
    </row>
    <row r="652" spans="1:3">
      <c r="A652" t="s">
        <v>981</v>
      </c>
      <c r="B652">
        <v>11</v>
      </c>
      <c r="C652" s="49" t="s">
        <v>4</v>
      </c>
    </row>
    <row r="653" spans="1:3">
      <c r="A653" t="s">
        <v>983</v>
      </c>
      <c r="B653">
        <v>3</v>
      </c>
      <c r="C653" s="49" t="s">
        <v>4</v>
      </c>
    </row>
    <row r="654" spans="1:3">
      <c r="A654" t="s">
        <v>988</v>
      </c>
      <c r="B654">
        <v>4</v>
      </c>
      <c r="C654" s="49" t="s">
        <v>4</v>
      </c>
    </row>
    <row r="655" spans="1:3">
      <c r="A655" t="s">
        <v>989</v>
      </c>
      <c r="B655">
        <v>46</v>
      </c>
      <c r="C655" s="49" t="s">
        <v>4</v>
      </c>
    </row>
    <row r="656" spans="1:3">
      <c r="A656" t="s">
        <v>986</v>
      </c>
      <c r="B656">
        <v>3</v>
      </c>
      <c r="C656" s="49" t="s">
        <v>4</v>
      </c>
    </row>
    <row r="657" spans="1:3">
      <c r="A657" t="s">
        <v>987</v>
      </c>
      <c r="B657">
        <v>1</v>
      </c>
      <c r="C657" s="49" t="s">
        <v>4</v>
      </c>
    </row>
    <row r="658" spans="1:3">
      <c r="A658" t="s">
        <v>993</v>
      </c>
      <c r="B658">
        <v>1</v>
      </c>
      <c r="C658" s="49" t="s">
        <v>4</v>
      </c>
    </row>
    <row r="659" spans="1:3">
      <c r="A659" t="s">
        <v>994</v>
      </c>
      <c r="B659">
        <v>53</v>
      </c>
      <c r="C659" s="49" t="s">
        <v>4</v>
      </c>
    </row>
    <row r="660" spans="1:3">
      <c r="A660" t="s">
        <v>985</v>
      </c>
      <c r="B660">
        <v>9</v>
      </c>
      <c r="C660" s="49" t="s">
        <v>4</v>
      </c>
    </row>
    <row r="661" spans="1:3">
      <c r="A661" t="s">
        <v>995</v>
      </c>
      <c r="B661">
        <v>9</v>
      </c>
      <c r="C661" s="49" t="s">
        <v>4</v>
      </c>
    </row>
    <row r="662" spans="1:3">
      <c r="A662" t="s">
        <v>982</v>
      </c>
      <c r="B662">
        <v>64</v>
      </c>
      <c r="C662" s="49" t="s">
        <v>4</v>
      </c>
    </row>
    <row r="663" spans="1:3">
      <c r="A663" t="s">
        <v>996</v>
      </c>
      <c r="B663">
        <v>7</v>
      </c>
      <c r="C663" s="49" t="s">
        <v>4</v>
      </c>
    </row>
    <row r="664" spans="1:3">
      <c r="A664" t="s">
        <v>1003</v>
      </c>
      <c r="B664">
        <v>6</v>
      </c>
      <c r="C664" s="50" t="s">
        <v>4</v>
      </c>
    </row>
    <row r="665" spans="1:3">
      <c r="A665" t="s">
        <v>1005</v>
      </c>
      <c r="B665">
        <v>5</v>
      </c>
      <c r="C665" s="50" t="s">
        <v>4</v>
      </c>
    </row>
    <row r="666" spans="1:3">
      <c r="A666" t="s">
        <v>1006</v>
      </c>
      <c r="B666">
        <v>1</v>
      </c>
      <c r="C666" s="50" t="s">
        <v>4</v>
      </c>
    </row>
    <row r="667" spans="1:3">
      <c r="A667" t="s">
        <v>1001</v>
      </c>
      <c r="B667">
        <v>3</v>
      </c>
      <c r="C667" s="50" t="s">
        <v>4</v>
      </c>
    </row>
    <row r="668" spans="1:3">
      <c r="A668" t="s">
        <v>1002</v>
      </c>
      <c r="B668">
        <v>1</v>
      </c>
      <c r="C668" s="50" t="s">
        <v>4</v>
      </c>
    </row>
    <row r="669" spans="1:3">
      <c r="A669" t="s">
        <v>1008</v>
      </c>
      <c r="B669">
        <v>1</v>
      </c>
      <c r="C669" s="50" t="s">
        <v>4</v>
      </c>
    </row>
    <row r="670" spans="1:3">
      <c r="A670" t="s">
        <v>1010</v>
      </c>
      <c r="B670">
        <v>16</v>
      </c>
      <c r="C670" s="50" t="s">
        <v>4</v>
      </c>
    </row>
    <row r="671" spans="1:3">
      <c r="A671" t="s">
        <v>999</v>
      </c>
      <c r="B671">
        <v>5</v>
      </c>
      <c r="C671" s="50" t="s">
        <v>4</v>
      </c>
    </row>
    <row r="672" spans="1:3">
      <c r="A672" t="s">
        <v>1000</v>
      </c>
      <c r="B672">
        <v>64</v>
      </c>
      <c r="C672" s="50" t="s">
        <v>4</v>
      </c>
    </row>
    <row r="673" spans="1:3">
      <c r="A673" t="s">
        <v>1007</v>
      </c>
      <c r="B673">
        <v>4</v>
      </c>
      <c r="C673" s="50" t="s">
        <v>4</v>
      </c>
    </row>
    <row r="674" spans="1:3">
      <c r="A674" t="s">
        <v>1011</v>
      </c>
      <c r="B674">
        <v>5</v>
      </c>
      <c r="C674" s="50" t="s">
        <v>4</v>
      </c>
    </row>
    <row r="675" spans="1:3">
      <c r="A675" t="s">
        <v>1012</v>
      </c>
      <c r="B675">
        <v>56</v>
      </c>
      <c r="C675" s="51" t="s">
        <v>4</v>
      </c>
    </row>
    <row r="676" spans="1:3">
      <c r="A676" t="s">
        <v>1015</v>
      </c>
      <c r="B676">
        <v>17</v>
      </c>
      <c r="C676" s="51" t="s">
        <v>4</v>
      </c>
    </row>
    <row r="677" spans="1:3">
      <c r="A677" t="s">
        <v>1016</v>
      </c>
      <c r="B677">
        <v>457</v>
      </c>
      <c r="C677" s="51" t="s">
        <v>4</v>
      </c>
    </row>
    <row r="678" spans="1:3">
      <c r="A678" t="s">
        <v>1020</v>
      </c>
      <c r="B678">
        <v>3</v>
      </c>
      <c r="C678" s="51" t="s">
        <v>4</v>
      </c>
    </row>
    <row r="679" spans="1:3">
      <c r="A679" t="s">
        <v>1021</v>
      </c>
      <c r="B679">
        <v>1</v>
      </c>
      <c r="C679" s="51" t="s">
        <v>4</v>
      </c>
    </row>
    <row r="680" spans="1:3">
      <c r="A680" t="s">
        <v>1022</v>
      </c>
      <c r="B680">
        <v>1</v>
      </c>
      <c r="C680" s="51" t="s">
        <v>4</v>
      </c>
    </row>
    <row r="681" spans="1:3">
      <c r="A681" t="s">
        <v>997</v>
      </c>
      <c r="B681">
        <v>66</v>
      </c>
      <c r="C681" s="51" t="s">
        <v>4</v>
      </c>
    </row>
    <row r="682" spans="1:3">
      <c r="A682" s="31" t="s">
        <v>1019</v>
      </c>
      <c r="B682" s="35">
        <v>64</v>
      </c>
      <c r="C682" s="51" t="s">
        <v>4</v>
      </c>
    </row>
    <row r="683" spans="1:3">
      <c r="A683" t="s">
        <v>1013</v>
      </c>
      <c r="B683">
        <v>4</v>
      </c>
      <c r="C683" s="51" t="s">
        <v>4</v>
      </c>
    </row>
    <row r="684" spans="1:3">
      <c r="A684" t="s">
        <v>1014</v>
      </c>
      <c r="B684">
        <v>3</v>
      </c>
      <c r="C684" s="51" t="s">
        <v>4</v>
      </c>
    </row>
    <row r="685" spans="1:3">
      <c r="A685" t="s">
        <v>1018</v>
      </c>
      <c r="B685">
        <v>6</v>
      </c>
      <c r="C685" s="51" t="s">
        <v>4</v>
      </c>
    </row>
    <row r="686" spans="1:3">
      <c r="A686" t="s">
        <v>1017</v>
      </c>
      <c r="B686">
        <v>4</v>
      </c>
      <c r="C686" s="51" t="s">
        <v>4</v>
      </c>
    </row>
    <row r="687" spans="1:3">
      <c r="A687" t="s">
        <v>1027</v>
      </c>
      <c r="B687">
        <v>13</v>
      </c>
      <c r="C687" s="51" t="s">
        <v>4</v>
      </c>
    </row>
    <row r="688" spans="1:3">
      <c r="A688" t="s">
        <v>1028</v>
      </c>
      <c r="B688">
        <v>24</v>
      </c>
      <c r="C688" s="51" t="s">
        <v>4</v>
      </c>
    </row>
    <row r="689" spans="1:3">
      <c r="A689" t="s">
        <v>1029</v>
      </c>
      <c r="B689">
        <v>1</v>
      </c>
      <c r="C689" s="51" t="s">
        <v>4</v>
      </c>
    </row>
    <row r="690" spans="1:3">
      <c r="A690" t="s">
        <v>1024</v>
      </c>
      <c r="B690">
        <v>3</v>
      </c>
      <c r="C690" s="52" t="s">
        <v>4</v>
      </c>
    </row>
    <row r="691" spans="1:3">
      <c r="A691" t="s">
        <v>1025</v>
      </c>
      <c r="B691">
        <v>1</v>
      </c>
      <c r="C691" s="52" t="s">
        <v>4</v>
      </c>
    </row>
    <row r="692" spans="1:3">
      <c r="A692" t="s">
        <v>1026</v>
      </c>
      <c r="B692">
        <v>13</v>
      </c>
      <c r="C692" s="52" t="s">
        <v>4</v>
      </c>
    </row>
    <row r="693" spans="1:3">
      <c r="A693" t="s">
        <v>1030</v>
      </c>
      <c r="B693">
        <v>264</v>
      </c>
      <c r="C693" s="52" t="s">
        <v>4</v>
      </c>
    </row>
    <row r="694" spans="1:3">
      <c r="A694" t="s">
        <v>1031</v>
      </c>
      <c r="B694">
        <v>8</v>
      </c>
      <c r="C694" s="52" t="s">
        <v>4</v>
      </c>
    </row>
    <row r="695" spans="1:3">
      <c r="A695" t="s">
        <v>1032</v>
      </c>
      <c r="B695">
        <v>5</v>
      </c>
      <c r="C695" s="52" t="s">
        <v>4</v>
      </c>
    </row>
    <row r="696" spans="1:3">
      <c r="A696" t="s">
        <v>1038</v>
      </c>
      <c r="B696">
        <v>9</v>
      </c>
      <c r="C696" t="s">
        <v>4</v>
      </c>
    </row>
    <row r="697" spans="1:3">
      <c r="A697" t="s">
        <v>1039</v>
      </c>
      <c r="B697">
        <v>8</v>
      </c>
      <c r="C697" t="s">
        <v>4</v>
      </c>
    </row>
    <row r="698" spans="1:3">
      <c r="A698" t="s">
        <v>1040</v>
      </c>
      <c r="B698">
        <v>1</v>
      </c>
      <c r="C698" t="s">
        <v>4</v>
      </c>
    </row>
    <row r="699" spans="1:3">
      <c r="A699" t="s">
        <v>1037</v>
      </c>
      <c r="B699">
        <v>6</v>
      </c>
      <c r="C699" t="s">
        <v>4</v>
      </c>
    </row>
    <row r="700" spans="1:3">
      <c r="A700" t="s">
        <v>1041</v>
      </c>
      <c r="B700">
        <v>1</v>
      </c>
      <c r="C700" t="s">
        <v>4</v>
      </c>
    </row>
    <row r="701" spans="1:3">
      <c r="A701" t="s">
        <v>1042</v>
      </c>
      <c r="B701">
        <v>1</v>
      </c>
      <c r="C701" t="s">
        <v>4</v>
      </c>
    </row>
    <row r="702" spans="1:3">
      <c r="A702" t="s">
        <v>1043</v>
      </c>
      <c r="B702">
        <v>32</v>
      </c>
      <c r="C702" t="s">
        <v>4</v>
      </c>
    </row>
    <row r="703" spans="1:3">
      <c r="A703" t="s">
        <v>1046</v>
      </c>
      <c r="B703">
        <v>46</v>
      </c>
      <c r="C703" t="s">
        <v>4</v>
      </c>
    </row>
    <row r="704" spans="1:3">
      <c r="A704" t="s">
        <v>1035</v>
      </c>
      <c r="B704">
        <v>3</v>
      </c>
      <c r="C704" s="53" t="s">
        <v>4</v>
      </c>
    </row>
    <row r="705" spans="1:3">
      <c r="A705" t="s">
        <v>1036</v>
      </c>
      <c r="B705">
        <v>17</v>
      </c>
      <c r="C705" s="53" t="s">
        <v>4</v>
      </c>
    </row>
    <row r="706" spans="1:3">
      <c r="A706" t="s">
        <v>1047</v>
      </c>
      <c r="B706">
        <v>396</v>
      </c>
      <c r="C706" s="53" t="s">
        <v>4</v>
      </c>
    </row>
    <row r="707" spans="1:3">
      <c r="A707" t="s">
        <v>1049</v>
      </c>
      <c r="B707">
        <v>2</v>
      </c>
      <c r="C707" s="53" t="s">
        <v>4</v>
      </c>
    </row>
    <row r="708" spans="1:3">
      <c r="A708" t="s">
        <v>1057</v>
      </c>
      <c r="B708">
        <v>223</v>
      </c>
      <c r="C708" s="53" t="s">
        <v>4</v>
      </c>
    </row>
    <row r="709" spans="1:3">
      <c r="A709" t="s">
        <v>1062</v>
      </c>
      <c r="B709">
        <v>2</v>
      </c>
      <c r="C709" s="53" t="s">
        <v>4</v>
      </c>
    </row>
    <row r="710" spans="1:3">
      <c r="A710" t="s">
        <v>1034</v>
      </c>
      <c r="B710">
        <v>1</v>
      </c>
      <c r="C710" s="53" t="s">
        <v>4</v>
      </c>
    </row>
    <row r="711" spans="1:3">
      <c r="A711" t="s">
        <v>1061</v>
      </c>
      <c r="B711">
        <v>5</v>
      </c>
      <c r="C711" s="53" t="s">
        <v>4</v>
      </c>
    </row>
    <row r="712" spans="1:3">
      <c r="A712" t="s">
        <v>1064</v>
      </c>
      <c r="B712">
        <v>9</v>
      </c>
      <c r="C712" s="53" t="s">
        <v>4</v>
      </c>
    </row>
    <row r="713" spans="1:3">
      <c r="A713" t="s">
        <v>1065</v>
      </c>
      <c r="B713">
        <v>14</v>
      </c>
      <c r="C713" s="53" t="s">
        <v>4</v>
      </c>
    </row>
    <row r="714" spans="1:3">
      <c r="A714" t="s">
        <v>1058</v>
      </c>
      <c r="B714">
        <v>1</v>
      </c>
      <c r="C714" s="53" t="s">
        <v>4</v>
      </c>
    </row>
    <row r="715" spans="1:3">
      <c r="A715" t="s">
        <v>1059</v>
      </c>
      <c r="B715">
        <v>1</v>
      </c>
      <c r="C715" s="53" t="s">
        <v>4</v>
      </c>
    </row>
    <row r="716" spans="1:3">
      <c r="A716" t="s">
        <v>1067</v>
      </c>
      <c r="B716">
        <v>6</v>
      </c>
      <c r="C716" s="53" t="s">
        <v>4</v>
      </c>
    </row>
    <row r="717" spans="1:3">
      <c r="A717" t="s">
        <v>1075</v>
      </c>
      <c r="B717">
        <v>1</v>
      </c>
      <c r="C717" t="s">
        <v>4</v>
      </c>
    </row>
    <row r="718" spans="1:3">
      <c r="A718" t="s">
        <v>1069</v>
      </c>
      <c r="B718">
        <v>1</v>
      </c>
      <c r="C718" t="s">
        <v>4</v>
      </c>
    </row>
    <row r="719" spans="1:3">
      <c r="A719" t="s">
        <v>1071</v>
      </c>
      <c r="B719">
        <v>20</v>
      </c>
      <c r="C719" t="s">
        <v>4</v>
      </c>
    </row>
    <row r="720" spans="1:3">
      <c r="A720" t="s">
        <v>1070</v>
      </c>
      <c r="B720">
        <v>13</v>
      </c>
      <c r="C720" t="s">
        <v>4</v>
      </c>
    </row>
    <row r="721" spans="1:3">
      <c r="A721" t="s">
        <v>1068</v>
      </c>
      <c r="B721">
        <v>7</v>
      </c>
      <c r="C721" t="s">
        <v>4</v>
      </c>
    </row>
    <row r="722" spans="1:3">
      <c r="A722" t="s">
        <v>1077</v>
      </c>
      <c r="B722">
        <v>1</v>
      </c>
      <c r="C722" s="53" t="s">
        <v>4</v>
      </c>
    </row>
    <row r="723" spans="1:3">
      <c r="A723" t="s">
        <v>1078</v>
      </c>
      <c r="B723">
        <v>1</v>
      </c>
      <c r="C723" s="53" t="s">
        <v>4</v>
      </c>
    </row>
    <row r="724" spans="1:3">
      <c r="A724" t="s">
        <v>1079</v>
      </c>
      <c r="B724">
        <v>5</v>
      </c>
      <c r="C724" s="53" t="s">
        <v>4</v>
      </c>
    </row>
    <row r="725" spans="1:3">
      <c r="A725" t="s">
        <v>1080</v>
      </c>
      <c r="B725">
        <v>1</v>
      </c>
      <c r="C725" s="53" t="s">
        <v>4</v>
      </c>
    </row>
    <row r="726" spans="1:3">
      <c r="A726" t="s">
        <v>1081</v>
      </c>
      <c r="B726">
        <v>4</v>
      </c>
      <c r="C726" s="53" t="s">
        <v>4</v>
      </c>
    </row>
    <row r="727" spans="1:3">
      <c r="A727" t="s">
        <v>1082</v>
      </c>
      <c r="B727">
        <v>2</v>
      </c>
      <c r="C727" s="53" t="s">
        <v>4</v>
      </c>
    </row>
    <row r="728" spans="1:3">
      <c r="A728" t="s">
        <v>1090</v>
      </c>
      <c r="B728">
        <v>7</v>
      </c>
      <c r="C728" s="53" t="s">
        <v>4</v>
      </c>
    </row>
    <row r="729" spans="1:3">
      <c r="A729" t="s">
        <v>1086</v>
      </c>
      <c r="B729">
        <v>1</v>
      </c>
      <c r="C729" s="53" t="s">
        <v>4</v>
      </c>
    </row>
    <row r="730" spans="1:3">
      <c r="A730" t="s">
        <v>1091</v>
      </c>
      <c r="B730">
        <v>1</v>
      </c>
      <c r="C730" s="53" t="s">
        <v>4</v>
      </c>
    </row>
    <row r="731" spans="1:3">
      <c r="A731" t="s">
        <v>1092</v>
      </c>
      <c r="B731">
        <v>6</v>
      </c>
      <c r="C731" s="53" t="s">
        <v>4</v>
      </c>
    </row>
    <row r="732" spans="1:3">
      <c r="A732" t="s">
        <v>1048</v>
      </c>
      <c r="B732">
        <v>88</v>
      </c>
      <c r="C732" t="s">
        <v>4</v>
      </c>
    </row>
    <row r="733" spans="1:3">
      <c r="A733" t="s">
        <v>1074</v>
      </c>
      <c r="B733">
        <v>1</v>
      </c>
      <c r="C733" s="53" t="s">
        <v>4</v>
      </c>
    </row>
    <row r="734" spans="1:3">
      <c r="A734" t="s">
        <v>1093</v>
      </c>
      <c r="B734">
        <v>1</v>
      </c>
      <c r="C734" s="53" t="s">
        <v>4</v>
      </c>
    </row>
    <row r="735" spans="1:3">
      <c r="A735" t="s">
        <v>1094</v>
      </c>
      <c r="B735">
        <v>19</v>
      </c>
      <c r="C735" s="53" t="s">
        <v>4</v>
      </c>
    </row>
    <row r="736" spans="1:3">
      <c r="A736" t="s">
        <v>1096</v>
      </c>
      <c r="B736">
        <v>9</v>
      </c>
      <c r="C736" s="53" t="s">
        <v>4</v>
      </c>
    </row>
    <row r="737" spans="1:3">
      <c r="A737" t="s">
        <v>1101</v>
      </c>
      <c r="B737">
        <v>1</v>
      </c>
      <c r="C737" s="53" t="s">
        <v>4</v>
      </c>
    </row>
    <row r="738" spans="1:3">
      <c r="A738" t="s">
        <v>1100</v>
      </c>
      <c r="B738">
        <v>35</v>
      </c>
      <c r="C738" s="53" t="s">
        <v>4</v>
      </c>
    </row>
    <row r="739" spans="1:3">
      <c r="A739" t="s">
        <v>1072</v>
      </c>
      <c r="B739">
        <v>6</v>
      </c>
      <c r="C739" s="53" t="s">
        <v>4</v>
      </c>
    </row>
    <row r="740" spans="1:3">
      <c r="A740" t="s">
        <v>1073</v>
      </c>
      <c r="B740">
        <v>16</v>
      </c>
      <c r="C740" s="53" t="s">
        <v>4</v>
      </c>
    </row>
    <row r="741" spans="1:3">
      <c r="A741" t="s">
        <v>1095</v>
      </c>
      <c r="B741">
        <v>2</v>
      </c>
      <c r="C741" s="53" t="s">
        <v>4</v>
      </c>
    </row>
    <row r="742" spans="1:3">
      <c r="A742" t="s">
        <v>1097</v>
      </c>
      <c r="B742">
        <v>4</v>
      </c>
      <c r="C742" s="53" t="s">
        <v>4</v>
      </c>
    </row>
    <row r="743" spans="1:3">
      <c r="A743" t="s">
        <v>1103</v>
      </c>
      <c r="B743">
        <v>1</v>
      </c>
      <c r="C743" s="53" t="s">
        <v>4</v>
      </c>
    </row>
    <row r="744" spans="1:3">
      <c r="A744" t="s">
        <v>1104</v>
      </c>
      <c r="B744">
        <v>82</v>
      </c>
      <c r="C744" s="53" t="s">
        <v>4</v>
      </c>
    </row>
    <row r="745" spans="1:3">
      <c r="A745" t="s">
        <v>1098</v>
      </c>
      <c r="B745">
        <v>3</v>
      </c>
      <c r="C745" s="53" t="s">
        <v>4</v>
      </c>
    </row>
    <row r="746" spans="1:3">
      <c r="A746" t="s">
        <v>1106</v>
      </c>
      <c r="B746">
        <v>4</v>
      </c>
      <c r="C746" s="53" t="s">
        <v>4</v>
      </c>
    </row>
    <row r="747" spans="1:3">
      <c r="A747" t="s">
        <v>1105</v>
      </c>
      <c r="B747">
        <v>1</v>
      </c>
      <c r="C747" s="53" t="s">
        <v>4</v>
      </c>
    </row>
    <row r="748" spans="1:3">
      <c r="A748" t="s">
        <v>1107</v>
      </c>
      <c r="B748">
        <v>1</v>
      </c>
      <c r="C748" s="53" t="s">
        <v>4</v>
      </c>
    </row>
    <row r="749" spans="1:3">
      <c r="A749" t="s">
        <v>1110</v>
      </c>
      <c r="B749">
        <v>5</v>
      </c>
      <c r="C749" s="53" t="s">
        <v>4</v>
      </c>
    </row>
    <row r="750" spans="1:3">
      <c r="A750" t="s">
        <v>1109</v>
      </c>
      <c r="B750">
        <v>1</v>
      </c>
      <c r="C750" s="53" t="s">
        <v>4</v>
      </c>
    </row>
    <row r="751" spans="1:3">
      <c r="A751" t="s">
        <v>1108</v>
      </c>
      <c r="B751">
        <v>4</v>
      </c>
      <c r="C751" s="53" t="s">
        <v>4</v>
      </c>
    </row>
    <row r="752" spans="1:3">
      <c r="A752" t="s">
        <v>1111</v>
      </c>
      <c r="B752">
        <v>1</v>
      </c>
      <c r="C752" s="53" t="s">
        <v>4</v>
      </c>
    </row>
    <row r="753" spans="1:3">
      <c r="A753" t="s">
        <v>1116</v>
      </c>
      <c r="B753">
        <v>35</v>
      </c>
      <c r="C753" s="53" t="s">
        <v>4</v>
      </c>
    </row>
    <row r="754" spans="1:3">
      <c r="A754" t="s">
        <v>1102</v>
      </c>
      <c r="B754">
        <v>4</v>
      </c>
      <c r="C754" s="53" t="s">
        <v>4</v>
      </c>
    </row>
    <row r="755" spans="1:3">
      <c r="A755" t="s">
        <v>1114</v>
      </c>
      <c r="B755">
        <v>6</v>
      </c>
      <c r="C755" s="53" t="s">
        <v>4</v>
      </c>
    </row>
    <row r="756" spans="1:3">
      <c r="A756" t="s">
        <v>1115</v>
      </c>
      <c r="B756">
        <v>1</v>
      </c>
      <c r="C756" s="53" t="s">
        <v>4</v>
      </c>
    </row>
    <row r="757" spans="1:3">
      <c r="A757" t="s">
        <v>1117</v>
      </c>
      <c r="B757">
        <v>4</v>
      </c>
      <c r="C757" s="53" t="s">
        <v>4</v>
      </c>
    </row>
    <row r="758" spans="1:3">
      <c r="A758" t="s">
        <v>1118</v>
      </c>
      <c r="B758">
        <v>2</v>
      </c>
      <c r="C758" s="53" t="s">
        <v>4</v>
      </c>
    </row>
    <row r="759" spans="1:3">
      <c r="A759" t="s">
        <v>1119</v>
      </c>
      <c r="B759">
        <v>1</v>
      </c>
      <c r="C759" s="53" t="s">
        <v>4</v>
      </c>
    </row>
    <row r="760" spans="1:3">
      <c r="A760" t="s">
        <v>1120</v>
      </c>
      <c r="B760">
        <v>1</v>
      </c>
      <c r="C760" s="53" t="s">
        <v>4</v>
      </c>
    </row>
    <row r="761" spans="1:3">
      <c r="A761" t="s">
        <v>1112</v>
      </c>
      <c r="B761">
        <v>7</v>
      </c>
      <c r="C761" t="s">
        <v>4</v>
      </c>
    </row>
    <row r="762" spans="1:3">
      <c r="A762" t="s">
        <v>1121</v>
      </c>
      <c r="B762">
        <v>2</v>
      </c>
      <c r="C762" t="s">
        <v>4</v>
      </c>
    </row>
    <row r="763" spans="1:3">
      <c r="A763" t="s">
        <v>1122</v>
      </c>
      <c r="B763">
        <v>1</v>
      </c>
      <c r="C763" t="s">
        <v>4</v>
      </c>
    </row>
    <row r="764" spans="1:3">
      <c r="A764" t="s">
        <v>1123</v>
      </c>
      <c r="B764">
        <v>8</v>
      </c>
      <c r="C764" s="53" t="s">
        <v>4</v>
      </c>
    </row>
    <row r="765" spans="1:3">
      <c r="A765" t="s">
        <v>1126</v>
      </c>
      <c r="B765">
        <v>1</v>
      </c>
      <c r="C765" s="53" t="s">
        <v>4</v>
      </c>
    </row>
    <row r="766" spans="1:3">
      <c r="A766" t="s">
        <v>1127</v>
      </c>
      <c r="B766">
        <v>4</v>
      </c>
      <c r="C766" s="53" t="s">
        <v>4</v>
      </c>
    </row>
    <row r="767" spans="1:3">
      <c r="A767" t="s">
        <v>1129</v>
      </c>
      <c r="B767">
        <v>9</v>
      </c>
      <c r="C767" s="53" t="s">
        <v>4</v>
      </c>
    </row>
    <row r="768" spans="1:3">
      <c r="A768" t="s">
        <v>1130</v>
      </c>
      <c r="B768">
        <v>2</v>
      </c>
      <c r="C768" s="53" t="s">
        <v>4</v>
      </c>
    </row>
    <row r="769" spans="1:3">
      <c r="A769" t="s">
        <v>1133</v>
      </c>
      <c r="B769">
        <v>18</v>
      </c>
      <c r="C769" s="53" t="s">
        <v>4</v>
      </c>
    </row>
    <row r="770" spans="1:3">
      <c r="A770" t="s">
        <v>1134</v>
      </c>
      <c r="B770">
        <v>1</v>
      </c>
      <c r="C770" s="53" t="s">
        <v>4</v>
      </c>
    </row>
    <row r="771" spans="1:3">
      <c r="A771" t="s">
        <v>1135</v>
      </c>
      <c r="B771">
        <v>2</v>
      </c>
      <c r="C771" s="53" t="s">
        <v>4</v>
      </c>
    </row>
    <row r="772" spans="1:3">
      <c r="A772" t="s">
        <v>1136</v>
      </c>
      <c r="B772">
        <v>7</v>
      </c>
      <c r="C772" s="53" t="s">
        <v>4</v>
      </c>
    </row>
    <row r="773" spans="1:3">
      <c r="A773" t="s">
        <v>1137</v>
      </c>
      <c r="B773">
        <v>6</v>
      </c>
      <c r="C773" s="53" t="s">
        <v>4</v>
      </c>
    </row>
    <row r="774" spans="1:3">
      <c r="A774" t="s">
        <v>1138</v>
      </c>
      <c r="B774">
        <v>2</v>
      </c>
      <c r="C774" s="53" t="s">
        <v>4</v>
      </c>
    </row>
    <row r="775" spans="1:3">
      <c r="A775" t="s">
        <v>1139</v>
      </c>
      <c r="B775">
        <v>3</v>
      </c>
      <c r="C775" s="55" t="s">
        <v>4</v>
      </c>
    </row>
    <row r="776" spans="1:3">
      <c r="A776" t="s">
        <v>1145</v>
      </c>
      <c r="B776">
        <v>2</v>
      </c>
      <c r="C776" s="55" t="s">
        <v>4</v>
      </c>
    </row>
    <row r="777" spans="1:3">
      <c r="A777" t="s">
        <v>1142</v>
      </c>
      <c r="B777">
        <v>25</v>
      </c>
      <c r="C777" s="55" t="s">
        <v>4</v>
      </c>
    </row>
    <row r="778" spans="1:3">
      <c r="A778" t="s">
        <v>1143</v>
      </c>
      <c r="B778">
        <v>1</v>
      </c>
      <c r="C778" s="55" t="s">
        <v>4</v>
      </c>
    </row>
    <row r="779" spans="1:3">
      <c r="A779" t="s">
        <v>1144</v>
      </c>
      <c r="B779">
        <v>1</v>
      </c>
      <c r="C779" s="55" t="s">
        <v>4</v>
      </c>
    </row>
    <row r="780" spans="1:3">
      <c r="A780" t="s">
        <v>1148</v>
      </c>
      <c r="B780">
        <v>10</v>
      </c>
      <c r="C780" s="55" t="s">
        <v>4</v>
      </c>
    </row>
    <row r="781" spans="1:3">
      <c r="A781" t="s">
        <v>1147</v>
      </c>
      <c r="B781">
        <v>27</v>
      </c>
      <c r="C781" s="55" t="s">
        <v>4</v>
      </c>
    </row>
    <row r="782" spans="1:3">
      <c r="A782" t="s">
        <v>1150</v>
      </c>
      <c r="B782">
        <v>1</v>
      </c>
      <c r="C782" s="55" t="s">
        <v>4</v>
      </c>
    </row>
    <row r="783" spans="1:3">
      <c r="A783" t="s">
        <v>1124</v>
      </c>
      <c r="B783">
        <v>4</v>
      </c>
      <c r="C783" s="55" t="s">
        <v>4</v>
      </c>
    </row>
    <row r="784" spans="1:3">
      <c r="A784" t="s">
        <v>1151</v>
      </c>
      <c r="B784">
        <v>2</v>
      </c>
      <c r="C784" s="55" t="s">
        <v>4</v>
      </c>
    </row>
    <row r="785" spans="1:3">
      <c r="A785" t="s">
        <v>1156</v>
      </c>
      <c r="B785">
        <v>3</v>
      </c>
      <c r="C785" s="55" t="s">
        <v>4</v>
      </c>
    </row>
    <row r="786" spans="1:3">
      <c r="A786" t="s">
        <v>1149</v>
      </c>
      <c r="B786">
        <v>3</v>
      </c>
      <c r="C786" s="55" t="s">
        <v>4</v>
      </c>
    </row>
    <row r="787" spans="1:3">
      <c r="A787" t="s">
        <v>1155</v>
      </c>
      <c r="B787">
        <v>4</v>
      </c>
      <c r="C787" s="55" t="s">
        <v>4</v>
      </c>
    </row>
    <row r="788" spans="1:3">
      <c r="A788" t="s">
        <v>1157</v>
      </c>
      <c r="B788">
        <v>33</v>
      </c>
      <c r="C788" s="55" t="s">
        <v>4</v>
      </c>
    </row>
    <row r="789" spans="1:3">
      <c r="A789" t="s">
        <v>1158</v>
      </c>
      <c r="B789">
        <v>30</v>
      </c>
      <c r="C789" s="55" t="s">
        <v>4</v>
      </c>
    </row>
    <row r="790" spans="1:3">
      <c r="A790" t="s">
        <v>1159</v>
      </c>
      <c r="B790">
        <v>2</v>
      </c>
      <c r="C790" s="55" t="s">
        <v>4</v>
      </c>
    </row>
    <row r="791" spans="1:3">
      <c r="A791" t="s">
        <v>1160</v>
      </c>
      <c r="B791">
        <v>36</v>
      </c>
      <c r="C791" s="55" t="s">
        <v>4</v>
      </c>
    </row>
    <row r="792" spans="1:3">
      <c r="A792" t="s">
        <v>1161</v>
      </c>
      <c r="B792">
        <v>7</v>
      </c>
      <c r="C792" s="55" t="s">
        <v>4</v>
      </c>
    </row>
    <row r="793" spans="1:3">
      <c r="A793" t="s">
        <v>1166</v>
      </c>
      <c r="B793">
        <v>1</v>
      </c>
      <c r="C793" s="55" t="s">
        <v>4</v>
      </c>
    </row>
    <row r="794" spans="1:3">
      <c r="A794" t="s">
        <v>1162</v>
      </c>
      <c r="B794">
        <v>3</v>
      </c>
      <c r="C794" s="55" t="s">
        <v>4</v>
      </c>
    </row>
    <row r="795" spans="1:3">
      <c r="A795" t="s">
        <v>1154</v>
      </c>
      <c r="B795">
        <v>21</v>
      </c>
      <c r="C795" s="55" t="s">
        <v>4</v>
      </c>
    </row>
    <row r="796" spans="1:3">
      <c r="A796" t="s">
        <v>1163</v>
      </c>
      <c r="B796">
        <v>17</v>
      </c>
      <c r="C796" s="55" t="s">
        <v>4</v>
      </c>
    </row>
    <row r="797" spans="1:3">
      <c r="A797" t="s">
        <v>1164</v>
      </c>
      <c r="B797">
        <v>7</v>
      </c>
      <c r="C797" s="55" t="s">
        <v>4</v>
      </c>
    </row>
    <row r="798" spans="1:3">
      <c r="A798" t="s">
        <v>1165</v>
      </c>
      <c r="B798">
        <v>1</v>
      </c>
      <c r="C798" s="55" t="s">
        <v>4</v>
      </c>
    </row>
    <row r="799" spans="1:3">
      <c r="A799" t="s">
        <v>1167</v>
      </c>
      <c r="B799">
        <v>21</v>
      </c>
      <c r="C799" s="55" t="s">
        <v>4</v>
      </c>
    </row>
    <row r="800" spans="1:3">
      <c r="A800" t="s">
        <v>1168</v>
      </c>
      <c r="B800">
        <v>7</v>
      </c>
      <c r="C800" s="55" t="s">
        <v>4</v>
      </c>
    </row>
    <row r="801" spans="1:3">
      <c r="A801" t="s">
        <v>1169</v>
      </c>
      <c r="B801">
        <v>1</v>
      </c>
      <c r="C801" s="55" t="s">
        <v>4</v>
      </c>
    </row>
    <row r="802" spans="1:3">
      <c r="A802" t="s">
        <v>1171</v>
      </c>
      <c r="B802">
        <v>1</v>
      </c>
      <c r="C802" s="55" t="s">
        <v>4</v>
      </c>
    </row>
    <row r="803" spans="1:3">
      <c r="A803" t="s">
        <v>1172</v>
      </c>
      <c r="B803">
        <v>27</v>
      </c>
      <c r="C803" s="55" t="s">
        <v>4</v>
      </c>
    </row>
    <row r="804" spans="1:3">
      <c r="A804" t="s">
        <v>1170</v>
      </c>
      <c r="B804">
        <v>1</v>
      </c>
      <c r="C804" s="55" t="s">
        <v>4</v>
      </c>
    </row>
    <row r="805" spans="1:3">
      <c r="A805" t="s">
        <v>1173</v>
      </c>
      <c r="B805">
        <v>26</v>
      </c>
      <c r="C805" s="55" t="s">
        <v>4</v>
      </c>
    </row>
    <row r="806" spans="1:3">
      <c r="A806" t="s">
        <v>1177</v>
      </c>
      <c r="B806">
        <v>13</v>
      </c>
      <c r="C806" s="55" t="s">
        <v>4</v>
      </c>
    </row>
    <row r="807" spans="1:3">
      <c r="A807" t="s">
        <v>1174</v>
      </c>
      <c r="B807">
        <v>2</v>
      </c>
      <c r="C807" s="56" t="s">
        <v>4</v>
      </c>
    </row>
    <row r="808" spans="1:3">
      <c r="A808" t="s">
        <v>1176</v>
      </c>
      <c r="B808">
        <v>6</v>
      </c>
      <c r="C808" s="56" t="s">
        <v>4</v>
      </c>
    </row>
    <row r="809" spans="1:3">
      <c r="A809" t="s">
        <v>1179</v>
      </c>
      <c r="B809">
        <v>6</v>
      </c>
      <c r="C809" s="56" t="s">
        <v>4</v>
      </c>
    </row>
    <row r="810" spans="1:3">
      <c r="A810" t="s">
        <v>1182</v>
      </c>
      <c r="B810">
        <v>1</v>
      </c>
      <c r="C810" s="56" t="s">
        <v>4</v>
      </c>
    </row>
    <row r="811" spans="1:3">
      <c r="A811" s="56" t="s">
        <v>1178</v>
      </c>
      <c r="B811">
        <v>4</v>
      </c>
      <c r="C811" s="56" t="s">
        <v>4</v>
      </c>
    </row>
    <row r="812" spans="1:3">
      <c r="A812" s="56" t="s">
        <v>1180</v>
      </c>
      <c r="B812">
        <v>17</v>
      </c>
      <c r="C812" s="56" t="s">
        <v>4</v>
      </c>
    </row>
    <row r="813" spans="1:3">
      <c r="A813" s="56" t="s">
        <v>1183</v>
      </c>
      <c r="B813">
        <v>11</v>
      </c>
      <c r="C813" s="56" t="s">
        <v>4</v>
      </c>
    </row>
    <row r="814" spans="1:3">
      <c r="A814" t="s">
        <v>1185</v>
      </c>
      <c r="B814">
        <v>3</v>
      </c>
      <c r="C814" t="s">
        <v>4</v>
      </c>
    </row>
    <row r="815" spans="1:3">
      <c r="A815" t="s">
        <v>1186</v>
      </c>
      <c r="B815">
        <v>3</v>
      </c>
      <c r="C815" t="s">
        <v>4</v>
      </c>
    </row>
    <row r="816" spans="1:3">
      <c r="A816" t="s">
        <v>1190</v>
      </c>
      <c r="B816">
        <v>30</v>
      </c>
      <c r="C816" s="56" t="s">
        <v>4</v>
      </c>
    </row>
    <row r="817" spans="1:3">
      <c r="A817" t="s">
        <v>1192</v>
      </c>
      <c r="B817">
        <v>23</v>
      </c>
      <c r="C817" s="56" t="s">
        <v>4</v>
      </c>
    </row>
    <row r="818" spans="1:3">
      <c r="A818" t="s">
        <v>1193</v>
      </c>
      <c r="B818">
        <v>12</v>
      </c>
      <c r="C818" s="56" t="s">
        <v>4</v>
      </c>
    </row>
    <row r="819" spans="1:3">
      <c r="A819" t="s">
        <v>1196</v>
      </c>
      <c r="B819">
        <v>3</v>
      </c>
      <c r="C819" s="57" t="s">
        <v>4</v>
      </c>
    </row>
    <row r="820" spans="1:3">
      <c r="A820" t="s">
        <v>1199</v>
      </c>
      <c r="B820">
        <v>1</v>
      </c>
      <c r="C820" s="57" t="s">
        <v>4</v>
      </c>
    </row>
    <row r="821" spans="1:3">
      <c r="A821" t="s">
        <v>1198</v>
      </c>
      <c r="B821">
        <v>50</v>
      </c>
      <c r="C821" s="57" t="s">
        <v>4</v>
      </c>
    </row>
    <row r="822" spans="1:3">
      <c r="A822" t="s">
        <v>1197</v>
      </c>
      <c r="B822">
        <v>13</v>
      </c>
      <c r="C822" s="57" t="s">
        <v>4</v>
      </c>
    </row>
    <row r="823" spans="1:3">
      <c r="A823" t="s">
        <v>1191</v>
      </c>
      <c r="B823">
        <v>14</v>
      </c>
      <c r="C823" s="58" t="s">
        <v>4</v>
      </c>
    </row>
    <row r="824" spans="1:3">
      <c r="A824" t="s">
        <v>1201</v>
      </c>
      <c r="B824">
        <v>1</v>
      </c>
      <c r="C824" s="58" t="s">
        <v>4</v>
      </c>
    </row>
    <row r="825" spans="1:3">
      <c r="A825" t="s">
        <v>1200</v>
      </c>
      <c r="B825">
        <v>1</v>
      </c>
      <c r="C825" s="58" t="s">
        <v>4</v>
      </c>
    </row>
    <row r="826" spans="1:3">
      <c r="A826" t="s">
        <v>1203</v>
      </c>
      <c r="B826">
        <v>3</v>
      </c>
      <c r="C826" s="59" t="s">
        <v>4</v>
      </c>
    </row>
    <row r="827" spans="1:3">
      <c r="A827" t="s">
        <v>1205</v>
      </c>
      <c r="B827">
        <v>1</v>
      </c>
      <c r="C827" s="59" t="s">
        <v>4</v>
      </c>
    </row>
    <row r="828" spans="1:3">
      <c r="A828" t="s">
        <v>1206</v>
      </c>
      <c r="B828">
        <v>4</v>
      </c>
      <c r="C828" s="59" t="s">
        <v>4</v>
      </c>
    </row>
    <row r="829" spans="1:3">
      <c r="A829" t="s">
        <v>1208</v>
      </c>
      <c r="B829">
        <v>11</v>
      </c>
      <c r="C829" s="59" t="s">
        <v>4</v>
      </c>
    </row>
    <row r="830" spans="1:3">
      <c r="A830" t="s">
        <v>1210</v>
      </c>
      <c r="B830">
        <v>3</v>
      </c>
      <c r="C830" s="59" t="s">
        <v>4</v>
      </c>
    </row>
    <row r="831" spans="1:3">
      <c r="A831" t="s">
        <v>1209</v>
      </c>
      <c r="B831">
        <v>1</v>
      </c>
      <c r="C831" s="61" t="s">
        <v>4</v>
      </c>
    </row>
    <row r="832" spans="1:3">
      <c r="A832" t="s">
        <v>1211</v>
      </c>
      <c r="B832">
        <v>1</v>
      </c>
      <c r="C832" s="61" t="s">
        <v>4</v>
      </c>
    </row>
    <row r="833" spans="1:3">
      <c r="A833" t="s">
        <v>1212</v>
      </c>
      <c r="B833">
        <v>1</v>
      </c>
      <c r="C833" s="61" t="s">
        <v>4</v>
      </c>
    </row>
    <row r="834" spans="1:3">
      <c r="A834" t="s">
        <v>1216</v>
      </c>
      <c r="B834">
        <v>6</v>
      </c>
      <c r="C834" s="61" t="s">
        <v>4</v>
      </c>
    </row>
    <row r="835" spans="1:3">
      <c r="A835" t="s">
        <v>1215</v>
      </c>
      <c r="B835">
        <v>14</v>
      </c>
      <c r="C835" s="61" t="s">
        <v>4</v>
      </c>
    </row>
    <row r="836" spans="1:3">
      <c r="A836" t="s">
        <v>1217</v>
      </c>
      <c r="B836">
        <v>2</v>
      </c>
      <c r="C836" s="61" t="s">
        <v>4</v>
      </c>
    </row>
    <row r="837" spans="1:3">
      <c r="A837" t="s">
        <v>1218</v>
      </c>
      <c r="B837">
        <v>1</v>
      </c>
      <c r="C837" s="61" t="s">
        <v>4</v>
      </c>
    </row>
    <row r="838" spans="1:3">
      <c r="A838" t="s">
        <v>1219</v>
      </c>
      <c r="B838">
        <v>3</v>
      </c>
      <c r="C838" s="61" t="s">
        <v>4</v>
      </c>
    </row>
    <row r="839" spans="1:3">
      <c r="A839" t="s">
        <v>1220</v>
      </c>
      <c r="B839">
        <v>7</v>
      </c>
      <c r="C839" s="61" t="s">
        <v>4</v>
      </c>
    </row>
    <row r="840" spans="1:3">
      <c r="A840" t="s">
        <v>1221</v>
      </c>
      <c r="B840">
        <v>10</v>
      </c>
      <c r="C840" s="61" t="s">
        <v>4</v>
      </c>
    </row>
    <row r="841" spans="1:3">
      <c r="A841" t="s">
        <v>1222</v>
      </c>
      <c r="B841">
        <v>6</v>
      </c>
      <c r="C841" s="61" t="s">
        <v>4</v>
      </c>
    </row>
    <row r="842" spans="1:3">
      <c r="A842" t="s">
        <v>1224</v>
      </c>
      <c r="B842">
        <v>1</v>
      </c>
      <c r="C842" s="61" t="s">
        <v>4</v>
      </c>
    </row>
    <row r="843" spans="1:3">
      <c r="A843" t="s">
        <v>1227</v>
      </c>
      <c r="B843">
        <v>19</v>
      </c>
      <c r="C843" s="61" t="s">
        <v>4</v>
      </c>
    </row>
    <row r="844" spans="1:3">
      <c r="A844" t="s">
        <v>1223</v>
      </c>
      <c r="B844">
        <v>3</v>
      </c>
      <c r="C844" s="61" t="s">
        <v>4</v>
      </c>
    </row>
    <row r="845" spans="1:3">
      <c r="A845" t="s">
        <v>1228</v>
      </c>
      <c r="B845">
        <v>5</v>
      </c>
      <c r="C845" s="61" t="s">
        <v>4</v>
      </c>
    </row>
    <row r="846" spans="1:3">
      <c r="A846" t="s">
        <v>1225</v>
      </c>
      <c r="B846">
        <v>11</v>
      </c>
      <c r="C846" s="61" t="s">
        <v>4</v>
      </c>
    </row>
    <row r="847" spans="1:3">
      <c r="A847" t="s">
        <v>1230</v>
      </c>
      <c r="B847">
        <v>10</v>
      </c>
      <c r="C847" s="61" t="s">
        <v>4</v>
      </c>
    </row>
    <row r="848" spans="1:3">
      <c r="A848" t="s">
        <v>1231</v>
      </c>
      <c r="B848">
        <v>6</v>
      </c>
      <c r="C848" s="61" t="s">
        <v>4</v>
      </c>
    </row>
    <row r="849" spans="1:3">
      <c r="A849" t="s">
        <v>1232</v>
      </c>
      <c r="B849">
        <v>6</v>
      </c>
      <c r="C849" s="61" t="s">
        <v>4</v>
      </c>
    </row>
    <row r="850" spans="1:3">
      <c r="A850" t="s">
        <v>1234</v>
      </c>
      <c r="B850">
        <v>13</v>
      </c>
      <c r="C850" s="61" t="s">
        <v>4</v>
      </c>
    </row>
    <row r="851" spans="1:3">
      <c r="A851" t="s">
        <v>1233</v>
      </c>
      <c r="B851">
        <v>1</v>
      </c>
      <c r="C851" s="61" t="s">
        <v>4</v>
      </c>
    </row>
    <row r="852" spans="1:3">
      <c r="A852" t="s">
        <v>1237</v>
      </c>
      <c r="B852">
        <v>6</v>
      </c>
      <c r="C852" s="61" t="s">
        <v>4</v>
      </c>
    </row>
    <row r="853" spans="1:3">
      <c r="A853" t="s">
        <v>1238</v>
      </c>
      <c r="B853">
        <v>1</v>
      </c>
      <c r="C853" s="61" t="s">
        <v>4</v>
      </c>
    </row>
    <row r="854" spans="1:3">
      <c r="A854" t="s">
        <v>1239</v>
      </c>
      <c r="B854">
        <v>37</v>
      </c>
      <c r="C854" s="61" t="s">
        <v>4</v>
      </c>
    </row>
    <row r="855" spans="1:3">
      <c r="A855" t="s">
        <v>1241</v>
      </c>
      <c r="B855">
        <v>17</v>
      </c>
      <c r="C855" s="61" t="s">
        <v>4</v>
      </c>
    </row>
    <row r="856" spans="1:3">
      <c r="A856" t="s">
        <v>1240</v>
      </c>
      <c r="B856">
        <v>42</v>
      </c>
      <c r="C856" s="61" t="s">
        <v>4</v>
      </c>
    </row>
    <row r="857" spans="1:3">
      <c r="A857" t="s">
        <v>1245</v>
      </c>
      <c r="B857">
        <v>3</v>
      </c>
      <c r="C857" s="61" t="s">
        <v>4</v>
      </c>
    </row>
    <row r="858" spans="1:3">
      <c r="A858" t="s">
        <v>1246</v>
      </c>
      <c r="B858">
        <v>1</v>
      </c>
      <c r="C858" s="61" t="s">
        <v>4</v>
      </c>
    </row>
    <row r="859" spans="1:3">
      <c r="A859" t="s">
        <v>1247</v>
      </c>
      <c r="B859">
        <v>5</v>
      </c>
      <c r="C859" s="61" t="s">
        <v>4</v>
      </c>
    </row>
    <row r="860" spans="1:3">
      <c r="A860" t="s">
        <v>1248</v>
      </c>
      <c r="B860">
        <v>2</v>
      </c>
      <c r="C860" s="61" t="s">
        <v>4</v>
      </c>
    </row>
    <row r="861" spans="1:3">
      <c r="A861" t="s">
        <v>1249</v>
      </c>
      <c r="B861">
        <v>1</v>
      </c>
      <c r="C861" s="61" t="s">
        <v>4</v>
      </c>
    </row>
    <row r="862" spans="1:3">
      <c r="A862" t="s">
        <v>1252</v>
      </c>
      <c r="B862">
        <v>99</v>
      </c>
      <c r="C862" s="61" t="s">
        <v>4</v>
      </c>
    </row>
    <row r="863" spans="1:3">
      <c r="A863" t="s">
        <v>1250</v>
      </c>
      <c r="B863">
        <v>1</v>
      </c>
      <c r="C863" s="61" t="s">
        <v>4</v>
      </c>
    </row>
    <row r="864" spans="1:3">
      <c r="A864" t="s">
        <v>1253</v>
      </c>
      <c r="B864">
        <v>16</v>
      </c>
      <c r="C864" s="61" t="s">
        <v>4</v>
      </c>
    </row>
    <row r="865" spans="1:3">
      <c r="A865" t="s">
        <v>1260</v>
      </c>
      <c r="B865">
        <v>1</v>
      </c>
      <c r="C865" s="61" t="s">
        <v>4</v>
      </c>
    </row>
    <row r="866" spans="1:3">
      <c r="A866" t="s">
        <v>1255</v>
      </c>
      <c r="B866">
        <v>1</v>
      </c>
      <c r="C866" s="61" t="s">
        <v>4</v>
      </c>
    </row>
    <row r="867" spans="1:3">
      <c r="A867" t="s">
        <v>1257</v>
      </c>
      <c r="B867">
        <v>2</v>
      </c>
      <c r="C867" s="61" t="s">
        <v>4</v>
      </c>
    </row>
    <row r="868" spans="1:3">
      <c r="A868" t="s">
        <v>1256</v>
      </c>
      <c r="B868">
        <v>12</v>
      </c>
      <c r="C868" s="61" t="s">
        <v>4</v>
      </c>
    </row>
    <row r="869" spans="1:3">
      <c r="A869" t="s">
        <v>1261</v>
      </c>
      <c r="B869">
        <v>1</v>
      </c>
      <c r="C869" s="61" t="s">
        <v>4</v>
      </c>
    </row>
    <row r="870" spans="1:3">
      <c r="A870" t="s">
        <v>1258</v>
      </c>
      <c r="B870">
        <v>1</v>
      </c>
      <c r="C870" s="61" t="s">
        <v>4</v>
      </c>
    </row>
    <row r="871" spans="1:3">
      <c r="A871" t="s">
        <v>1262</v>
      </c>
      <c r="B871">
        <v>7</v>
      </c>
      <c r="C871" s="61" t="s">
        <v>4</v>
      </c>
    </row>
    <row r="872" spans="1:3">
      <c r="A872" t="s">
        <v>1263</v>
      </c>
      <c r="B872">
        <v>6</v>
      </c>
      <c r="C872" s="61" t="s">
        <v>4</v>
      </c>
    </row>
    <row r="873" spans="1:3">
      <c r="A873" t="s">
        <v>1271</v>
      </c>
      <c r="B873">
        <v>2</v>
      </c>
      <c r="C873" s="61" t="s">
        <v>4</v>
      </c>
    </row>
    <row r="874" spans="1:3">
      <c r="A874" t="s">
        <v>1269</v>
      </c>
      <c r="B874">
        <v>157</v>
      </c>
      <c r="C874" s="61" t="s">
        <v>4</v>
      </c>
    </row>
    <row r="875" spans="1:3">
      <c r="A875" t="s">
        <v>1270</v>
      </c>
      <c r="B875">
        <v>1</v>
      </c>
      <c r="C875" s="61" t="s">
        <v>4</v>
      </c>
    </row>
    <row r="876" spans="1:3">
      <c r="A876" t="s">
        <v>1272</v>
      </c>
      <c r="B876">
        <v>1</v>
      </c>
      <c r="C876" s="61" t="s">
        <v>4</v>
      </c>
    </row>
    <row r="877" spans="1:3">
      <c r="A877" t="s">
        <v>1274</v>
      </c>
      <c r="B877">
        <v>1</v>
      </c>
      <c r="C877" s="62" t="s">
        <v>4</v>
      </c>
    </row>
    <row r="878" spans="1:3">
      <c r="A878" t="s">
        <v>1277</v>
      </c>
      <c r="B878">
        <v>19</v>
      </c>
      <c r="C878" s="62" t="s">
        <v>4</v>
      </c>
    </row>
    <row r="879" spans="1:3">
      <c r="A879" t="s">
        <v>1276</v>
      </c>
      <c r="B879">
        <v>1</v>
      </c>
      <c r="C879" s="62" t="s">
        <v>4</v>
      </c>
    </row>
    <row r="880" spans="1:3">
      <c r="A880" t="s">
        <v>1273</v>
      </c>
      <c r="B880">
        <v>10</v>
      </c>
      <c r="C880" s="62" t="s">
        <v>4</v>
      </c>
    </row>
    <row r="881" spans="1:3">
      <c r="A881" t="s">
        <v>1278</v>
      </c>
      <c r="B881">
        <v>69</v>
      </c>
      <c r="C881" s="62" t="s">
        <v>4</v>
      </c>
    </row>
    <row r="882" spans="1:3">
      <c r="A882" t="s">
        <v>1279</v>
      </c>
      <c r="B882">
        <v>1</v>
      </c>
      <c r="C882" s="62" t="s">
        <v>4</v>
      </c>
    </row>
    <row r="883" spans="1:3">
      <c r="A883" t="s">
        <v>1280</v>
      </c>
      <c r="B883">
        <v>5</v>
      </c>
      <c r="C883" s="62" t="s">
        <v>4</v>
      </c>
    </row>
    <row r="884" spans="1:3">
      <c r="A884" t="s">
        <v>1281</v>
      </c>
      <c r="B884">
        <v>20</v>
      </c>
      <c r="C884" s="62" t="s">
        <v>4</v>
      </c>
    </row>
    <row r="885" spans="1:3">
      <c r="A885" t="s">
        <v>1283</v>
      </c>
      <c r="B885">
        <v>1</v>
      </c>
      <c r="C885" s="62" t="s">
        <v>4</v>
      </c>
    </row>
    <row r="886" spans="1:3">
      <c r="A886" t="s">
        <v>1284</v>
      </c>
      <c r="B886">
        <v>1</v>
      </c>
      <c r="C886" s="62" t="s">
        <v>4</v>
      </c>
    </row>
    <row r="887" spans="1:3">
      <c r="A887" t="s">
        <v>1285</v>
      </c>
      <c r="B887">
        <v>6</v>
      </c>
      <c r="C887" s="62" t="s">
        <v>4</v>
      </c>
    </row>
    <row r="888" spans="1:3">
      <c r="A888" t="s">
        <v>1293</v>
      </c>
      <c r="B888">
        <v>106</v>
      </c>
      <c r="C888" s="62" t="s">
        <v>4</v>
      </c>
    </row>
    <row r="889" spans="1:3">
      <c r="A889" t="s">
        <v>1296</v>
      </c>
      <c r="B889">
        <v>156</v>
      </c>
      <c r="C889" s="62" t="s">
        <v>4</v>
      </c>
    </row>
    <row r="890" spans="1:3">
      <c r="A890" t="s">
        <v>1295</v>
      </c>
      <c r="B890">
        <v>1</v>
      </c>
      <c r="C890" s="62" t="s">
        <v>4</v>
      </c>
    </row>
    <row r="891" spans="1:3">
      <c r="A891" t="s">
        <v>1297</v>
      </c>
      <c r="B891">
        <v>17</v>
      </c>
      <c r="C891" s="62" t="s">
        <v>4</v>
      </c>
    </row>
    <row r="892" spans="1:3">
      <c r="A892" t="s">
        <v>1298</v>
      </c>
      <c r="B892">
        <v>4</v>
      </c>
      <c r="C892" s="62" t="s">
        <v>4</v>
      </c>
    </row>
    <row r="893" spans="1:3">
      <c r="A893" t="s">
        <v>1299</v>
      </c>
      <c r="B893">
        <v>2</v>
      </c>
      <c r="C893" s="62" t="s">
        <v>4</v>
      </c>
    </row>
    <row r="894" spans="1:3">
      <c r="A894" t="s">
        <v>1300</v>
      </c>
      <c r="B894">
        <v>3</v>
      </c>
      <c r="C894" s="62" t="s">
        <v>4</v>
      </c>
    </row>
    <row r="895" spans="1:3">
      <c r="A895" t="s">
        <v>1306</v>
      </c>
      <c r="B895">
        <v>43</v>
      </c>
      <c r="C895" s="62" t="s">
        <v>4</v>
      </c>
    </row>
    <row r="896" spans="1:3">
      <c r="A896" t="s">
        <v>1307</v>
      </c>
      <c r="B896">
        <v>1</v>
      </c>
      <c r="C896" s="62" t="s">
        <v>4</v>
      </c>
    </row>
    <row r="897" spans="1:3">
      <c r="A897" t="s">
        <v>1301</v>
      </c>
      <c r="B897">
        <v>3</v>
      </c>
      <c r="C897" s="62" t="s">
        <v>4</v>
      </c>
    </row>
    <row r="898" spans="1:3">
      <c r="A898" t="s">
        <v>1312</v>
      </c>
      <c r="B898">
        <v>24</v>
      </c>
      <c r="C898" t="s">
        <v>4</v>
      </c>
    </row>
    <row r="899" spans="1:3">
      <c r="A899" t="s">
        <v>1313</v>
      </c>
      <c r="B899">
        <v>1</v>
      </c>
      <c r="C899" t="s">
        <v>4</v>
      </c>
    </row>
    <row r="900" spans="1:3">
      <c r="A900" t="s">
        <v>1316</v>
      </c>
      <c r="B900">
        <v>2</v>
      </c>
      <c r="C900" s="62" t="s">
        <v>4</v>
      </c>
    </row>
    <row r="901" spans="1:3">
      <c r="A901" t="s">
        <v>1315</v>
      </c>
      <c r="B901">
        <v>1</v>
      </c>
      <c r="C901" s="62" t="s">
        <v>4</v>
      </c>
    </row>
    <row r="902" spans="1:3">
      <c r="A902" t="s">
        <v>1321</v>
      </c>
      <c r="B902">
        <v>24</v>
      </c>
      <c r="C902" s="62" t="s">
        <v>4</v>
      </c>
    </row>
    <row r="903" spans="1:3">
      <c r="A903" t="s">
        <v>1323</v>
      </c>
      <c r="B903">
        <v>4</v>
      </c>
      <c r="C903" s="62" t="s">
        <v>4</v>
      </c>
    </row>
    <row r="904" spans="1:3">
      <c r="A904" t="s">
        <v>1327</v>
      </c>
      <c r="B904">
        <v>1</v>
      </c>
      <c r="C904" s="62" t="s">
        <v>4</v>
      </c>
    </row>
    <row r="905" spans="1:3">
      <c r="A905" t="s">
        <v>1314</v>
      </c>
      <c r="B905">
        <v>5</v>
      </c>
      <c r="C905" s="62" t="s">
        <v>4</v>
      </c>
    </row>
    <row r="906" spans="1:3">
      <c r="A906" t="s">
        <v>1322</v>
      </c>
      <c r="B906">
        <v>4</v>
      </c>
      <c r="C906" s="62" t="s">
        <v>4</v>
      </c>
    </row>
    <row r="907" spans="1:3">
      <c r="A907" t="s">
        <v>1324</v>
      </c>
      <c r="B907">
        <v>1</v>
      </c>
      <c r="C907" s="62" t="s">
        <v>4</v>
      </c>
    </row>
    <row r="908" spans="1:3">
      <c r="A908" t="s">
        <v>1282</v>
      </c>
      <c r="B908">
        <v>24</v>
      </c>
      <c r="C908" s="62" t="s">
        <v>4</v>
      </c>
    </row>
    <row r="909" spans="1:3">
      <c r="A909" t="s">
        <v>1325</v>
      </c>
      <c r="B909">
        <v>28</v>
      </c>
      <c r="C909" s="62" t="s">
        <v>4</v>
      </c>
    </row>
    <row r="910" spans="1:3">
      <c r="A910" t="s">
        <v>1328</v>
      </c>
      <c r="B910">
        <v>1</v>
      </c>
      <c r="C910" s="62" t="s">
        <v>4</v>
      </c>
    </row>
    <row r="911" spans="1:3">
      <c r="A911" t="s">
        <v>1329</v>
      </c>
      <c r="B911">
        <v>1</v>
      </c>
      <c r="C911" s="62" t="s">
        <v>4</v>
      </c>
    </row>
    <row r="912" spans="1:3">
      <c r="A912" t="s">
        <v>1330</v>
      </c>
      <c r="B912">
        <v>1</v>
      </c>
      <c r="C912" s="62" t="s">
        <v>4</v>
      </c>
    </row>
    <row r="913" spans="1:3">
      <c r="A913" t="s">
        <v>1331</v>
      </c>
      <c r="B913">
        <v>4</v>
      </c>
      <c r="C913" s="62" t="s">
        <v>4</v>
      </c>
    </row>
    <row r="914" spans="1:3">
      <c r="A914" t="s">
        <v>1334</v>
      </c>
      <c r="B914">
        <v>1</v>
      </c>
      <c r="C914" s="62" t="s">
        <v>4</v>
      </c>
    </row>
    <row r="915" spans="1:3">
      <c r="A915" t="s">
        <v>1332</v>
      </c>
      <c r="B915">
        <v>1</v>
      </c>
      <c r="C915" s="62" t="s">
        <v>4</v>
      </c>
    </row>
    <row r="916" spans="1:3">
      <c r="A916" t="s">
        <v>1333</v>
      </c>
      <c r="B916">
        <v>2</v>
      </c>
      <c r="C916" s="62" t="s">
        <v>4</v>
      </c>
    </row>
    <row r="917" spans="1:3">
      <c r="A917" t="s">
        <v>1336</v>
      </c>
      <c r="B917">
        <v>1</v>
      </c>
      <c r="C917" s="62" t="s">
        <v>4</v>
      </c>
    </row>
    <row r="918" spans="1:3">
      <c r="A918" t="s">
        <v>1338</v>
      </c>
      <c r="B918">
        <v>1</v>
      </c>
      <c r="C918" s="62" t="s">
        <v>4</v>
      </c>
    </row>
    <row r="919" spans="1:3">
      <c r="A919" s="62" t="s">
        <v>1339</v>
      </c>
      <c r="B919" s="30">
        <v>7</v>
      </c>
      <c r="C919" s="62" t="s">
        <v>4</v>
      </c>
    </row>
    <row r="920" spans="1:3">
      <c r="A920" s="62" t="s">
        <v>1340</v>
      </c>
      <c r="B920" s="30">
        <v>3</v>
      </c>
      <c r="C920" s="62" t="s">
        <v>4</v>
      </c>
    </row>
    <row r="921" spans="1:3">
      <c r="A921" t="s">
        <v>1341</v>
      </c>
      <c r="B921">
        <v>12</v>
      </c>
      <c r="C921" s="62" t="s">
        <v>4</v>
      </c>
    </row>
    <row r="922" spans="1:3">
      <c r="A922" t="s">
        <v>1342</v>
      </c>
      <c r="B922">
        <v>7</v>
      </c>
      <c r="C922" s="62" t="s">
        <v>4</v>
      </c>
    </row>
    <row r="923" spans="1:3">
      <c r="A923" t="s">
        <v>1343</v>
      </c>
      <c r="B923">
        <v>1</v>
      </c>
      <c r="C923" s="62" t="s">
        <v>4</v>
      </c>
    </row>
    <row r="924" spans="1:3">
      <c r="A924" t="s">
        <v>1344</v>
      </c>
      <c r="B924">
        <v>1</v>
      </c>
      <c r="C924" s="62" t="s">
        <v>4</v>
      </c>
    </row>
    <row r="925" spans="1:3">
      <c r="A925" t="s">
        <v>1345</v>
      </c>
      <c r="B925">
        <v>1</v>
      </c>
      <c r="C925" s="62" t="s">
        <v>4</v>
      </c>
    </row>
    <row r="926" spans="1:3">
      <c r="A926" t="s">
        <v>1354</v>
      </c>
      <c r="B926">
        <v>1</v>
      </c>
      <c r="C926" s="62" t="s">
        <v>4</v>
      </c>
    </row>
    <row r="927" spans="1:3">
      <c r="A927" t="s">
        <v>1352</v>
      </c>
      <c r="B927">
        <v>5</v>
      </c>
      <c r="C927" s="62" t="s">
        <v>4</v>
      </c>
    </row>
    <row r="928" spans="1:3">
      <c r="A928" t="s">
        <v>1367</v>
      </c>
      <c r="B928">
        <v>4</v>
      </c>
      <c r="C928" s="62" t="s">
        <v>4</v>
      </c>
    </row>
    <row r="929" spans="1:3">
      <c r="A929" t="s">
        <v>1355</v>
      </c>
      <c r="B929">
        <v>3</v>
      </c>
      <c r="C929" s="62" t="s">
        <v>4</v>
      </c>
    </row>
    <row r="930" spans="1:3">
      <c r="A930" t="s">
        <v>1434</v>
      </c>
      <c r="B930">
        <v>62</v>
      </c>
      <c r="C930" s="62" t="s">
        <v>4</v>
      </c>
    </row>
    <row r="931" spans="1:3">
      <c r="A931" t="s">
        <v>1458</v>
      </c>
      <c r="B931">
        <v>3</v>
      </c>
      <c r="C931" s="62" t="s">
        <v>4</v>
      </c>
    </row>
    <row r="932" spans="1:3">
      <c r="A932" t="s">
        <v>1435</v>
      </c>
      <c r="B932">
        <v>20</v>
      </c>
      <c r="C932" s="62" t="s">
        <v>4</v>
      </c>
    </row>
    <row r="933" spans="1:3">
      <c r="A933" t="s">
        <v>1485</v>
      </c>
      <c r="B933">
        <v>21</v>
      </c>
      <c r="C933" s="62" t="s">
        <v>4</v>
      </c>
    </row>
    <row r="934" spans="1:3">
      <c r="A934" t="s">
        <v>1488</v>
      </c>
      <c r="B934">
        <v>2</v>
      </c>
      <c r="C934" s="62" t="s">
        <v>4</v>
      </c>
    </row>
    <row r="935" spans="1:3">
      <c r="A935" t="s">
        <v>1520</v>
      </c>
      <c r="B935">
        <v>25</v>
      </c>
      <c r="C935" s="62" t="s">
        <v>4</v>
      </c>
    </row>
    <row r="936" spans="1:3">
      <c r="A936" t="s">
        <v>1560</v>
      </c>
      <c r="B936">
        <v>1</v>
      </c>
      <c r="C936" s="62" t="s">
        <v>4</v>
      </c>
    </row>
    <row r="937" spans="1:3">
      <c r="A937" t="s">
        <v>1558</v>
      </c>
      <c r="B937">
        <v>2</v>
      </c>
      <c r="C937" s="62" t="s">
        <v>4</v>
      </c>
    </row>
    <row r="938" spans="1:3">
      <c r="A938" t="s">
        <v>1583</v>
      </c>
      <c r="B938">
        <v>1</v>
      </c>
      <c r="C938" s="62" t="s">
        <v>4</v>
      </c>
    </row>
    <row r="939" spans="1:3">
      <c r="A939" t="s">
        <v>1572</v>
      </c>
      <c r="B939">
        <v>4</v>
      </c>
      <c r="C939" s="62" t="s">
        <v>4</v>
      </c>
    </row>
    <row r="940" spans="1:3">
      <c r="A940" t="s">
        <v>1556</v>
      </c>
      <c r="B940">
        <v>20</v>
      </c>
      <c r="C940" s="62" t="s">
        <v>4</v>
      </c>
    </row>
    <row r="941" spans="1:3">
      <c r="A941" t="s">
        <v>1564</v>
      </c>
      <c r="B941">
        <v>3</v>
      </c>
      <c r="C941" s="62" t="s">
        <v>4</v>
      </c>
    </row>
    <row r="942" spans="1:3">
      <c r="A942" t="s">
        <v>1581</v>
      </c>
      <c r="B942">
        <v>1</v>
      </c>
      <c r="C942" s="62" t="s">
        <v>4</v>
      </c>
    </row>
    <row r="943" spans="1:3">
      <c r="A943" t="s">
        <v>1580</v>
      </c>
      <c r="B943">
        <v>5</v>
      </c>
      <c r="C943" s="62" t="s">
        <v>4</v>
      </c>
    </row>
    <row r="944" spans="1:3">
      <c r="A944" t="s">
        <v>1584</v>
      </c>
      <c r="B944">
        <v>1</v>
      </c>
      <c r="C944" s="62" t="s">
        <v>4</v>
      </c>
    </row>
    <row r="945" spans="1:3">
      <c r="A945" t="s">
        <v>1589</v>
      </c>
      <c r="B945">
        <v>2</v>
      </c>
      <c r="C945" s="62" t="s">
        <v>4</v>
      </c>
    </row>
    <row r="946" spans="1:3">
      <c r="A946" t="s">
        <v>1595</v>
      </c>
      <c r="B946">
        <v>2</v>
      </c>
      <c r="C946" s="62" t="s">
        <v>4</v>
      </c>
    </row>
    <row r="947" spans="1:3">
      <c r="A947" t="s">
        <v>1526</v>
      </c>
      <c r="B947">
        <v>2</v>
      </c>
      <c r="C947" s="62" t="s">
        <v>4</v>
      </c>
    </row>
    <row r="948" spans="1:3">
      <c r="A948" t="s">
        <v>1527</v>
      </c>
      <c r="B948">
        <v>1</v>
      </c>
      <c r="C948" s="62" t="s">
        <v>4</v>
      </c>
    </row>
    <row r="949" spans="1:3">
      <c r="A949" t="s">
        <v>1532</v>
      </c>
      <c r="B949">
        <v>2</v>
      </c>
      <c r="C949" s="62" t="s">
        <v>4</v>
      </c>
    </row>
    <row r="950" spans="1:3">
      <c r="A950" t="s">
        <v>1533</v>
      </c>
      <c r="B950">
        <v>2</v>
      </c>
      <c r="C950" s="62" t="s">
        <v>4</v>
      </c>
    </row>
    <row r="951" spans="1:3">
      <c r="A951" t="s">
        <v>1639</v>
      </c>
      <c r="B951">
        <v>4</v>
      </c>
      <c r="C951" s="62" t="s">
        <v>4</v>
      </c>
    </row>
    <row r="952" spans="1:3">
      <c r="A952" t="s">
        <v>1643</v>
      </c>
      <c r="B952">
        <v>6</v>
      </c>
      <c r="C952" s="62" t="s">
        <v>4</v>
      </c>
    </row>
    <row r="953" spans="1:3">
      <c r="A953" t="s">
        <v>1664</v>
      </c>
      <c r="B953">
        <v>7</v>
      </c>
      <c r="C953" s="62" t="s">
        <v>4</v>
      </c>
    </row>
    <row r="954" spans="1:3">
      <c r="A954" t="s">
        <v>1687</v>
      </c>
      <c r="B954">
        <v>4</v>
      </c>
      <c r="C954" s="62" t="s">
        <v>4</v>
      </c>
    </row>
    <row r="955" spans="1:3">
      <c r="A955" t="s">
        <v>1672</v>
      </c>
      <c r="B955">
        <v>12</v>
      </c>
      <c r="C955" s="62" t="s">
        <v>4</v>
      </c>
    </row>
    <row r="956" spans="1:3">
      <c r="A956" t="s">
        <v>1699</v>
      </c>
      <c r="B956">
        <v>4</v>
      </c>
      <c r="C956" s="62" t="s">
        <v>4</v>
      </c>
    </row>
    <row r="957" spans="1:3">
      <c r="A957" t="s">
        <v>1700</v>
      </c>
      <c r="B957">
        <v>1</v>
      </c>
      <c r="C957" s="62" t="s">
        <v>4</v>
      </c>
    </row>
    <row r="958" spans="1:3">
      <c r="A958" t="s">
        <v>1574</v>
      </c>
      <c r="B958">
        <v>2</v>
      </c>
      <c r="C958" s="62" t="s">
        <v>4</v>
      </c>
    </row>
    <row r="959" spans="1:3">
      <c r="A959" t="s">
        <v>1715</v>
      </c>
      <c r="B959">
        <v>9</v>
      </c>
      <c r="C959" s="62" t="s">
        <v>4</v>
      </c>
    </row>
    <row r="960" spans="1:3">
      <c r="A960" t="s">
        <v>1730</v>
      </c>
      <c r="B960">
        <v>1</v>
      </c>
      <c r="C960" s="62" t="s">
        <v>4</v>
      </c>
    </row>
    <row r="961" spans="1:3">
      <c r="A961" t="s">
        <v>1733</v>
      </c>
      <c r="B961">
        <v>6</v>
      </c>
      <c r="C961" s="62" t="s">
        <v>4</v>
      </c>
    </row>
    <row r="962" spans="1:3">
      <c r="A962" t="s">
        <v>1743</v>
      </c>
      <c r="B962">
        <v>1</v>
      </c>
      <c r="C962" s="62" t="s">
        <v>4</v>
      </c>
    </row>
    <row r="963" spans="1:3">
      <c r="A963" t="s">
        <v>1619</v>
      </c>
      <c r="B963">
        <v>27</v>
      </c>
      <c r="C963" s="62" t="s">
        <v>4</v>
      </c>
    </row>
    <row r="964" spans="1:3">
      <c r="A964" t="s">
        <v>1632</v>
      </c>
      <c r="B964">
        <v>10</v>
      </c>
      <c r="C964" s="62" t="s">
        <v>4</v>
      </c>
    </row>
    <row r="965" spans="1:3">
      <c r="A965" t="s">
        <v>1641</v>
      </c>
      <c r="B965">
        <v>1</v>
      </c>
      <c r="C965" s="62" t="s">
        <v>4</v>
      </c>
    </row>
    <row r="966" spans="1:3">
      <c r="A966" t="s">
        <v>1668</v>
      </c>
      <c r="B966">
        <v>3</v>
      </c>
      <c r="C966" s="62" t="s">
        <v>4</v>
      </c>
    </row>
    <row r="967" spans="1:3">
      <c r="A967" t="s">
        <v>1746</v>
      </c>
      <c r="B967">
        <v>6</v>
      </c>
      <c r="C967" s="62" t="s">
        <v>4</v>
      </c>
    </row>
    <row r="968" spans="1:3">
      <c r="A968" t="s">
        <v>1744</v>
      </c>
      <c r="B968">
        <v>1</v>
      </c>
      <c r="C968" s="62" t="s">
        <v>4</v>
      </c>
    </row>
    <row r="969" spans="1:3">
      <c r="A969" t="s">
        <v>1782</v>
      </c>
      <c r="B969">
        <v>18</v>
      </c>
      <c r="C969" s="62" t="s">
        <v>4</v>
      </c>
    </row>
    <row r="970" spans="1:3">
      <c r="A970" t="s">
        <v>1809</v>
      </c>
      <c r="B970">
        <v>6</v>
      </c>
      <c r="C970" s="62" t="s">
        <v>4</v>
      </c>
    </row>
    <row r="971" spans="1:3">
      <c r="A971" t="s">
        <v>1808</v>
      </c>
      <c r="B971">
        <v>13</v>
      </c>
      <c r="C971" s="62" t="s">
        <v>4</v>
      </c>
    </row>
    <row r="972" spans="1:3">
      <c r="A972" t="s">
        <v>1790</v>
      </c>
      <c r="B972">
        <v>4</v>
      </c>
      <c r="C972" s="62" t="s">
        <v>4</v>
      </c>
    </row>
    <row r="973" spans="1:3">
      <c r="A973" t="s">
        <v>1788</v>
      </c>
      <c r="B973">
        <v>1</v>
      </c>
      <c r="C973" s="62" t="s">
        <v>4</v>
      </c>
    </row>
    <row r="974" spans="1:3">
      <c r="A974" t="s">
        <v>1822</v>
      </c>
      <c r="B974">
        <v>1</v>
      </c>
      <c r="C974" s="62" t="s">
        <v>4</v>
      </c>
    </row>
    <row r="975" spans="1:3">
      <c r="A975" t="s">
        <v>1853</v>
      </c>
      <c r="B975">
        <v>4</v>
      </c>
      <c r="C975" s="62" t="s">
        <v>4</v>
      </c>
    </row>
    <row r="976" spans="1:3">
      <c r="A976" t="s">
        <v>1850</v>
      </c>
      <c r="B976">
        <v>1</v>
      </c>
      <c r="C976" s="62" t="s">
        <v>4</v>
      </c>
    </row>
    <row r="977" spans="1:3">
      <c r="A977" t="s">
        <v>1845</v>
      </c>
      <c r="B977">
        <v>41</v>
      </c>
      <c r="C977" s="62" t="s">
        <v>4</v>
      </c>
    </row>
    <row r="978" spans="1:3">
      <c r="A978" t="s">
        <v>1920</v>
      </c>
      <c r="B978">
        <v>3</v>
      </c>
      <c r="C978" s="62" t="s">
        <v>4</v>
      </c>
    </row>
    <row r="979" spans="1:3">
      <c r="A979" t="s">
        <v>1860</v>
      </c>
      <c r="B979">
        <v>56</v>
      </c>
      <c r="C979" s="62" t="s">
        <v>4</v>
      </c>
    </row>
    <row r="980" spans="1:3">
      <c r="A980" t="s">
        <v>1930</v>
      </c>
      <c r="B980">
        <v>5</v>
      </c>
      <c r="C980" s="62" t="s">
        <v>4</v>
      </c>
    </row>
    <row r="981" spans="1:3">
      <c r="A981" s="31" t="s">
        <v>1716</v>
      </c>
      <c r="B981" s="30">
        <v>11</v>
      </c>
      <c r="C981" s="72" t="s">
        <v>4</v>
      </c>
    </row>
    <row r="982" spans="1:3">
      <c r="A982" t="s">
        <v>1935</v>
      </c>
      <c r="B982">
        <v>1</v>
      </c>
      <c r="C982" s="72" t="s">
        <v>4</v>
      </c>
    </row>
    <row r="983" spans="1:3">
      <c r="A983" t="s">
        <v>1931</v>
      </c>
      <c r="B983">
        <v>2</v>
      </c>
      <c r="C983" s="72" t="s">
        <v>4</v>
      </c>
    </row>
    <row r="984" spans="1:3">
      <c r="A984" t="s">
        <v>1938</v>
      </c>
      <c r="B984">
        <v>2</v>
      </c>
      <c r="C984" s="72" t="s">
        <v>4</v>
      </c>
    </row>
    <row r="985" spans="1:3">
      <c r="A985" t="s">
        <v>1952</v>
      </c>
      <c r="B985">
        <v>1</v>
      </c>
      <c r="C985" s="72" t="s">
        <v>4</v>
      </c>
    </row>
    <row r="986" spans="1:3">
      <c r="A986" t="s">
        <v>1761</v>
      </c>
      <c r="B986">
        <v>1</v>
      </c>
      <c r="C986" s="72" t="s">
        <v>4</v>
      </c>
    </row>
    <row r="987" spans="1:3">
      <c r="A987" t="s">
        <v>1973</v>
      </c>
      <c r="B987">
        <v>4</v>
      </c>
      <c r="C987" s="72" t="s">
        <v>4</v>
      </c>
    </row>
    <row r="988" spans="1:3">
      <c r="A988" t="s">
        <v>1975</v>
      </c>
      <c r="B988">
        <v>1</v>
      </c>
      <c r="C988" s="72" t="s">
        <v>4</v>
      </c>
    </row>
    <row r="989" spans="1:3">
      <c r="A989" t="s">
        <v>1959</v>
      </c>
      <c r="B989">
        <v>9</v>
      </c>
      <c r="C989" s="72" t="s">
        <v>4</v>
      </c>
    </row>
    <row r="990" spans="1:3">
      <c r="A990" t="s">
        <v>2199</v>
      </c>
      <c r="B990">
        <v>2</v>
      </c>
      <c r="C990" s="72" t="s">
        <v>4</v>
      </c>
    </row>
    <row r="991" spans="1:3">
      <c r="A991" t="s">
        <v>2166</v>
      </c>
      <c r="B991">
        <v>11</v>
      </c>
      <c r="C991" s="72" t="s">
        <v>4</v>
      </c>
    </row>
    <row r="992" spans="1:3">
      <c r="A992" t="s">
        <v>2180</v>
      </c>
      <c r="B992">
        <v>10</v>
      </c>
      <c r="C992" s="72" t="s">
        <v>4</v>
      </c>
    </row>
    <row r="993" spans="1:3">
      <c r="A993" t="s">
        <v>2174</v>
      </c>
      <c r="B993">
        <v>5</v>
      </c>
      <c r="C993" s="72" t="s">
        <v>4</v>
      </c>
    </row>
    <row r="994" spans="1:3">
      <c r="A994" t="s">
        <v>2200</v>
      </c>
      <c r="B994">
        <v>2</v>
      </c>
      <c r="C994" s="72" t="s">
        <v>4</v>
      </c>
    </row>
    <row r="995" spans="1:3">
      <c r="A995" t="s">
        <v>2206</v>
      </c>
      <c r="B995">
        <v>1</v>
      </c>
      <c r="C995" s="72" t="s">
        <v>4</v>
      </c>
    </row>
    <row r="996" spans="1:3">
      <c r="A996" t="s">
        <v>2227</v>
      </c>
      <c r="B996">
        <v>1</v>
      </c>
      <c r="C996" s="72" t="s">
        <v>4</v>
      </c>
    </row>
    <row r="997" spans="1:3">
      <c r="A997" t="s">
        <v>2224</v>
      </c>
      <c r="B997">
        <v>7</v>
      </c>
      <c r="C997" s="72" t="s">
        <v>4</v>
      </c>
    </row>
    <row r="998" spans="1:3">
      <c r="A998" t="s">
        <v>1819</v>
      </c>
      <c r="B998">
        <v>17</v>
      </c>
      <c r="C998" s="72" t="s">
        <v>4</v>
      </c>
    </row>
    <row r="999" spans="1:3">
      <c r="A999" t="s">
        <v>1958</v>
      </c>
      <c r="B999">
        <v>1</v>
      </c>
      <c r="C999" s="72" t="s">
        <v>4</v>
      </c>
    </row>
    <row r="1000" spans="1:3">
      <c r="A1000" t="s">
        <v>1978</v>
      </c>
      <c r="B1000">
        <v>98</v>
      </c>
      <c r="C1000" s="72" t="s">
        <v>4</v>
      </c>
    </row>
    <row r="1001" spans="1:3">
      <c r="A1001" t="s">
        <v>2209</v>
      </c>
      <c r="B1001">
        <v>1</v>
      </c>
      <c r="C1001" s="72" t="s">
        <v>4</v>
      </c>
    </row>
    <row r="1002" spans="1:3">
      <c r="A1002" t="s">
        <v>2231</v>
      </c>
      <c r="B1002">
        <v>1</v>
      </c>
      <c r="C1002" s="72" t="s">
        <v>4</v>
      </c>
    </row>
    <row r="1003" spans="1:3">
      <c r="A1003" t="s">
        <v>2242</v>
      </c>
      <c r="B1003">
        <v>9</v>
      </c>
      <c r="C1003" s="72" t="s">
        <v>4</v>
      </c>
    </row>
    <row r="1004" spans="1:3">
      <c r="A1004" t="s">
        <v>2262</v>
      </c>
      <c r="B1004">
        <v>4</v>
      </c>
      <c r="C1004" s="72" t="s">
        <v>4</v>
      </c>
    </row>
    <row r="1005" spans="1:3">
      <c r="A1005" t="s">
        <v>2272</v>
      </c>
      <c r="B1005">
        <v>3</v>
      </c>
      <c r="C1005" s="72" t="s">
        <v>4</v>
      </c>
    </row>
    <row r="1006" spans="1:3">
      <c r="A1006" t="s">
        <v>2391</v>
      </c>
      <c r="B1006">
        <v>14</v>
      </c>
      <c r="C1006" s="72" t="s">
        <v>4</v>
      </c>
    </row>
    <row r="1007" spans="1:3">
      <c r="A1007" t="s">
        <v>2283</v>
      </c>
      <c r="B1007">
        <v>46</v>
      </c>
      <c r="C1007" s="72" t="s">
        <v>4</v>
      </c>
    </row>
    <row r="1008" spans="1:3">
      <c r="A1008" t="s">
        <v>2412</v>
      </c>
      <c r="B1008">
        <v>15</v>
      </c>
      <c r="C1008" s="72" t="s">
        <v>4</v>
      </c>
    </row>
    <row r="1009" spans="1:3">
      <c r="A1009" t="s">
        <v>2245</v>
      </c>
      <c r="B1009">
        <v>1</v>
      </c>
      <c r="C1009" s="72" t="s">
        <v>4</v>
      </c>
    </row>
    <row r="1010" spans="1:3">
      <c r="A1010" t="s">
        <v>2419</v>
      </c>
      <c r="B1010">
        <v>1</v>
      </c>
      <c r="C1010" s="72" t="s">
        <v>4</v>
      </c>
    </row>
    <row r="1011" spans="1:3">
      <c r="A1011" t="s">
        <v>2422</v>
      </c>
      <c r="B1011">
        <v>4</v>
      </c>
      <c r="C1011" s="72" t="s">
        <v>4</v>
      </c>
    </row>
    <row r="1012" spans="1:3">
      <c r="A1012" t="s">
        <v>2433</v>
      </c>
      <c r="B1012">
        <v>1</v>
      </c>
      <c r="C1012" s="72" t="s">
        <v>4</v>
      </c>
    </row>
    <row r="1013" spans="1:3">
      <c r="A1013" t="s">
        <v>2434</v>
      </c>
      <c r="B1013">
        <v>1</v>
      </c>
      <c r="C1013" s="72" t="s">
        <v>4</v>
      </c>
    </row>
    <row r="1014" spans="1:3">
      <c r="A1014" t="s">
        <v>2442</v>
      </c>
      <c r="B1014">
        <v>2</v>
      </c>
      <c r="C1014" s="72" t="s">
        <v>4</v>
      </c>
    </row>
    <row r="1015" spans="1:3">
      <c r="A1015" t="s">
        <v>2443</v>
      </c>
      <c r="B1015">
        <v>1</v>
      </c>
      <c r="C1015" s="72" t="s">
        <v>4</v>
      </c>
    </row>
    <row r="1016" spans="1:3">
      <c r="A1016" t="s">
        <v>2527</v>
      </c>
      <c r="B1016">
        <v>8</v>
      </c>
      <c r="C1016" s="72" t="s">
        <v>4</v>
      </c>
    </row>
    <row r="1017" spans="1:3">
      <c r="A1017" t="s">
        <v>2509</v>
      </c>
      <c r="B1017">
        <v>2</v>
      </c>
      <c r="C1017" s="72" t="s">
        <v>4</v>
      </c>
    </row>
    <row r="1018" spans="1:3">
      <c r="A1018" t="s">
        <v>2507</v>
      </c>
      <c r="B1018">
        <v>1</v>
      </c>
      <c r="C1018" s="72" t="s">
        <v>4</v>
      </c>
    </row>
    <row r="1019" spans="1:3">
      <c r="A1019" t="s">
        <v>2504</v>
      </c>
      <c r="B1019">
        <v>11</v>
      </c>
      <c r="C1019" s="72" t="s">
        <v>4</v>
      </c>
    </row>
    <row r="1020" spans="1:3">
      <c r="A1020" t="s">
        <v>2471</v>
      </c>
      <c r="B1020">
        <v>22</v>
      </c>
      <c r="C1020" s="72" t="s">
        <v>4</v>
      </c>
    </row>
    <row r="1021" spans="1:3">
      <c r="A1021" t="s">
        <v>2557</v>
      </c>
      <c r="B1021">
        <v>5</v>
      </c>
      <c r="C1021" s="72" t="s">
        <v>4</v>
      </c>
    </row>
    <row r="1022" spans="1:3">
      <c r="A1022" t="s">
        <v>2564</v>
      </c>
      <c r="B1022">
        <v>1</v>
      </c>
      <c r="C1022" s="72" t="s">
        <v>4</v>
      </c>
    </row>
    <row r="1023" spans="1:3">
      <c r="A1023" t="s">
        <v>2529</v>
      </c>
      <c r="B1023">
        <v>18</v>
      </c>
      <c r="C1023" s="72" t="s">
        <v>4</v>
      </c>
    </row>
    <row r="1024" spans="1:3">
      <c r="A1024" t="s">
        <v>2648</v>
      </c>
      <c r="B1024">
        <v>18</v>
      </c>
      <c r="C1024" s="72" t="s">
        <v>4</v>
      </c>
    </row>
    <row r="1025" spans="1:3">
      <c r="A1025" t="s">
        <v>2605</v>
      </c>
      <c r="B1025">
        <v>6</v>
      </c>
      <c r="C1025" s="72" t="s">
        <v>4</v>
      </c>
    </row>
    <row r="1026" spans="1:3">
      <c r="A1026" t="s">
        <v>2610</v>
      </c>
      <c r="B1026">
        <v>3</v>
      </c>
      <c r="C1026" s="72" t="s">
        <v>4</v>
      </c>
    </row>
    <row r="1027" spans="1:3">
      <c r="A1027" t="s">
        <v>2567</v>
      </c>
      <c r="B1027">
        <v>1</v>
      </c>
      <c r="C1027" s="72" t="s">
        <v>4</v>
      </c>
    </row>
    <row r="1028" spans="1:3">
      <c r="A1028" t="s">
        <v>2649</v>
      </c>
      <c r="B1028">
        <v>2</v>
      </c>
      <c r="C1028" s="72" t="s">
        <v>4</v>
      </c>
    </row>
    <row r="1029" spans="1:3">
      <c r="A1029" t="s">
        <v>2654</v>
      </c>
      <c r="B1029">
        <v>2</v>
      </c>
      <c r="C1029" s="72" t="s">
        <v>4</v>
      </c>
    </row>
    <row r="1030" spans="1:3">
      <c r="A1030" t="s">
        <v>2661</v>
      </c>
      <c r="B1030">
        <v>1</v>
      </c>
      <c r="C1030" s="72" t="s">
        <v>4</v>
      </c>
    </row>
    <row r="1031" spans="1:3">
      <c r="A1031" t="s">
        <v>2660</v>
      </c>
      <c r="B1031">
        <v>1</v>
      </c>
      <c r="C1031" s="72" t="s">
        <v>4</v>
      </c>
    </row>
  </sheetData>
  <conditionalFormatting sqref="A2:A545 A548:A568 A570:A1048576">
    <cfRule type="duplicateValues" dxfId="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895"/>
  <sheetViews>
    <sheetView zoomScale="85" zoomScaleNormal="85" workbookViewId="0"/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69" customWidth="1" outlineLevel="1"/>
    <col min="14" max="14" width="14.85546875" style="69" customWidth="1" outlineLevel="1"/>
    <col min="15" max="15" width="13.42578125" style="69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69" t="s">
        <v>391</v>
      </c>
      <c r="N1" s="69" t="s">
        <v>392</v>
      </c>
      <c r="O1" s="69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69">
        <v>45170</v>
      </c>
      <c r="N2" s="69">
        <v>45170</v>
      </c>
      <c r="O2" s="69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69">
        <v>45170</v>
      </c>
      <c r="N3" s="69">
        <v>45170</v>
      </c>
      <c r="O3" s="69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69">
        <v>45170</v>
      </c>
      <c r="N4" s="69">
        <v>45170</v>
      </c>
      <c r="O4" s="69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69">
        <v>45170</v>
      </c>
      <c r="N5" s="69">
        <v>45170</v>
      </c>
      <c r="O5" s="69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69">
        <v>45170</v>
      </c>
      <c r="N6" s="69">
        <v>45170</v>
      </c>
      <c r="O6" s="69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69">
        <v>45170</v>
      </c>
      <c r="N7" s="69">
        <v>45170</v>
      </c>
      <c r="O7" s="69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69">
        <v>45170</v>
      </c>
      <c r="N8" s="69">
        <v>45170</v>
      </c>
      <c r="O8" s="69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69">
        <v>45170</v>
      </c>
      <c r="N9" s="69">
        <v>45170</v>
      </c>
      <c r="O9" s="69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69">
        <v>45170</v>
      </c>
      <c r="N10" s="69">
        <v>45170</v>
      </c>
      <c r="O10" s="69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1352</v>
      </c>
      <c r="B11" s="60" t="str">
        <f>IFERROR(VLOOKUP(Proc[[#This Row],[App]],Table2[],3,0),"open")</f>
        <v>ok</v>
      </c>
      <c r="C11" s="62" t="s">
        <v>369</v>
      </c>
      <c r="D11" t="s">
        <v>1346</v>
      </c>
      <c r="E11" t="s">
        <v>2696</v>
      </c>
      <c r="F11" s="60" t="s">
        <v>1351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69">
        <v>45645.37572916667</v>
      </c>
      <c r="N11" s="69">
        <v>45646</v>
      </c>
      <c r="O11" s="69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1352</v>
      </c>
      <c r="B12" s="60" t="str">
        <f>IFERROR(VLOOKUP(Proc[[#This Row],[App]],Table2[],3,0),"open")</f>
        <v>ok</v>
      </c>
      <c r="C12" s="62" t="s">
        <v>369</v>
      </c>
      <c r="D12" t="s">
        <v>1347</v>
      </c>
      <c r="E12" t="s">
        <v>812</v>
      </c>
      <c r="F12" s="60" t="s">
        <v>1194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69">
        <v>45645.37572916667</v>
      </c>
      <c r="N12" s="69">
        <v>45646</v>
      </c>
      <c r="O12" s="69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1352</v>
      </c>
      <c r="B13" s="60" t="str">
        <f>IFERROR(VLOOKUP(Proc[[#This Row],[App]],Table2[],3,0),"open")</f>
        <v>ok</v>
      </c>
      <c r="C13" s="62" t="s">
        <v>369</v>
      </c>
      <c r="D13" t="s">
        <v>1348</v>
      </c>
      <c r="E13" t="s">
        <v>414</v>
      </c>
      <c r="F13" s="60" t="s">
        <v>1194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69">
        <v>45645.37572916667</v>
      </c>
      <c r="N13" s="69">
        <v>45646</v>
      </c>
      <c r="O13" s="69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1352</v>
      </c>
      <c r="B14" s="60" t="str">
        <f>IFERROR(VLOOKUP(Proc[[#This Row],[App]],Table2[],3,0),"open")</f>
        <v>ok</v>
      </c>
      <c r="C14" s="62" t="s">
        <v>369</v>
      </c>
      <c r="D14" t="s">
        <v>1349</v>
      </c>
      <c r="E14" t="s">
        <v>414</v>
      </c>
      <c r="F14" s="60" t="s">
        <v>1194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69">
        <v>45645.37572916667</v>
      </c>
      <c r="N14" s="69">
        <v>45646</v>
      </c>
      <c r="O14" s="69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1352</v>
      </c>
      <c r="B15" s="60" t="str">
        <f>IFERROR(VLOOKUP(Proc[[#This Row],[App]],Table2[],3,0),"open")</f>
        <v>ok</v>
      </c>
      <c r="C15" s="62" t="s">
        <v>369</v>
      </c>
      <c r="D15" t="s">
        <v>1350</v>
      </c>
      <c r="E15" t="s">
        <v>414</v>
      </c>
      <c r="F15" s="60" t="s">
        <v>1195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69">
        <v>45645.37572916667</v>
      </c>
      <c r="N15" s="69">
        <v>45646</v>
      </c>
      <c r="O15" s="69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1354</v>
      </c>
      <c r="B16" s="60" t="str">
        <f>IFERROR(VLOOKUP(Proc[[#This Row],[App]],Table2[],3,0),"open")</f>
        <v>ok</v>
      </c>
      <c r="C16" s="62" t="s">
        <v>369</v>
      </c>
      <c r="D16" t="s">
        <v>1353</v>
      </c>
      <c r="E16" s="62" t="s">
        <v>1309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69">
        <v>45644.604386574072</v>
      </c>
      <c r="N16" s="69">
        <v>45646</v>
      </c>
      <c r="O16" s="69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1355</v>
      </c>
      <c r="B17" s="60" t="str">
        <f>IFERROR(VLOOKUP(Proc[[#This Row],[App]],Table2[],3,0),"open")</f>
        <v>ok</v>
      </c>
      <c r="C17" s="62" t="s">
        <v>369</v>
      </c>
      <c r="D17" t="s">
        <v>1356</v>
      </c>
      <c r="E17" t="s">
        <v>2696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69">
        <v>45645.671296296299</v>
      </c>
      <c r="N17" s="69">
        <v>45649</v>
      </c>
      <c r="O17" s="69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1355</v>
      </c>
      <c r="B18" s="60" t="str">
        <f>IFERROR(VLOOKUP(Proc[[#This Row],[App]],Table2[],3,0),"open")</f>
        <v>ok</v>
      </c>
      <c r="C18" s="62" t="s">
        <v>369</v>
      </c>
      <c r="D18" t="s">
        <v>1357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69">
        <v>45645.671296296299</v>
      </c>
      <c r="N18" s="69">
        <v>45649</v>
      </c>
      <c r="O18" s="69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1355</v>
      </c>
      <c r="B19" s="60" t="str">
        <f>IFERROR(VLOOKUP(Proc[[#This Row],[App]],Table2[],3,0),"open")</f>
        <v>ok</v>
      </c>
      <c r="C19" s="62" t="s">
        <v>369</v>
      </c>
      <c r="D19" s="62" t="s">
        <v>1358</v>
      </c>
      <c r="E19" s="62" t="s">
        <v>1275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69">
        <v>45645.671296296299</v>
      </c>
      <c r="N19" s="69">
        <v>45649</v>
      </c>
      <c r="O19" s="69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1367</v>
      </c>
      <c r="B20" s="60" t="str">
        <f>IFERROR(VLOOKUP(Proc[[#This Row],[App]],Table2[],3,0),"open")</f>
        <v>ok</v>
      </c>
      <c r="C20" s="62" t="s">
        <v>369</v>
      </c>
      <c r="D20" t="s">
        <v>1359</v>
      </c>
      <c r="E20" t="s">
        <v>525</v>
      </c>
      <c r="F20" s="60" t="s">
        <v>1363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69">
        <v>45645.662499999999</v>
      </c>
      <c r="N20" s="69">
        <v>45649</v>
      </c>
      <c r="O20" s="69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1045</v>
      </c>
      <c r="S20" s="60"/>
    </row>
    <row r="21" spans="1:19" hidden="1">
      <c r="A21" s="62" t="s">
        <v>1367</v>
      </c>
      <c r="B21" s="60" t="str">
        <f>IFERROR(VLOOKUP(Proc[[#This Row],[App]],Table2[],3,0),"open")</f>
        <v>ok</v>
      </c>
      <c r="C21" s="62" t="s">
        <v>369</v>
      </c>
      <c r="D21" t="s">
        <v>1360</v>
      </c>
      <c r="E21" t="s">
        <v>525</v>
      </c>
      <c r="F21" s="60" t="s">
        <v>1364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69">
        <v>45645.662499999999</v>
      </c>
      <c r="N21" s="69">
        <v>45649</v>
      </c>
      <c r="O21" s="69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1045</v>
      </c>
      <c r="S21" s="60"/>
    </row>
    <row r="22" spans="1:19" hidden="1">
      <c r="A22" s="62" t="s">
        <v>1367</v>
      </c>
      <c r="B22" s="60" t="str">
        <f>IFERROR(VLOOKUP(Proc[[#This Row],[App]],Table2[],3,0),"open")</f>
        <v>ok</v>
      </c>
      <c r="C22" s="62" t="s">
        <v>369</v>
      </c>
      <c r="D22" t="s">
        <v>1361</v>
      </c>
      <c r="E22" t="s">
        <v>525</v>
      </c>
      <c r="F22" s="60" t="s">
        <v>1365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69">
        <v>45645.662499999999</v>
      </c>
      <c r="N22" s="69">
        <v>45649</v>
      </c>
      <c r="O22" s="69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1045</v>
      </c>
      <c r="S22" s="60"/>
    </row>
    <row r="23" spans="1:19" hidden="1">
      <c r="A23" s="62" t="s">
        <v>1367</v>
      </c>
      <c r="B23" s="60" t="str">
        <f>IFERROR(VLOOKUP(Proc[[#This Row],[App]],Table2[],3,0),"open")</f>
        <v>ok</v>
      </c>
      <c r="C23" s="62" t="s">
        <v>369</v>
      </c>
      <c r="D23" t="s">
        <v>1362</v>
      </c>
      <c r="E23" t="s">
        <v>525</v>
      </c>
      <c r="F23" s="60" t="s">
        <v>1366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69">
        <v>45645.662499999999</v>
      </c>
      <c r="N23" s="69">
        <v>45649</v>
      </c>
      <c r="O23" s="69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1045</v>
      </c>
      <c r="S23" s="60"/>
    </row>
    <row r="24" spans="1:19" hidden="1">
      <c r="A24" t="s">
        <v>1434</v>
      </c>
      <c r="B24" s="60" t="str">
        <f>IFERROR(VLOOKUP(Proc[[#This Row],[App]],Table2[],3,0),"open")</f>
        <v>ok</v>
      </c>
      <c r="C24" s="62" t="s">
        <v>369</v>
      </c>
      <c r="D24" t="s">
        <v>1368</v>
      </c>
      <c r="E24" t="s">
        <v>1427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69">
        <v>45646.435798611114</v>
      </c>
      <c r="N24" s="69">
        <v>45652</v>
      </c>
      <c r="O24" s="69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1434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1428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69">
        <v>45646.435798611114</v>
      </c>
      <c r="N25" s="69">
        <v>45652</v>
      </c>
      <c r="O25" s="69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1434</v>
      </c>
      <c r="B26" s="60" t="str">
        <f>IFERROR(VLOOKUP(Proc[[#This Row],[App]],Table2[],3,0),"open")</f>
        <v>ok</v>
      </c>
      <c r="C26" s="62" t="s">
        <v>369</v>
      </c>
      <c r="D26" t="s">
        <v>1369</v>
      </c>
      <c r="E26" t="s">
        <v>1429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69">
        <v>45646.435798611114</v>
      </c>
      <c r="N26" s="69">
        <v>45652</v>
      </c>
      <c r="O26" s="69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1434</v>
      </c>
      <c r="B27" s="60" t="str">
        <f>IFERROR(VLOOKUP(Proc[[#This Row],[App]],Table2[],3,0),"open")</f>
        <v>ok</v>
      </c>
      <c r="C27" s="62" t="s">
        <v>369</v>
      </c>
      <c r="D27" t="s">
        <v>1370</v>
      </c>
      <c r="E27" t="s">
        <v>1429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69">
        <v>45646.435798611114</v>
      </c>
      <c r="N27" s="69">
        <v>45652</v>
      </c>
      <c r="O27" s="69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1434</v>
      </c>
      <c r="B28" s="60" t="str">
        <f>IFERROR(VLOOKUP(Proc[[#This Row],[App]],Table2[],3,0),"open")</f>
        <v>ok</v>
      </c>
      <c r="C28" s="62" t="s">
        <v>369</v>
      </c>
      <c r="D28" t="s">
        <v>1371</v>
      </c>
      <c r="E28" t="s">
        <v>1429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69">
        <v>45646.435798611114</v>
      </c>
      <c r="N28" s="69">
        <v>45652</v>
      </c>
      <c r="O28" s="69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1434</v>
      </c>
      <c r="B29" s="60" t="str">
        <f>IFERROR(VLOOKUP(Proc[[#This Row],[App]],Table2[],3,0),"open")</f>
        <v>ok</v>
      </c>
      <c r="C29" s="62" t="s">
        <v>369</v>
      </c>
      <c r="D29" t="s">
        <v>1372</v>
      </c>
      <c r="E29" t="s">
        <v>1429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69">
        <v>45646.435798611114</v>
      </c>
      <c r="N29" s="69">
        <v>45652</v>
      </c>
      <c r="O29" s="69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1434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1429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69">
        <v>45646.435798611114</v>
      </c>
      <c r="N30" s="69">
        <v>45652</v>
      </c>
      <c r="O30" s="69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1434</v>
      </c>
      <c r="B31" s="60" t="str">
        <f>IFERROR(VLOOKUP(Proc[[#This Row],[App]],Table2[],3,0),"open")</f>
        <v>ok</v>
      </c>
      <c r="C31" s="62" t="s">
        <v>369</v>
      </c>
      <c r="D31" t="s">
        <v>1373</v>
      </c>
      <c r="E31" t="s">
        <v>1429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69">
        <v>45646.435798611114</v>
      </c>
      <c r="N31" s="69">
        <v>45652</v>
      </c>
      <c r="O31" s="69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1434</v>
      </c>
      <c r="B32" s="60" t="str">
        <f>IFERROR(VLOOKUP(Proc[[#This Row],[App]],Table2[],3,0),"open")</f>
        <v>ok</v>
      </c>
      <c r="C32" s="62" t="s">
        <v>369</v>
      </c>
      <c r="D32" t="s">
        <v>1374</v>
      </c>
      <c r="E32" t="s">
        <v>1429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69">
        <v>45646.435798611114</v>
      </c>
      <c r="N32" s="69">
        <v>45652</v>
      </c>
      <c r="O32" s="69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1434</v>
      </c>
      <c r="B33" s="60" t="str">
        <f>IFERROR(VLOOKUP(Proc[[#This Row],[App]],Table2[],3,0),"open")</f>
        <v>ok</v>
      </c>
      <c r="C33" s="62" t="s">
        <v>369</v>
      </c>
      <c r="D33" t="s">
        <v>1375</v>
      </c>
      <c r="E33" t="s">
        <v>1429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69">
        <v>45646.435798611114</v>
      </c>
      <c r="N33" s="69">
        <v>45652</v>
      </c>
      <c r="O33" s="69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1434</v>
      </c>
      <c r="B34" s="60" t="str">
        <f>IFERROR(VLOOKUP(Proc[[#This Row],[App]],Table2[],3,0),"open")</f>
        <v>ok</v>
      </c>
      <c r="C34" s="62" t="s">
        <v>369</v>
      </c>
      <c r="D34" t="s">
        <v>1376</v>
      </c>
      <c r="E34" t="s">
        <v>1429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69">
        <v>45646.435798611114</v>
      </c>
      <c r="N34" s="69">
        <v>45652</v>
      </c>
      <c r="O34" s="69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1434</v>
      </c>
      <c r="B35" s="60" t="str">
        <f>IFERROR(VLOOKUP(Proc[[#This Row],[App]],Table2[],3,0),"open")</f>
        <v>ok</v>
      </c>
      <c r="C35" s="62" t="s">
        <v>369</v>
      </c>
      <c r="D35" t="s">
        <v>1377</v>
      </c>
      <c r="E35" t="s">
        <v>1429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69">
        <v>45646.435798611114</v>
      </c>
      <c r="N35" s="69">
        <v>45652</v>
      </c>
      <c r="O35" s="69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1434</v>
      </c>
      <c r="B36" s="60" t="str">
        <f>IFERROR(VLOOKUP(Proc[[#This Row],[App]],Table2[],3,0),"open")</f>
        <v>ok</v>
      </c>
      <c r="C36" s="62" t="s">
        <v>369</v>
      </c>
      <c r="D36" t="s">
        <v>1378</v>
      </c>
      <c r="E36" t="s">
        <v>1429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69">
        <v>45646.435798611114</v>
      </c>
      <c r="N36" s="69">
        <v>45652</v>
      </c>
      <c r="O36" s="69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1434</v>
      </c>
      <c r="B37" s="60" t="str">
        <f>IFERROR(VLOOKUP(Proc[[#This Row],[App]],Table2[],3,0),"open")</f>
        <v>ok</v>
      </c>
      <c r="C37" s="62" t="s">
        <v>369</v>
      </c>
      <c r="D37" t="s">
        <v>1379</v>
      </c>
      <c r="E37" t="s">
        <v>1430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69">
        <v>45646.435798611114</v>
      </c>
      <c r="N37" s="69">
        <v>45652</v>
      </c>
      <c r="O37" s="69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1434</v>
      </c>
      <c r="B38" s="60" t="str">
        <f>IFERROR(VLOOKUP(Proc[[#This Row],[App]],Table2[],3,0),"open")</f>
        <v>ok</v>
      </c>
      <c r="C38" s="62" t="s">
        <v>369</v>
      </c>
      <c r="D38" t="s">
        <v>1380</v>
      </c>
      <c r="E38" t="s">
        <v>1430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69">
        <v>45646.435798611114</v>
      </c>
      <c r="N38" s="69">
        <v>45652</v>
      </c>
      <c r="O38" s="69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1434</v>
      </c>
      <c r="B39" s="60" t="str">
        <f>IFERROR(VLOOKUP(Proc[[#This Row],[App]],Table2[],3,0),"open")</f>
        <v>ok</v>
      </c>
      <c r="C39" s="62" t="s">
        <v>369</v>
      </c>
      <c r="D39" t="s">
        <v>1381</v>
      </c>
      <c r="E39" t="s">
        <v>1430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69">
        <v>45646.435798611114</v>
      </c>
      <c r="N39" s="69">
        <v>45652</v>
      </c>
      <c r="O39" s="69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1434</v>
      </c>
      <c r="B40" s="60" t="str">
        <f>IFERROR(VLOOKUP(Proc[[#This Row],[App]],Table2[],3,0),"open")</f>
        <v>ok</v>
      </c>
      <c r="C40" s="62" t="s">
        <v>369</v>
      </c>
      <c r="D40" t="s">
        <v>1382</v>
      </c>
      <c r="E40" t="s">
        <v>1430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69">
        <v>45646.435798611114</v>
      </c>
      <c r="N40" s="69">
        <v>45652</v>
      </c>
      <c r="O40" s="69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1434</v>
      </c>
      <c r="B41" s="60" t="str">
        <f>IFERROR(VLOOKUP(Proc[[#This Row],[App]],Table2[],3,0),"open")</f>
        <v>ok</v>
      </c>
      <c r="C41" s="62" t="s">
        <v>369</v>
      </c>
      <c r="D41" t="s">
        <v>1383</v>
      </c>
      <c r="E41" t="s">
        <v>1430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69">
        <v>45646.435798611114</v>
      </c>
      <c r="N41" s="69">
        <v>45652</v>
      </c>
      <c r="O41" s="69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1434</v>
      </c>
      <c r="B42" s="60" t="str">
        <f>IFERROR(VLOOKUP(Proc[[#This Row],[App]],Table2[],3,0),"open")</f>
        <v>ok</v>
      </c>
      <c r="C42" s="62" t="s">
        <v>369</v>
      </c>
      <c r="D42" t="s">
        <v>1384</v>
      </c>
      <c r="E42" t="s">
        <v>1430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69">
        <v>45646.435798611114</v>
      </c>
      <c r="N42" s="69">
        <v>45652</v>
      </c>
      <c r="O42" s="69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1434</v>
      </c>
      <c r="B43" s="60" t="str">
        <f>IFERROR(VLOOKUP(Proc[[#This Row],[App]],Table2[],3,0),"open")</f>
        <v>ok</v>
      </c>
      <c r="C43" s="62" t="s">
        <v>369</v>
      </c>
      <c r="D43" t="s">
        <v>1385</v>
      </c>
      <c r="E43" t="s">
        <v>1430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69">
        <v>45646.435798611114</v>
      </c>
      <c r="N43" s="69">
        <v>45652</v>
      </c>
      <c r="O43" s="69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1434</v>
      </c>
      <c r="B44" s="60" t="str">
        <f>IFERROR(VLOOKUP(Proc[[#This Row],[App]],Table2[],3,0),"open")</f>
        <v>ok</v>
      </c>
      <c r="C44" s="62" t="s">
        <v>369</v>
      </c>
      <c r="D44" t="s">
        <v>1386</v>
      </c>
      <c r="E44" t="s">
        <v>1430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69">
        <v>45646.435798611114</v>
      </c>
      <c r="N44" s="69">
        <v>45652</v>
      </c>
      <c r="O44" s="69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1434</v>
      </c>
      <c r="B45" s="60" t="str">
        <f>IFERROR(VLOOKUP(Proc[[#This Row],[App]],Table2[],3,0),"open")</f>
        <v>ok</v>
      </c>
      <c r="C45" s="62" t="s">
        <v>369</v>
      </c>
      <c r="D45" t="s">
        <v>1387</v>
      </c>
      <c r="E45" t="s">
        <v>1431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69">
        <v>45646.435798611114</v>
      </c>
      <c r="N45" s="69">
        <v>45652</v>
      </c>
      <c r="O45" s="69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1434</v>
      </c>
      <c r="B46" s="60" t="str">
        <f>IFERROR(VLOOKUP(Proc[[#This Row],[App]],Table2[],3,0),"open")</f>
        <v>ok</v>
      </c>
      <c r="C46" s="62" t="s">
        <v>369</v>
      </c>
      <c r="D46" t="s">
        <v>1388</v>
      </c>
      <c r="E46" t="s">
        <v>1431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69">
        <v>45646.435798611114</v>
      </c>
      <c r="N46" s="69">
        <v>45652</v>
      </c>
      <c r="O46" s="69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1434</v>
      </c>
      <c r="B47" s="60" t="str">
        <f>IFERROR(VLOOKUP(Proc[[#This Row],[App]],Table2[],3,0),"open")</f>
        <v>ok</v>
      </c>
      <c r="C47" s="62" t="s">
        <v>369</v>
      </c>
      <c r="D47" t="s">
        <v>1389</v>
      </c>
      <c r="E47" t="s">
        <v>1431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69">
        <v>45646.435798611114</v>
      </c>
      <c r="N47" s="69">
        <v>45652</v>
      </c>
      <c r="O47" s="69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1434</v>
      </c>
      <c r="B48" s="60" t="str">
        <f>IFERROR(VLOOKUP(Proc[[#This Row],[App]],Table2[],3,0),"open")</f>
        <v>ok</v>
      </c>
      <c r="C48" s="62" t="s">
        <v>369</v>
      </c>
      <c r="D48" t="s">
        <v>1390</v>
      </c>
      <c r="E48" t="s">
        <v>1431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69">
        <v>45646.435798611114</v>
      </c>
      <c r="N48" s="69">
        <v>45652</v>
      </c>
      <c r="O48" s="69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1434</v>
      </c>
      <c r="B49" s="60" t="str">
        <f>IFERROR(VLOOKUP(Proc[[#This Row],[App]],Table2[],3,0),"open")</f>
        <v>ok</v>
      </c>
      <c r="C49" s="62" t="s">
        <v>369</v>
      </c>
      <c r="D49" t="s">
        <v>1391</v>
      </c>
      <c r="E49" t="s">
        <v>1432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69">
        <v>45646.435798611114</v>
      </c>
      <c r="N49" s="69">
        <v>45652</v>
      </c>
      <c r="O49" s="69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1434</v>
      </c>
      <c r="B50" s="60" t="str">
        <f>IFERROR(VLOOKUP(Proc[[#This Row],[App]],Table2[],3,0),"open")</f>
        <v>ok</v>
      </c>
      <c r="C50" s="62" t="s">
        <v>369</v>
      </c>
      <c r="D50" t="s">
        <v>1392</v>
      </c>
      <c r="E50" t="s">
        <v>1432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69">
        <v>45646.435798611114</v>
      </c>
      <c r="N50" s="69">
        <v>45652</v>
      </c>
      <c r="O50" s="69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1434</v>
      </c>
      <c r="B51" s="60" t="str">
        <f>IFERROR(VLOOKUP(Proc[[#This Row],[App]],Table2[],3,0),"open")</f>
        <v>ok</v>
      </c>
      <c r="C51" s="62" t="s">
        <v>369</v>
      </c>
      <c r="D51" t="s">
        <v>1393</v>
      </c>
      <c r="E51" t="s">
        <v>1429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69">
        <v>45646.435798611114</v>
      </c>
      <c r="N51" s="69">
        <v>45652</v>
      </c>
      <c r="O51" s="69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1434</v>
      </c>
      <c r="B52" s="60" t="str">
        <f>IFERROR(VLOOKUP(Proc[[#This Row],[App]],Table2[],3,0),"open")</f>
        <v>ok</v>
      </c>
      <c r="C52" s="62" t="s">
        <v>369</v>
      </c>
      <c r="D52" t="s">
        <v>1394</v>
      </c>
      <c r="E52" t="s">
        <v>1432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69">
        <v>45646.435798611114</v>
      </c>
      <c r="N52" s="69">
        <v>45652</v>
      </c>
      <c r="O52" s="69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1434</v>
      </c>
      <c r="B53" s="60" t="str">
        <f>IFERROR(VLOOKUP(Proc[[#This Row],[App]],Table2[],3,0),"open")</f>
        <v>ok</v>
      </c>
      <c r="C53" s="62" t="s">
        <v>369</v>
      </c>
      <c r="D53" t="s">
        <v>1395</v>
      </c>
      <c r="E53" t="s">
        <v>1432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69">
        <v>45646.435798611114</v>
      </c>
      <c r="N53" s="69">
        <v>45652</v>
      </c>
      <c r="O53" s="69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1434</v>
      </c>
      <c r="B54" s="60" t="str">
        <f>IFERROR(VLOOKUP(Proc[[#This Row],[App]],Table2[],3,0),"open")</f>
        <v>ok</v>
      </c>
      <c r="C54" s="62" t="s">
        <v>369</v>
      </c>
      <c r="D54" t="s">
        <v>1396</v>
      </c>
      <c r="E54" t="s">
        <v>1433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69">
        <v>45646.435798611114</v>
      </c>
      <c r="N54" s="69">
        <v>45652</v>
      </c>
      <c r="O54" s="69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1434</v>
      </c>
      <c r="B55" s="60" t="str">
        <f>IFERROR(VLOOKUP(Proc[[#This Row],[App]],Table2[],3,0),"open")</f>
        <v>ok</v>
      </c>
      <c r="C55" s="62" t="s">
        <v>369</v>
      </c>
      <c r="D55" t="s">
        <v>1397</v>
      </c>
      <c r="E55" t="s">
        <v>1427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69">
        <v>45646.435798611114</v>
      </c>
      <c r="N55" s="69">
        <v>45652</v>
      </c>
      <c r="O55" s="69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1434</v>
      </c>
      <c r="B56" s="60" t="str">
        <f>IFERROR(VLOOKUP(Proc[[#This Row],[App]],Table2[],3,0),"open")</f>
        <v>ok</v>
      </c>
      <c r="C56" s="62" t="s">
        <v>369</v>
      </c>
      <c r="D56" t="s">
        <v>1398</v>
      </c>
      <c r="E56" t="s">
        <v>1428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69">
        <v>45646.435798611114</v>
      </c>
      <c r="N56" s="69">
        <v>45652</v>
      </c>
      <c r="O56" s="69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1434</v>
      </c>
      <c r="B57" s="60" t="str">
        <f>IFERROR(VLOOKUP(Proc[[#This Row],[App]],Table2[],3,0),"open")</f>
        <v>ok</v>
      </c>
      <c r="C57" s="62" t="s">
        <v>369</v>
      </c>
      <c r="D57" t="s">
        <v>1399</v>
      </c>
      <c r="E57" t="s">
        <v>1429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69">
        <v>45646.435798611114</v>
      </c>
      <c r="N57" s="69">
        <v>45652</v>
      </c>
      <c r="O57" s="69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1434</v>
      </c>
      <c r="B58" s="60" t="str">
        <f>IFERROR(VLOOKUP(Proc[[#This Row],[App]],Table2[],3,0),"open")</f>
        <v>ok</v>
      </c>
      <c r="C58" s="62" t="s">
        <v>369</v>
      </c>
      <c r="D58" t="s">
        <v>1400</v>
      </c>
      <c r="E58" t="s">
        <v>1429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69">
        <v>45646.435798611114</v>
      </c>
      <c r="N58" s="69">
        <v>45652</v>
      </c>
      <c r="O58" s="69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1434</v>
      </c>
      <c r="B59" s="60" t="str">
        <f>IFERROR(VLOOKUP(Proc[[#This Row],[App]],Table2[],3,0),"open")</f>
        <v>ok</v>
      </c>
      <c r="C59" s="62" t="s">
        <v>369</v>
      </c>
      <c r="D59" t="s">
        <v>1401</v>
      </c>
      <c r="E59" t="s">
        <v>1429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69">
        <v>45646.435798611114</v>
      </c>
      <c r="N59" s="69">
        <v>45652</v>
      </c>
      <c r="O59" s="69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1434</v>
      </c>
      <c r="B60" s="60" t="str">
        <f>IFERROR(VLOOKUP(Proc[[#This Row],[App]],Table2[],3,0),"open")</f>
        <v>ok</v>
      </c>
      <c r="C60" s="62" t="s">
        <v>369</v>
      </c>
      <c r="D60" t="s">
        <v>1402</v>
      </c>
      <c r="E60" t="s">
        <v>1429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69">
        <v>45646.435798611114</v>
      </c>
      <c r="N60" s="69">
        <v>45652</v>
      </c>
      <c r="O60" s="69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1434</v>
      </c>
      <c r="B61" s="60" t="str">
        <f>IFERROR(VLOOKUP(Proc[[#This Row],[App]],Table2[],3,0),"open")</f>
        <v>ok</v>
      </c>
      <c r="C61" s="62" t="s">
        <v>369</v>
      </c>
      <c r="D61" t="s">
        <v>1403</v>
      </c>
      <c r="E61" t="s">
        <v>1429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69">
        <v>45646.435798611114</v>
      </c>
      <c r="N61" s="69">
        <v>45652</v>
      </c>
      <c r="O61" s="69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1434</v>
      </c>
      <c r="B62" s="60" t="str">
        <f>IFERROR(VLOOKUP(Proc[[#This Row],[App]],Table2[],3,0),"open")</f>
        <v>ok</v>
      </c>
      <c r="C62" s="62" t="s">
        <v>375</v>
      </c>
      <c r="D62" t="s">
        <v>1404</v>
      </c>
      <c r="E62" t="s">
        <v>1429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1490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69">
        <v>45646.435798611114</v>
      </c>
      <c r="N62" s="69">
        <v>45652</v>
      </c>
      <c r="O62" s="69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1434</v>
      </c>
      <c r="B63" s="60" t="str">
        <f>IFERROR(VLOOKUP(Proc[[#This Row],[App]],Table2[],3,0),"open")</f>
        <v>ok</v>
      </c>
      <c r="C63" s="62" t="s">
        <v>369</v>
      </c>
      <c r="D63" t="s">
        <v>1405</v>
      </c>
      <c r="E63" t="s">
        <v>1429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69">
        <v>45646.435798611114</v>
      </c>
      <c r="N63" s="69">
        <v>45652</v>
      </c>
      <c r="O63" s="69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1434</v>
      </c>
      <c r="B64" s="60" t="str">
        <f>IFERROR(VLOOKUP(Proc[[#This Row],[App]],Table2[],3,0),"open")</f>
        <v>ok</v>
      </c>
      <c r="C64" s="62" t="s">
        <v>369</v>
      </c>
      <c r="D64" t="s">
        <v>1406</v>
      </c>
      <c r="E64" t="s">
        <v>1429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69">
        <v>45646.435798611114</v>
      </c>
      <c r="N64" s="69">
        <v>45652</v>
      </c>
      <c r="O64" s="69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1434</v>
      </c>
      <c r="B65" s="60" t="str">
        <f>IFERROR(VLOOKUP(Proc[[#This Row],[App]],Table2[],3,0),"open")</f>
        <v>ok</v>
      </c>
      <c r="C65" s="62" t="s">
        <v>369</v>
      </c>
      <c r="D65" t="s">
        <v>1407</v>
      </c>
      <c r="E65" t="s">
        <v>1429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69">
        <v>45646.435798611114</v>
      </c>
      <c r="N65" s="69">
        <v>45652</v>
      </c>
      <c r="O65" s="69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1434</v>
      </c>
      <c r="B66" s="60" t="str">
        <f>IFERROR(VLOOKUP(Proc[[#This Row],[App]],Table2[],3,0),"open")</f>
        <v>ok</v>
      </c>
      <c r="C66" s="62" t="s">
        <v>369</v>
      </c>
      <c r="D66" t="s">
        <v>1408</v>
      </c>
      <c r="E66" t="s">
        <v>1429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69">
        <v>45646.435798611114</v>
      </c>
      <c r="N66" s="69">
        <v>45652</v>
      </c>
      <c r="O66" s="69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1434</v>
      </c>
      <c r="B67" s="60" t="str">
        <f>IFERROR(VLOOKUP(Proc[[#This Row],[App]],Table2[],3,0),"open")</f>
        <v>ok</v>
      </c>
      <c r="C67" s="62" t="s">
        <v>369</v>
      </c>
      <c r="D67" t="s">
        <v>1409</v>
      </c>
      <c r="E67" t="s">
        <v>1429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69">
        <v>45646.435798611114</v>
      </c>
      <c r="N67" s="69">
        <v>45652</v>
      </c>
      <c r="O67" s="69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1434</v>
      </c>
      <c r="B68" s="60" t="str">
        <f>IFERROR(VLOOKUP(Proc[[#This Row],[App]],Table2[],3,0),"open")</f>
        <v>ok</v>
      </c>
      <c r="C68" s="62" t="s">
        <v>369</v>
      </c>
      <c r="D68" t="s">
        <v>1410</v>
      </c>
      <c r="E68" t="s">
        <v>1430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69">
        <v>45646.435798611114</v>
      </c>
      <c r="N68" s="69">
        <v>45652</v>
      </c>
      <c r="O68" s="69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1434</v>
      </c>
      <c r="B69" s="60" t="str">
        <f>IFERROR(VLOOKUP(Proc[[#This Row],[App]],Table2[],3,0),"open")</f>
        <v>ok</v>
      </c>
      <c r="C69" s="62" t="s">
        <v>369</v>
      </c>
      <c r="D69" t="s">
        <v>1411</v>
      </c>
      <c r="E69" t="s">
        <v>1430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69">
        <v>45646.435798611114</v>
      </c>
      <c r="N69" s="69">
        <v>45652</v>
      </c>
      <c r="O69" s="69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1434</v>
      </c>
      <c r="B70" s="60" t="str">
        <f>IFERROR(VLOOKUP(Proc[[#This Row],[App]],Table2[],3,0),"open")</f>
        <v>ok</v>
      </c>
      <c r="C70" s="62" t="s">
        <v>369</v>
      </c>
      <c r="D70" t="s">
        <v>1412</v>
      </c>
      <c r="E70" t="s">
        <v>1430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69">
        <v>45646.435798611114</v>
      </c>
      <c r="N70" s="69">
        <v>45652</v>
      </c>
      <c r="O70" s="69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1434</v>
      </c>
      <c r="B71" s="60" t="str">
        <f>IFERROR(VLOOKUP(Proc[[#This Row],[App]],Table2[],3,0),"open")</f>
        <v>ok</v>
      </c>
      <c r="C71" s="62" t="s">
        <v>369</v>
      </c>
      <c r="D71" t="s">
        <v>1413</v>
      </c>
      <c r="E71" t="s">
        <v>1430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69">
        <v>45646.435798611114</v>
      </c>
      <c r="N71" s="69">
        <v>45652</v>
      </c>
      <c r="O71" s="69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1434</v>
      </c>
      <c r="B72" s="60" t="str">
        <f>IFERROR(VLOOKUP(Proc[[#This Row],[App]],Table2[],3,0),"open")</f>
        <v>ok</v>
      </c>
      <c r="C72" s="62" t="s">
        <v>369</v>
      </c>
      <c r="D72" t="s">
        <v>1414</v>
      </c>
      <c r="E72" t="s">
        <v>1430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69">
        <v>45646.435798611114</v>
      </c>
      <c r="N72" s="69">
        <v>45652</v>
      </c>
      <c r="O72" s="69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1434</v>
      </c>
      <c r="B73" s="60" t="str">
        <f>IFERROR(VLOOKUP(Proc[[#This Row],[App]],Table2[],3,0),"open")</f>
        <v>ok</v>
      </c>
      <c r="C73" s="62" t="s">
        <v>369</v>
      </c>
      <c r="D73" t="s">
        <v>1415</v>
      </c>
      <c r="E73" t="s">
        <v>1430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69">
        <v>45646.435798611114</v>
      </c>
      <c r="N73" s="69">
        <v>45652</v>
      </c>
      <c r="O73" s="69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1434</v>
      </c>
      <c r="B74" s="60" t="str">
        <f>IFERROR(VLOOKUP(Proc[[#This Row],[App]],Table2[],3,0),"open")</f>
        <v>ok</v>
      </c>
      <c r="C74" s="62" t="s">
        <v>369</v>
      </c>
      <c r="D74" t="s">
        <v>1416</v>
      </c>
      <c r="E74" t="s">
        <v>1430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69">
        <v>45646.435798611114</v>
      </c>
      <c r="N74" s="69">
        <v>45652</v>
      </c>
      <c r="O74" s="69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1434</v>
      </c>
      <c r="B75" s="60" t="str">
        <f>IFERROR(VLOOKUP(Proc[[#This Row],[App]],Table2[],3,0),"open")</f>
        <v>ok</v>
      </c>
      <c r="C75" s="62" t="s">
        <v>369</v>
      </c>
      <c r="D75" t="s">
        <v>1417</v>
      </c>
      <c r="E75" t="s">
        <v>1430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69">
        <v>45646.435798611114</v>
      </c>
      <c r="N75" s="69">
        <v>45652</v>
      </c>
      <c r="O75" s="69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1434</v>
      </c>
      <c r="B76" s="60" t="str">
        <f>IFERROR(VLOOKUP(Proc[[#This Row],[App]],Table2[],3,0),"open")</f>
        <v>ok</v>
      </c>
      <c r="C76" s="62" t="s">
        <v>369</v>
      </c>
      <c r="D76" t="s">
        <v>1418</v>
      </c>
      <c r="E76" t="s">
        <v>1431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69">
        <v>45646.435798611114</v>
      </c>
      <c r="N76" s="69">
        <v>45652</v>
      </c>
      <c r="O76" s="69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1434</v>
      </c>
      <c r="B77" s="60" t="str">
        <f>IFERROR(VLOOKUP(Proc[[#This Row],[App]],Table2[],3,0),"open")</f>
        <v>ok</v>
      </c>
      <c r="C77" s="62" t="s">
        <v>369</v>
      </c>
      <c r="D77" t="s">
        <v>1419</v>
      </c>
      <c r="E77" t="s">
        <v>1431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69">
        <v>45646.435798611114</v>
      </c>
      <c r="N77" s="69">
        <v>45652</v>
      </c>
      <c r="O77" s="69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1434</v>
      </c>
      <c r="B78" s="60" t="str">
        <f>IFERROR(VLOOKUP(Proc[[#This Row],[App]],Table2[],3,0),"open")</f>
        <v>ok</v>
      </c>
      <c r="C78" s="62" t="s">
        <v>369</v>
      </c>
      <c r="D78" t="s">
        <v>1420</v>
      </c>
      <c r="E78" t="s">
        <v>1431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69">
        <v>45646.435798611114</v>
      </c>
      <c r="N78" s="69">
        <v>45652</v>
      </c>
      <c r="O78" s="69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1434</v>
      </c>
      <c r="B79" s="60" t="str">
        <f>IFERROR(VLOOKUP(Proc[[#This Row],[App]],Table2[],3,0),"open")</f>
        <v>ok</v>
      </c>
      <c r="C79" s="62" t="s">
        <v>369</v>
      </c>
      <c r="D79" t="s">
        <v>1421</v>
      </c>
      <c r="E79" t="s">
        <v>1431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69">
        <v>45646.435798611114</v>
      </c>
      <c r="N79" s="69">
        <v>45652</v>
      </c>
      <c r="O79" s="69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1434</v>
      </c>
      <c r="B80" s="60" t="str">
        <f>IFERROR(VLOOKUP(Proc[[#This Row],[App]],Table2[],3,0),"open")</f>
        <v>ok</v>
      </c>
      <c r="C80" s="62" t="s">
        <v>369</v>
      </c>
      <c r="D80" t="s">
        <v>1422</v>
      </c>
      <c r="E80" t="s">
        <v>1432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69">
        <v>45646.435798611114</v>
      </c>
      <c r="N80" s="69">
        <v>45652</v>
      </c>
      <c r="O80" s="69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1434</v>
      </c>
      <c r="B81" s="60" t="str">
        <f>IFERROR(VLOOKUP(Proc[[#This Row],[App]],Table2[],3,0),"open")</f>
        <v>ok</v>
      </c>
      <c r="C81" s="62" t="s">
        <v>369</v>
      </c>
      <c r="D81" t="s">
        <v>1423</v>
      </c>
      <c r="E81" t="s">
        <v>1432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69">
        <v>45646.435798611114</v>
      </c>
      <c r="N81" s="69">
        <v>45652</v>
      </c>
      <c r="O81" s="69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1434</v>
      </c>
      <c r="B82" s="60" t="str">
        <f>IFERROR(VLOOKUP(Proc[[#This Row],[App]],Table2[],3,0),"open")</f>
        <v>ok</v>
      </c>
      <c r="C82" s="62" t="s">
        <v>369</v>
      </c>
      <c r="D82" t="s">
        <v>1424</v>
      </c>
      <c r="E82" t="s">
        <v>1429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69">
        <v>45646.435798611114</v>
      </c>
      <c r="N82" s="69">
        <v>45652</v>
      </c>
      <c r="O82" s="69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1434</v>
      </c>
      <c r="B83" s="60" t="str">
        <f>IFERROR(VLOOKUP(Proc[[#This Row],[App]],Table2[],3,0),"open")</f>
        <v>ok</v>
      </c>
      <c r="C83" s="62" t="s">
        <v>369</v>
      </c>
      <c r="D83" t="s">
        <v>1425</v>
      </c>
      <c r="E83" t="s">
        <v>1432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69">
        <v>45646.435798611114</v>
      </c>
      <c r="N83" s="69">
        <v>45652</v>
      </c>
      <c r="O83" s="69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1434</v>
      </c>
      <c r="B84" s="60" t="str">
        <f>IFERROR(VLOOKUP(Proc[[#This Row],[App]],Table2[],3,0),"open")</f>
        <v>ok</v>
      </c>
      <c r="C84" s="62" t="s">
        <v>369</v>
      </c>
      <c r="D84" t="s">
        <v>1426</v>
      </c>
      <c r="E84" t="s">
        <v>1432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69">
        <v>45646.435798611114</v>
      </c>
      <c r="N84" s="69">
        <v>45652</v>
      </c>
      <c r="O84" s="69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1434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1433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69">
        <v>45646.435798611114</v>
      </c>
      <c r="N85" s="69">
        <v>45652</v>
      </c>
      <c r="O85" s="69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1435</v>
      </c>
      <c r="B86" s="60" t="str">
        <f>IFERROR(VLOOKUP(Proc[[#This Row],[App]],Table2[],3,0),"open")</f>
        <v>ok</v>
      </c>
      <c r="C86" t="s">
        <v>369</v>
      </c>
      <c r="D86" t="s">
        <v>1436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69">
        <v>45647.538819444446</v>
      </c>
      <c r="N86" s="69">
        <v>45652</v>
      </c>
      <c r="O86" s="69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1435</v>
      </c>
      <c r="B87" s="60" t="str">
        <f>IFERROR(VLOOKUP(Proc[[#This Row],[App]],Table2[],3,0),"open")</f>
        <v>ok</v>
      </c>
      <c r="C87" s="62" t="s">
        <v>369</v>
      </c>
      <c r="D87" t="s">
        <v>1437</v>
      </c>
      <c r="E87" t="s">
        <v>1076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69">
        <v>45647.538819444446</v>
      </c>
      <c r="N87" s="69">
        <v>45652</v>
      </c>
      <c r="O87" s="69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1435</v>
      </c>
      <c r="B88" s="60" t="str">
        <f>IFERROR(VLOOKUP(Proc[[#This Row],[App]],Table2[],3,0),"open")</f>
        <v>ok</v>
      </c>
      <c r="C88" s="62" t="s">
        <v>369</v>
      </c>
      <c r="D88" t="s">
        <v>1438</v>
      </c>
      <c r="E88" t="s">
        <v>1076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69">
        <v>45647.538819444446</v>
      </c>
      <c r="N88" s="69">
        <v>45652</v>
      </c>
      <c r="O88" s="69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1435</v>
      </c>
      <c r="B89" s="60" t="str">
        <f>IFERROR(VLOOKUP(Proc[[#This Row],[App]],Table2[],3,0),"open")</f>
        <v>ok</v>
      </c>
      <c r="C89" s="62" t="s">
        <v>369</v>
      </c>
      <c r="D89" t="s">
        <v>1439</v>
      </c>
      <c r="E89" t="s">
        <v>1076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69">
        <v>45647.538819444446</v>
      </c>
      <c r="N89" s="69">
        <v>45652</v>
      </c>
      <c r="O89" s="69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1435</v>
      </c>
      <c r="B90" s="60" t="str">
        <f>IFERROR(VLOOKUP(Proc[[#This Row],[App]],Table2[],3,0),"open")</f>
        <v>ok</v>
      </c>
      <c r="C90" s="62" t="s">
        <v>369</v>
      </c>
      <c r="D90" t="s">
        <v>1440</v>
      </c>
      <c r="E90" t="s">
        <v>1076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69">
        <v>45647.538819444446</v>
      </c>
      <c r="N90" s="69">
        <v>45652</v>
      </c>
      <c r="O90" s="69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1435</v>
      </c>
      <c r="B91" s="60" t="str">
        <f>IFERROR(VLOOKUP(Proc[[#This Row],[App]],Table2[],3,0),"open")</f>
        <v>ok</v>
      </c>
      <c r="C91" s="62" t="s">
        <v>369</v>
      </c>
      <c r="D91" t="s">
        <v>1441</v>
      </c>
      <c r="E91" t="s">
        <v>1076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69">
        <v>45647.538819444446</v>
      </c>
      <c r="N91" s="69">
        <v>45652</v>
      </c>
      <c r="O91" s="69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1435</v>
      </c>
      <c r="B92" s="60" t="str">
        <f>IFERROR(VLOOKUP(Proc[[#This Row],[App]],Table2[],3,0),"open")</f>
        <v>ok</v>
      </c>
      <c r="C92" s="62" t="s">
        <v>369</v>
      </c>
      <c r="D92" t="s">
        <v>1442</v>
      </c>
      <c r="E92" t="s">
        <v>1076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69">
        <v>45647.538819444446</v>
      </c>
      <c r="N92" s="69">
        <v>45652</v>
      </c>
      <c r="O92" s="69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1435</v>
      </c>
      <c r="B93" s="60" t="str">
        <f>IFERROR(VLOOKUP(Proc[[#This Row],[App]],Table2[],3,0),"open")</f>
        <v>ok</v>
      </c>
      <c r="C93" s="62" t="s">
        <v>369</v>
      </c>
      <c r="D93" t="s">
        <v>1443</v>
      </c>
      <c r="E93" t="s">
        <v>1076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69">
        <v>45647.538819444446</v>
      </c>
      <c r="N93" s="69">
        <v>45652</v>
      </c>
      <c r="O93" s="69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1435</v>
      </c>
      <c r="B94" s="60" t="str">
        <f>IFERROR(VLOOKUP(Proc[[#This Row],[App]],Table2[],3,0),"open")</f>
        <v>ok</v>
      </c>
      <c r="C94" s="62" t="s">
        <v>369</v>
      </c>
      <c r="D94" t="s">
        <v>1444</v>
      </c>
      <c r="E94" t="s">
        <v>1076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69">
        <v>45647.538819444446</v>
      </c>
      <c r="N94" s="69">
        <v>45652</v>
      </c>
      <c r="O94" s="69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1435</v>
      </c>
      <c r="B95" s="60" t="str">
        <f>IFERROR(VLOOKUP(Proc[[#This Row],[App]],Table2[],3,0),"open")</f>
        <v>ok</v>
      </c>
      <c r="C95" s="62" t="s">
        <v>369</v>
      </c>
      <c r="D95" t="s">
        <v>1445</v>
      </c>
      <c r="E95" t="s">
        <v>1076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69">
        <v>45647.538819444446</v>
      </c>
      <c r="N95" s="69">
        <v>45652</v>
      </c>
      <c r="O95" s="69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1435</v>
      </c>
      <c r="B96" s="60" t="str">
        <f>IFERROR(VLOOKUP(Proc[[#This Row],[App]],Table2[],3,0),"open")</f>
        <v>ok</v>
      </c>
      <c r="C96" s="62" t="s">
        <v>369</v>
      </c>
      <c r="D96" t="s">
        <v>1446</v>
      </c>
      <c r="E96" t="s">
        <v>1076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69">
        <v>45647.538819444446</v>
      </c>
      <c r="N96" s="69">
        <v>45652</v>
      </c>
      <c r="O96" s="69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1435</v>
      </c>
      <c r="B97" s="60" t="str">
        <f>IFERROR(VLOOKUP(Proc[[#This Row],[App]],Table2[],3,0),"open")</f>
        <v>ok</v>
      </c>
      <c r="C97" s="62" t="s">
        <v>369</v>
      </c>
      <c r="D97" t="s">
        <v>1447</v>
      </c>
      <c r="E97" t="s">
        <v>1076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69">
        <v>45647.538819444446</v>
      </c>
      <c r="N97" s="69">
        <v>45652</v>
      </c>
      <c r="O97" s="69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1435</v>
      </c>
      <c r="B98" s="60" t="str">
        <f>IFERROR(VLOOKUP(Proc[[#This Row],[App]],Table2[],3,0),"open")</f>
        <v>ok</v>
      </c>
      <c r="C98" s="62" t="s">
        <v>369</v>
      </c>
      <c r="D98" t="s">
        <v>1448</v>
      </c>
      <c r="E98" t="s">
        <v>1076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69">
        <v>45647.538819444446</v>
      </c>
      <c r="N98" s="69">
        <v>45652</v>
      </c>
      <c r="O98" s="69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1435</v>
      </c>
      <c r="B99" s="60" t="str">
        <f>IFERROR(VLOOKUP(Proc[[#This Row],[App]],Table2[],3,0),"open")</f>
        <v>ok</v>
      </c>
      <c r="C99" s="62" t="s">
        <v>369</v>
      </c>
      <c r="D99" t="s">
        <v>1449</v>
      </c>
      <c r="E99" t="s">
        <v>1076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69">
        <v>45647.538819444446</v>
      </c>
      <c r="N99" s="69">
        <v>45652</v>
      </c>
      <c r="O99" s="69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1435</v>
      </c>
      <c r="B100" s="60" t="str">
        <f>IFERROR(VLOOKUP(Proc[[#This Row],[App]],Table2[],3,0),"open")</f>
        <v>ok</v>
      </c>
      <c r="C100" s="62" t="s">
        <v>369</v>
      </c>
      <c r="D100" t="s">
        <v>1450</v>
      </c>
      <c r="E100" t="s">
        <v>1076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69">
        <v>45647.538819444446</v>
      </c>
      <c r="N100" s="69">
        <v>45652</v>
      </c>
      <c r="O100" s="69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1435</v>
      </c>
      <c r="B101" s="60" t="str">
        <f>IFERROR(VLOOKUP(Proc[[#This Row],[App]],Table2[],3,0),"open")</f>
        <v>ok</v>
      </c>
      <c r="C101" s="62" t="s">
        <v>369</v>
      </c>
      <c r="D101" t="s">
        <v>1451</v>
      </c>
      <c r="E101" t="s">
        <v>1076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69">
        <v>45647.538819444446</v>
      </c>
      <c r="N101" s="69">
        <v>45652</v>
      </c>
      <c r="O101" s="69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1435</v>
      </c>
      <c r="B102" s="60" t="str">
        <f>IFERROR(VLOOKUP(Proc[[#This Row],[App]],Table2[],3,0),"open")</f>
        <v>ok</v>
      </c>
      <c r="C102" s="62" t="s">
        <v>369</v>
      </c>
      <c r="D102" t="s">
        <v>1452</v>
      </c>
      <c r="E102" t="s">
        <v>1076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69">
        <v>45647.538819444446</v>
      </c>
      <c r="N102" s="69">
        <v>45652</v>
      </c>
      <c r="O102" s="69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1435</v>
      </c>
      <c r="B103" s="60" t="str">
        <f>IFERROR(VLOOKUP(Proc[[#This Row],[App]],Table2[],3,0),"open")</f>
        <v>ok</v>
      </c>
      <c r="C103" s="62" t="s">
        <v>369</v>
      </c>
      <c r="D103" t="s">
        <v>1453</v>
      </c>
      <c r="E103" t="s">
        <v>1076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69">
        <v>45647.538819444446</v>
      </c>
      <c r="N103" s="69">
        <v>45652</v>
      </c>
      <c r="O103" s="69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1435</v>
      </c>
      <c r="B104" s="60" t="str">
        <f>IFERROR(VLOOKUP(Proc[[#This Row],[App]],Table2[],3,0),"open")</f>
        <v>ok</v>
      </c>
      <c r="C104" s="62" t="s">
        <v>369</v>
      </c>
      <c r="D104" t="s">
        <v>1454</v>
      </c>
      <c r="E104" t="s">
        <v>1076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69">
        <v>45647.538819444446</v>
      </c>
      <c r="N104" s="69">
        <v>45652</v>
      </c>
      <c r="O104" s="69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1435</v>
      </c>
      <c r="B105" s="60" t="str">
        <f>IFERROR(VLOOKUP(Proc[[#This Row],[App]],Table2[],3,0),"open")</f>
        <v>ok</v>
      </c>
      <c r="C105" s="62" t="s">
        <v>369</v>
      </c>
      <c r="D105" t="s">
        <v>1455</v>
      </c>
      <c r="E105" t="s">
        <v>1076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69">
        <v>45647.538819444446</v>
      </c>
      <c r="N105" s="69">
        <v>45652</v>
      </c>
      <c r="O105" s="69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1458</v>
      </c>
      <c r="B106" s="60" t="str">
        <f>IFERROR(VLOOKUP(Proc[[#This Row],[App]],Table2[],3,0),"open")</f>
        <v>ok</v>
      </c>
      <c r="C106" s="62" t="s">
        <v>369</v>
      </c>
      <c r="D106" t="s">
        <v>1456</v>
      </c>
      <c r="E106" t="s">
        <v>1310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1489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69">
        <v>45646.551979166667</v>
      </c>
      <c r="N106" s="69">
        <v>45652</v>
      </c>
      <c r="O106" s="69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1113</v>
      </c>
      <c r="S106" s="60"/>
    </row>
    <row r="107" spans="1:19" hidden="1">
      <c r="A107" s="62" t="s">
        <v>1458</v>
      </c>
      <c r="B107" s="60" t="str">
        <f>IFERROR(VLOOKUP(Proc[[#This Row],[App]],Table2[],3,0),"open")</f>
        <v>ok</v>
      </c>
      <c r="C107" s="62" t="s">
        <v>369</v>
      </c>
      <c r="D107" t="s">
        <v>1457</v>
      </c>
      <c r="E107" t="s">
        <v>1311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1251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69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59</v>
      </c>
      <c r="R107" s="64" t="s">
        <v>1113</v>
      </c>
      <c r="S107" s="60"/>
    </row>
    <row r="108" spans="1:19" hidden="1">
      <c r="A108" s="62" t="s">
        <v>1458</v>
      </c>
      <c r="B108" s="60" t="str">
        <f>IFERROR(VLOOKUP(Proc[[#This Row],[App]],Table2[],3,0),"open")</f>
        <v>ok</v>
      </c>
      <c r="C108" s="62" t="s">
        <v>369</v>
      </c>
      <c r="D108" t="s">
        <v>1456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1489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69">
        <v>45646.551979166667</v>
      </c>
      <c r="N108" s="69">
        <v>45652</v>
      </c>
      <c r="O108" s="69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1113</v>
      </c>
      <c r="S108" s="60"/>
    </row>
    <row r="109" spans="1:19" hidden="1">
      <c r="A109" t="s">
        <v>1485</v>
      </c>
      <c r="B109" s="60" t="str">
        <f>IFERROR(VLOOKUP(Proc[[#This Row],[App]],Table2[],3,0),"open")</f>
        <v>ok</v>
      </c>
      <c r="C109" s="62" t="s">
        <v>369</v>
      </c>
      <c r="D109" t="s">
        <v>1459</v>
      </c>
      <c r="E109" t="s">
        <v>1460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69">
        <v>45649.394259259258</v>
      </c>
      <c r="N109" s="69">
        <v>45652</v>
      </c>
      <c r="O109" s="69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1485</v>
      </c>
      <c r="B110" s="60" t="str">
        <f>IFERROR(VLOOKUP(Proc[[#This Row],[App]],Table2[],3,0),"open")</f>
        <v>ok</v>
      </c>
      <c r="C110" s="62" t="s">
        <v>369</v>
      </c>
      <c r="D110" t="s">
        <v>1461</v>
      </c>
      <c r="E110" t="s">
        <v>1460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69">
        <v>45649.394259259258</v>
      </c>
      <c r="N110" s="69">
        <v>45652</v>
      </c>
      <c r="O110" s="69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1485</v>
      </c>
      <c r="B111" s="60" t="str">
        <f>IFERROR(VLOOKUP(Proc[[#This Row],[App]],Table2[],3,0),"open")</f>
        <v>ok</v>
      </c>
      <c r="C111" s="62" t="s">
        <v>369</v>
      </c>
      <c r="D111" t="s">
        <v>1462</v>
      </c>
      <c r="E111" t="s">
        <v>1460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69">
        <v>45649.394259259258</v>
      </c>
      <c r="N111" s="69">
        <v>45652</v>
      </c>
      <c r="O111" s="69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1485</v>
      </c>
      <c r="B112" s="60" t="str">
        <f>IFERROR(VLOOKUP(Proc[[#This Row],[App]],Table2[],3,0),"open")</f>
        <v>ok</v>
      </c>
      <c r="C112" s="62" t="s">
        <v>369</v>
      </c>
      <c r="D112" t="s">
        <v>1463</v>
      </c>
      <c r="E112" t="s">
        <v>1460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69">
        <v>45649.394259259258</v>
      </c>
      <c r="N112" s="69">
        <v>45652</v>
      </c>
      <c r="O112" s="69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1485</v>
      </c>
      <c r="B113" s="60" t="str">
        <f>IFERROR(VLOOKUP(Proc[[#This Row],[App]],Table2[],3,0),"open")</f>
        <v>ok</v>
      </c>
      <c r="C113" s="62" t="s">
        <v>369</v>
      </c>
      <c r="D113" t="s">
        <v>1464</v>
      </c>
      <c r="E113" t="s">
        <v>1460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69">
        <v>45649.394259259258</v>
      </c>
      <c r="N113" s="69">
        <v>45652</v>
      </c>
      <c r="O113" s="69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1485</v>
      </c>
      <c r="B114" s="60" t="str">
        <f>IFERROR(VLOOKUP(Proc[[#This Row],[App]],Table2[],3,0),"open")</f>
        <v>ok</v>
      </c>
      <c r="C114" s="62" t="s">
        <v>369</v>
      </c>
      <c r="D114" t="s">
        <v>1465</v>
      </c>
      <c r="E114" t="s">
        <v>1460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69">
        <v>45649.394259259258</v>
      </c>
      <c r="N114" s="69">
        <v>45652</v>
      </c>
      <c r="O114" s="69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1485</v>
      </c>
      <c r="B115" s="60" t="str">
        <f>IFERROR(VLOOKUP(Proc[[#This Row],[App]],Table2[],3,0),"open")</f>
        <v>ok</v>
      </c>
      <c r="C115" s="62" t="s">
        <v>369</v>
      </c>
      <c r="D115" t="s">
        <v>1466</v>
      </c>
      <c r="E115" t="s">
        <v>1460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69">
        <v>45649.394259259258</v>
      </c>
      <c r="N115" s="69">
        <v>45652</v>
      </c>
      <c r="O115" s="69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1485</v>
      </c>
      <c r="B116" s="60" t="str">
        <f>IFERROR(VLOOKUP(Proc[[#This Row],[App]],Table2[],3,0),"open")</f>
        <v>ok</v>
      </c>
      <c r="C116" s="62" t="s">
        <v>369</v>
      </c>
      <c r="D116" t="s">
        <v>1467</v>
      </c>
      <c r="E116" t="s">
        <v>1460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69">
        <v>45649.394259259258</v>
      </c>
      <c r="N116" s="69">
        <v>45652</v>
      </c>
      <c r="O116" s="69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1485</v>
      </c>
      <c r="B117" s="60" t="str">
        <f>IFERROR(VLOOKUP(Proc[[#This Row],[App]],Table2[],3,0),"open")</f>
        <v>ok</v>
      </c>
      <c r="C117" s="62" t="s">
        <v>369</v>
      </c>
      <c r="D117" t="s">
        <v>1468</v>
      </c>
      <c r="E117" t="s">
        <v>1460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69">
        <v>45649.394259259258</v>
      </c>
      <c r="N117" s="69">
        <v>45652</v>
      </c>
      <c r="O117" s="69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1485</v>
      </c>
      <c r="B118" s="60" t="str">
        <f>IFERROR(VLOOKUP(Proc[[#This Row],[App]],Table2[],3,0),"open")</f>
        <v>ok</v>
      </c>
      <c r="C118" s="62" t="s">
        <v>369</v>
      </c>
      <c r="D118" t="s">
        <v>1469</v>
      </c>
      <c r="E118" t="s">
        <v>1460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69">
        <v>45649.394259259258</v>
      </c>
      <c r="N118" s="69">
        <v>45652</v>
      </c>
      <c r="O118" s="69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1485</v>
      </c>
      <c r="B119" s="60" t="str">
        <f>IFERROR(VLOOKUP(Proc[[#This Row],[App]],Table2[],3,0),"open")</f>
        <v>ok</v>
      </c>
      <c r="C119" s="62" t="s">
        <v>369</v>
      </c>
      <c r="D119" t="s">
        <v>1470</v>
      </c>
      <c r="E119" t="s">
        <v>1460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69">
        <v>45649.394259259258</v>
      </c>
      <c r="N119" s="69">
        <v>45652</v>
      </c>
      <c r="O119" s="69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1485</v>
      </c>
      <c r="B120" s="60" t="str">
        <f>IFERROR(VLOOKUP(Proc[[#This Row],[App]],Table2[],3,0),"open")</f>
        <v>ok</v>
      </c>
      <c r="C120" s="62" t="s">
        <v>369</v>
      </c>
      <c r="D120" t="s">
        <v>1471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69">
        <v>45649.394259259258</v>
      </c>
      <c r="N120" s="69">
        <v>45652</v>
      </c>
      <c r="O120" s="69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1485</v>
      </c>
      <c r="B121" s="60" t="str">
        <f>IFERROR(VLOOKUP(Proc[[#This Row],[App]],Table2[],3,0),"open")</f>
        <v>ok</v>
      </c>
      <c r="C121" s="62" t="s">
        <v>369</v>
      </c>
      <c r="D121" t="s">
        <v>1472</v>
      </c>
      <c r="E121" t="s">
        <v>1473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69">
        <v>45649.394259259258</v>
      </c>
      <c r="N121" s="69">
        <v>45652</v>
      </c>
      <c r="O121" s="69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1485</v>
      </c>
      <c r="B122" s="60" t="str">
        <f>IFERROR(VLOOKUP(Proc[[#This Row],[App]],Table2[],3,0),"open")</f>
        <v>ok</v>
      </c>
      <c r="C122" s="62" t="s">
        <v>369</v>
      </c>
      <c r="D122" t="s">
        <v>1474</v>
      </c>
      <c r="E122" t="s">
        <v>1473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69">
        <v>45649.394259259258</v>
      </c>
      <c r="N122" s="69">
        <v>45652</v>
      </c>
      <c r="O122" s="69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1485</v>
      </c>
      <c r="B123" s="60" t="str">
        <f>IFERROR(VLOOKUP(Proc[[#This Row],[App]],Table2[],3,0),"open")</f>
        <v>ok</v>
      </c>
      <c r="C123" s="62" t="s">
        <v>369</v>
      </c>
      <c r="D123" t="s">
        <v>1475</v>
      </c>
      <c r="E123" t="s">
        <v>1473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69">
        <v>45649.394259259258</v>
      </c>
      <c r="N123" s="69">
        <v>45652</v>
      </c>
      <c r="O123" s="69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1485</v>
      </c>
      <c r="B124" s="60" t="str">
        <f>IFERROR(VLOOKUP(Proc[[#This Row],[App]],Table2[],3,0),"open")</f>
        <v>ok</v>
      </c>
      <c r="C124" s="62" t="s">
        <v>369</v>
      </c>
      <c r="D124" t="s">
        <v>1476</v>
      </c>
      <c r="E124" t="s">
        <v>1473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69">
        <v>45649.394259259258</v>
      </c>
      <c r="N124" s="69">
        <v>45652</v>
      </c>
      <c r="O124" s="69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1485</v>
      </c>
      <c r="B125" s="60" t="str">
        <f>IFERROR(VLOOKUP(Proc[[#This Row],[App]],Table2[],3,0),"open")</f>
        <v>ok</v>
      </c>
      <c r="C125" s="62" t="s">
        <v>369</v>
      </c>
      <c r="D125" t="s">
        <v>1477</v>
      </c>
      <c r="E125" t="s">
        <v>1478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69">
        <v>45649.394259259258</v>
      </c>
      <c r="N125" s="69">
        <v>45652</v>
      </c>
      <c r="O125" s="69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1485</v>
      </c>
      <c r="B126" s="60" t="str">
        <f>IFERROR(VLOOKUP(Proc[[#This Row],[App]],Table2[],3,0),"open")</f>
        <v>ok</v>
      </c>
      <c r="C126" s="62" t="s">
        <v>369</v>
      </c>
      <c r="D126" t="s">
        <v>1479</v>
      </c>
      <c r="E126" t="s">
        <v>1480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69">
        <v>45649.394259259258</v>
      </c>
      <c r="N126" s="69">
        <v>45652</v>
      </c>
      <c r="O126" s="69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1485</v>
      </c>
      <c r="B127" s="60" t="str">
        <f>IFERROR(VLOOKUP(Proc[[#This Row],[App]],Table2[],3,0),"open")</f>
        <v>ok</v>
      </c>
      <c r="C127" s="62" t="s">
        <v>369</v>
      </c>
      <c r="D127" t="s">
        <v>1481</v>
      </c>
      <c r="E127" t="s">
        <v>1480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69">
        <v>45649.394259259258</v>
      </c>
      <c r="N127" s="69">
        <v>45652</v>
      </c>
      <c r="O127" s="69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1485</v>
      </c>
      <c r="B128" s="60" t="str">
        <f>IFERROR(VLOOKUP(Proc[[#This Row],[App]],Table2[],3,0),"open")</f>
        <v>ok</v>
      </c>
      <c r="C128" s="62" t="s">
        <v>369</v>
      </c>
      <c r="D128" t="s">
        <v>1482</v>
      </c>
      <c r="E128" t="s">
        <v>1291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69">
        <v>45649.394259259258</v>
      </c>
      <c r="N128" s="69">
        <v>45652</v>
      </c>
      <c r="O128" s="69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1485</v>
      </c>
      <c r="B129" s="60" t="str">
        <f>IFERROR(VLOOKUP(Proc[[#This Row],[App]],Table2[],3,0),"open")</f>
        <v>ok</v>
      </c>
      <c r="C129" s="62" t="s">
        <v>369</v>
      </c>
      <c r="D129" t="s">
        <v>1483</v>
      </c>
      <c r="E129" t="s">
        <v>1484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69">
        <v>45649.394259259258</v>
      </c>
      <c r="N129" s="69">
        <v>45652</v>
      </c>
      <c r="O129" s="69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1488</v>
      </c>
      <c r="B130" s="60" t="str">
        <f>IFERROR(VLOOKUP(Proc[[#This Row],[App]],Table2[],3,0),"open")</f>
        <v>ok</v>
      </c>
      <c r="C130" s="62" t="s">
        <v>369</v>
      </c>
      <c r="D130" t="s">
        <v>1486</v>
      </c>
      <c r="E130" t="s">
        <v>763</v>
      </c>
      <c r="F130" s="60" t="s">
        <v>1140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69">
        <v>45649.402777777781</v>
      </c>
      <c r="N130" s="69">
        <v>45652</v>
      </c>
      <c r="O130" s="69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1113</v>
      </c>
      <c r="S130" s="60"/>
    </row>
    <row r="131" spans="1:19" hidden="1">
      <c r="A131" t="s">
        <v>1488</v>
      </c>
      <c r="B131" s="60" t="str">
        <f>IFERROR(VLOOKUP(Proc[[#This Row],[App]],Table2[],3,0),"open")</f>
        <v>ok</v>
      </c>
      <c r="C131" s="62" t="s">
        <v>369</v>
      </c>
      <c r="D131" t="s">
        <v>1487</v>
      </c>
      <c r="E131" t="s">
        <v>763</v>
      </c>
      <c r="F131" s="60" t="s">
        <v>1140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69">
        <v>45649.402777777781</v>
      </c>
      <c r="N131" s="69">
        <v>45652</v>
      </c>
      <c r="O131" s="69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1113</v>
      </c>
      <c r="S131" s="60"/>
    </row>
    <row r="132" spans="1:19" hidden="1">
      <c r="A132" t="s">
        <v>1520</v>
      </c>
      <c r="B132" s="60" t="str">
        <f>IFERROR(VLOOKUP(Proc[[#This Row],[App]],Table2[],3,0),"open")</f>
        <v>ok</v>
      </c>
      <c r="C132" t="s">
        <v>369</v>
      </c>
      <c r="D132" s="45" t="s">
        <v>1491</v>
      </c>
      <c r="E132" s="45" t="s">
        <v>802</v>
      </c>
      <c r="F132" s="60" t="s">
        <v>1521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69">
        <v>45652.450636574074</v>
      </c>
      <c r="N132" s="69">
        <v>45659</v>
      </c>
      <c r="O132" s="69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1520</v>
      </c>
      <c r="B133" s="60" t="str">
        <f>IFERROR(VLOOKUP(Proc[[#This Row],[App]],Table2[],3,0),"open")</f>
        <v>ok</v>
      </c>
      <c r="C133" s="62" t="s">
        <v>369</v>
      </c>
      <c r="D133" s="45" t="s">
        <v>1492</v>
      </c>
      <c r="E133" s="45" t="s">
        <v>802</v>
      </c>
      <c r="F133" s="60" t="s">
        <v>1317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69">
        <v>45652.450636574074</v>
      </c>
      <c r="N133" s="69">
        <v>45659</v>
      </c>
      <c r="O133" s="69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1520</v>
      </c>
      <c r="B134" s="60" t="str">
        <f>IFERROR(VLOOKUP(Proc[[#This Row],[App]],Table2[],3,0),"open")</f>
        <v>ok</v>
      </c>
      <c r="C134" s="62" t="s">
        <v>369</v>
      </c>
      <c r="D134" s="45" t="s">
        <v>1493</v>
      </c>
      <c r="E134" s="45" t="s">
        <v>548</v>
      </c>
      <c r="F134" s="60" t="s">
        <v>1318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69">
        <v>45652.450636574074</v>
      </c>
      <c r="N134" s="69">
        <v>45659</v>
      </c>
      <c r="O134" s="69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1520</v>
      </c>
      <c r="B135" s="60" t="str">
        <f>IFERROR(VLOOKUP(Proc[[#This Row],[App]],Table2[],3,0),"open")</f>
        <v>ok</v>
      </c>
      <c r="C135" s="62" t="s">
        <v>369</v>
      </c>
      <c r="D135" s="45" t="s">
        <v>1494</v>
      </c>
      <c r="E135" s="45" t="s">
        <v>573</v>
      </c>
      <c r="F135" s="60" t="s">
        <v>1089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69">
        <v>45652.450636574074</v>
      </c>
      <c r="N135" s="69">
        <v>45659</v>
      </c>
      <c r="O135" s="69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1520</v>
      </c>
      <c r="B136" s="60" t="str">
        <f>IFERROR(VLOOKUP(Proc[[#This Row],[App]],Table2[],3,0),"open")</f>
        <v>ok</v>
      </c>
      <c r="C136" s="62" t="s">
        <v>369</v>
      </c>
      <c r="D136" s="45" t="s">
        <v>1495</v>
      </c>
      <c r="E136" s="45" t="s">
        <v>573</v>
      </c>
      <c r="F136" s="60" t="s">
        <v>1089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69">
        <v>45652.450636574074</v>
      </c>
      <c r="N136" s="69">
        <v>45659</v>
      </c>
      <c r="O136" s="69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1520</v>
      </c>
      <c r="B137" s="60" t="str">
        <f>IFERROR(VLOOKUP(Proc[[#This Row],[App]],Table2[],3,0),"open")</f>
        <v>ok</v>
      </c>
      <c r="C137" s="62" t="s">
        <v>369</v>
      </c>
      <c r="D137" s="45" t="s">
        <v>1496</v>
      </c>
      <c r="E137" s="45" t="s">
        <v>1497</v>
      </c>
      <c r="F137" s="60" t="s">
        <v>1089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69">
        <v>45652.450636574074</v>
      </c>
      <c r="N137" s="69">
        <v>45659</v>
      </c>
      <c r="O137" s="69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1520</v>
      </c>
      <c r="B138" s="60" t="str">
        <f>IFERROR(VLOOKUP(Proc[[#This Row],[App]],Table2[],3,0),"open")</f>
        <v>ok</v>
      </c>
      <c r="C138" s="62" t="s">
        <v>369</v>
      </c>
      <c r="D138" s="45" t="s">
        <v>1498</v>
      </c>
      <c r="E138" s="45" t="s">
        <v>1128</v>
      </c>
      <c r="F138" s="60" t="s">
        <v>1089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69">
        <v>45652.450636574074</v>
      </c>
      <c r="N138" s="69">
        <v>45659</v>
      </c>
      <c r="O138" s="69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1520</v>
      </c>
      <c r="B139" s="60" t="str">
        <f>IFERROR(VLOOKUP(Proc[[#This Row],[App]],Table2[],3,0),"open")</f>
        <v>ok</v>
      </c>
      <c r="C139" s="62" t="s">
        <v>369</v>
      </c>
      <c r="D139" s="45" t="s">
        <v>1499</v>
      </c>
      <c r="E139" s="45" t="s">
        <v>1500</v>
      </c>
      <c r="F139" s="60" t="s">
        <v>1522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69">
        <v>45652.450636574074</v>
      </c>
      <c r="N139" s="69">
        <v>45659</v>
      </c>
      <c r="O139" s="69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1520</v>
      </c>
      <c r="B140" s="60" t="str">
        <f>IFERROR(VLOOKUP(Proc[[#This Row],[App]],Table2[],3,0),"open")</f>
        <v>ok</v>
      </c>
      <c r="C140" s="62" t="s">
        <v>369</v>
      </c>
      <c r="D140" s="45" t="s">
        <v>1501</v>
      </c>
      <c r="E140" s="45" t="s">
        <v>1502</v>
      </c>
      <c r="F140" s="60" t="s">
        <v>1229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69">
        <v>45652.450636574074</v>
      </c>
      <c r="N140" s="69">
        <v>45659</v>
      </c>
      <c r="O140" s="69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1520</v>
      </c>
      <c r="B141" s="60" t="str">
        <f>IFERROR(VLOOKUP(Proc[[#This Row],[App]],Table2[],3,0),"open")</f>
        <v>ok</v>
      </c>
      <c r="C141" s="62" t="s">
        <v>369</v>
      </c>
      <c r="D141" s="45" t="s">
        <v>1503</v>
      </c>
      <c r="E141" s="45" t="s">
        <v>1502</v>
      </c>
      <c r="F141" s="60" t="s">
        <v>1229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69">
        <v>45652.450636574074</v>
      </c>
      <c r="N141" s="69">
        <v>45659</v>
      </c>
      <c r="O141" s="69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1520</v>
      </c>
      <c r="B142" s="60" t="str">
        <f>IFERROR(VLOOKUP(Proc[[#This Row],[App]],Table2[],3,0),"open")</f>
        <v>ok</v>
      </c>
      <c r="C142" s="62" t="s">
        <v>369</v>
      </c>
      <c r="D142" s="45" t="s">
        <v>1504</v>
      </c>
      <c r="E142" s="45" t="s">
        <v>548</v>
      </c>
      <c r="F142" s="60" t="s">
        <v>1089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69">
        <v>45652.450636574074</v>
      </c>
      <c r="N142" s="69">
        <v>45659</v>
      </c>
      <c r="O142" s="69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1520</v>
      </c>
      <c r="B143" s="60" t="str">
        <f>IFERROR(VLOOKUP(Proc[[#This Row],[App]],Table2[],3,0),"open")</f>
        <v>ok</v>
      </c>
      <c r="C143" s="62" t="s">
        <v>369</v>
      </c>
      <c r="D143" s="45" t="s">
        <v>1505</v>
      </c>
      <c r="E143" s="45" t="s">
        <v>572</v>
      </c>
      <c r="F143" s="60" t="s">
        <v>1089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69">
        <v>45652.450636574074</v>
      </c>
      <c r="N143" s="69">
        <v>45659</v>
      </c>
      <c r="O143" s="69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1520</v>
      </c>
      <c r="B144" s="60" t="str">
        <f>IFERROR(VLOOKUP(Proc[[#This Row],[App]],Table2[],3,0),"open")</f>
        <v>ok</v>
      </c>
      <c r="C144" s="62" t="s">
        <v>369</v>
      </c>
      <c r="D144" s="45" t="s">
        <v>1506</v>
      </c>
      <c r="E144" s="45" t="s">
        <v>548</v>
      </c>
      <c r="F144" s="60" t="s">
        <v>1089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69">
        <v>45652.450636574074</v>
      </c>
      <c r="N144" s="69">
        <v>45659</v>
      </c>
      <c r="O144" s="69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1520</v>
      </c>
      <c r="B145" s="60" t="str">
        <f>IFERROR(VLOOKUP(Proc[[#This Row],[App]],Table2[],3,0),"open")</f>
        <v>ok</v>
      </c>
      <c r="C145" s="62" t="s">
        <v>369</v>
      </c>
      <c r="D145" s="45" t="s">
        <v>1507</v>
      </c>
      <c r="E145" s="45" t="s">
        <v>548</v>
      </c>
      <c r="F145" s="60" t="s">
        <v>1088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69">
        <v>45652.450636574074</v>
      </c>
      <c r="N145" s="69">
        <v>45659</v>
      </c>
      <c r="O145" s="69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1520</v>
      </c>
      <c r="B146" s="60" t="str">
        <f>IFERROR(VLOOKUP(Proc[[#This Row],[App]],Table2[],3,0),"open")</f>
        <v>ok</v>
      </c>
      <c r="C146" s="62" t="s">
        <v>369</v>
      </c>
      <c r="D146" s="45" t="s">
        <v>1508</v>
      </c>
      <c r="E146" s="45" t="s">
        <v>548</v>
      </c>
      <c r="F146" s="60" t="s">
        <v>1088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69">
        <v>45652.450636574074</v>
      </c>
      <c r="N146" s="69">
        <v>45659</v>
      </c>
      <c r="O146" s="69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1520</v>
      </c>
      <c r="B147" s="60" t="str">
        <f>IFERROR(VLOOKUP(Proc[[#This Row],[App]],Table2[],3,0),"open")</f>
        <v>ok</v>
      </c>
      <c r="C147" s="62" t="s">
        <v>369</v>
      </c>
      <c r="D147" s="45" t="s">
        <v>1509</v>
      </c>
      <c r="E147" s="45" t="s">
        <v>592</v>
      </c>
      <c r="F147" s="60" t="s">
        <v>1089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69">
        <v>45652.450636574074</v>
      </c>
      <c r="N147" s="69">
        <v>45659</v>
      </c>
      <c r="O147" s="69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1520</v>
      </c>
      <c r="B148" s="60" t="str">
        <f>IFERROR(VLOOKUP(Proc[[#This Row],[App]],Table2[],3,0),"open")</f>
        <v>ok</v>
      </c>
      <c r="C148" s="62" t="s">
        <v>369</v>
      </c>
      <c r="D148" s="45" t="s">
        <v>1510</v>
      </c>
      <c r="E148" s="45" t="s">
        <v>548</v>
      </c>
      <c r="F148" s="60" t="s">
        <v>1152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69">
        <v>45652.450636574074</v>
      </c>
      <c r="N148" s="69">
        <v>45659</v>
      </c>
      <c r="O148" s="69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1520</v>
      </c>
      <c r="B149" s="60" t="str">
        <f>IFERROR(VLOOKUP(Proc[[#This Row],[App]],Table2[],3,0),"open")</f>
        <v>ok</v>
      </c>
      <c r="C149" s="62" t="s">
        <v>369</v>
      </c>
      <c r="D149" s="62" t="s">
        <v>1511</v>
      </c>
      <c r="E149" s="62" t="s">
        <v>548</v>
      </c>
      <c r="F149" s="60" t="s">
        <v>1152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69">
        <v>45652.450636574074</v>
      </c>
      <c r="N149" s="69">
        <v>45659</v>
      </c>
      <c r="O149" s="69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1520</v>
      </c>
      <c r="B150" s="60" t="str">
        <f>IFERROR(VLOOKUP(Proc[[#This Row],[App]],Table2[],3,0),"open")</f>
        <v>ok</v>
      </c>
      <c r="C150" s="62" t="s">
        <v>369</v>
      </c>
      <c r="D150" s="62" t="s">
        <v>1512</v>
      </c>
      <c r="E150" s="62" t="s">
        <v>548</v>
      </c>
      <c r="F150" s="60" t="s">
        <v>1153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69">
        <v>45652.450636574074</v>
      </c>
      <c r="N150" s="69">
        <v>45659</v>
      </c>
      <c r="O150" s="69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1520</v>
      </c>
      <c r="B151" s="60" t="str">
        <f>IFERROR(VLOOKUP(Proc[[#This Row],[App]],Table2[],3,0),"open")</f>
        <v>ok</v>
      </c>
      <c r="C151" s="62" t="s">
        <v>369</v>
      </c>
      <c r="D151" s="62" t="s">
        <v>1513</v>
      </c>
      <c r="E151" s="62" t="s">
        <v>548</v>
      </c>
      <c r="F151" s="60" t="s">
        <v>1089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69">
        <v>45652.450636574074</v>
      </c>
      <c r="N151" s="69">
        <v>45659</v>
      </c>
      <c r="O151" s="69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1520</v>
      </c>
      <c r="B152" s="60" t="str">
        <f>IFERROR(VLOOKUP(Proc[[#This Row],[App]],Table2[],3,0),"open")</f>
        <v>ok</v>
      </c>
      <c r="C152" s="62" t="s">
        <v>369</v>
      </c>
      <c r="D152" s="62" t="s">
        <v>1514</v>
      </c>
      <c r="E152" s="62" t="s">
        <v>548</v>
      </c>
      <c r="F152" s="60" t="s">
        <v>1089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69">
        <v>45652.450636574074</v>
      </c>
      <c r="N152" s="69">
        <v>45659</v>
      </c>
      <c r="O152" s="69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1520</v>
      </c>
      <c r="B153" s="60" t="str">
        <f>IFERROR(VLOOKUP(Proc[[#This Row],[App]],Table2[],3,0),"open")</f>
        <v>ok</v>
      </c>
      <c r="C153" s="62" t="s">
        <v>369</v>
      </c>
      <c r="D153" s="62" t="s">
        <v>1515</v>
      </c>
      <c r="E153" s="62" t="s">
        <v>1516</v>
      </c>
      <c r="F153" s="60" t="s">
        <v>1319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69">
        <v>45652.450636574074</v>
      </c>
      <c r="N153" s="69">
        <v>45659</v>
      </c>
      <c r="O153" s="69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1520</v>
      </c>
      <c r="B154" s="60" t="str">
        <f>IFERROR(VLOOKUP(Proc[[#This Row],[App]],Table2[],3,0),"open")</f>
        <v>ok</v>
      </c>
      <c r="C154" s="62" t="s">
        <v>369</v>
      </c>
      <c r="D154" s="62" t="s">
        <v>1517</v>
      </c>
      <c r="E154" s="62" t="s">
        <v>548</v>
      </c>
      <c r="F154" s="60" t="s">
        <v>1523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69">
        <v>45652.450636574074</v>
      </c>
      <c r="N154" s="69">
        <v>45659</v>
      </c>
      <c r="O154" s="69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1520</v>
      </c>
      <c r="B155" s="60" t="str">
        <f>IFERROR(VLOOKUP(Proc[[#This Row],[App]],Table2[],3,0),"open")</f>
        <v>ok</v>
      </c>
      <c r="C155" s="62" t="s">
        <v>369</v>
      </c>
      <c r="D155" s="62" t="s">
        <v>1518</v>
      </c>
      <c r="E155" s="62" t="s">
        <v>548</v>
      </c>
      <c r="F155" s="60" t="s">
        <v>1523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69">
        <v>45652.450636574074</v>
      </c>
      <c r="N155" s="69">
        <v>45659</v>
      </c>
      <c r="O155" s="69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1520</v>
      </c>
      <c r="B156" s="60" t="str">
        <f>IFERROR(VLOOKUP(Proc[[#This Row],[App]],Table2[],3,0),"open")</f>
        <v>ok</v>
      </c>
      <c r="C156" s="62" t="s">
        <v>369</v>
      </c>
      <c r="D156" s="62" t="s">
        <v>1519</v>
      </c>
      <c r="E156" s="62" t="s">
        <v>548</v>
      </c>
      <c r="F156" s="60" t="s">
        <v>1089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69">
        <v>45652.450636574074</v>
      </c>
      <c r="N156" s="69">
        <v>45659</v>
      </c>
      <c r="O156" s="69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1526</v>
      </c>
      <c r="B157" s="60" t="str">
        <f>IFERROR(VLOOKUP(Proc[[#This Row],[App]],Table2[],3,0),"open")</f>
        <v>ok</v>
      </c>
      <c r="C157" s="62" t="s">
        <v>369</v>
      </c>
      <c r="D157" t="s">
        <v>1524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1565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69">
        <v>45659.374143518522</v>
      </c>
      <c r="N157" s="69">
        <v>45671</v>
      </c>
      <c r="O157" s="69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1526</v>
      </c>
      <c r="B158" s="60" t="str">
        <f>IFERROR(VLOOKUP(Proc[[#This Row],[App]],Table2[],3,0),"open")</f>
        <v>ok</v>
      </c>
      <c r="C158" s="62" t="s">
        <v>369</v>
      </c>
      <c r="D158" t="s">
        <v>1525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1565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69">
        <v>45659.374143518522</v>
      </c>
      <c r="N158" s="69">
        <v>45671</v>
      </c>
      <c r="O158" s="69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1527</v>
      </c>
      <c r="B159" s="60" t="str">
        <f>IFERROR(VLOOKUP(Proc[[#This Row],[App]],Table2[],3,0),"open")</f>
        <v>ok</v>
      </c>
      <c r="C159" s="62" t="s">
        <v>369</v>
      </c>
      <c r="D159" t="s">
        <v>1456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1565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69">
        <v>45660.525243055556</v>
      </c>
      <c r="N159" s="69">
        <v>45671</v>
      </c>
      <c r="O159" s="69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1113</v>
      </c>
      <c r="S159" s="60"/>
    </row>
    <row r="160" spans="1:19" hidden="1">
      <c r="A160" t="s">
        <v>1532</v>
      </c>
      <c r="B160" s="60" t="str">
        <f>IFERROR(VLOOKUP(Proc[[#This Row],[App]],Table2[],3,0),"open")</f>
        <v>ok</v>
      </c>
      <c r="C160" s="62" t="s">
        <v>369</v>
      </c>
      <c r="D160" t="s">
        <v>1528</v>
      </c>
      <c r="E160" t="s">
        <v>1530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1565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69">
        <v>45663.631412037037</v>
      </c>
      <c r="N160" s="69">
        <v>45671</v>
      </c>
      <c r="O160" s="69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1531</v>
      </c>
      <c r="S160" s="60"/>
    </row>
    <row r="161" spans="1:19" hidden="1">
      <c r="A161" s="62" t="s">
        <v>1532</v>
      </c>
      <c r="B161" s="60" t="str">
        <f>IFERROR(VLOOKUP(Proc[[#This Row],[App]],Table2[],3,0),"open")</f>
        <v>ok</v>
      </c>
      <c r="C161" s="62" t="s">
        <v>369</v>
      </c>
      <c r="D161" t="s">
        <v>1529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69">
        <v>45663.631412037037</v>
      </c>
      <c r="N161" s="69">
        <v>45671</v>
      </c>
      <c r="O161" s="69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1531</v>
      </c>
      <c r="S161" s="60"/>
    </row>
    <row r="162" spans="1:19" hidden="1">
      <c r="A162" t="s">
        <v>1533</v>
      </c>
      <c r="B162" s="60" t="str">
        <f>IFERROR(VLOOKUP(Proc[[#This Row],[App]],Table2[],3,0),"open")</f>
        <v>ok</v>
      </c>
      <c r="C162" s="62" t="s">
        <v>369</v>
      </c>
      <c r="D162" t="s">
        <v>1534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1565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69">
        <v>45663.702314814815</v>
      </c>
      <c r="N162" s="69">
        <v>45671</v>
      </c>
      <c r="O162" s="69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1531</v>
      </c>
      <c r="S162" s="60"/>
    </row>
    <row r="163" spans="1:19" hidden="1">
      <c r="A163" s="62" t="s">
        <v>1533</v>
      </c>
      <c r="B163" s="60" t="str">
        <f>IFERROR(VLOOKUP(Proc[[#This Row],[App]],Table2[],3,0),"open")</f>
        <v>ok</v>
      </c>
      <c r="C163" s="62" t="s">
        <v>369</v>
      </c>
      <c r="D163" t="s">
        <v>1535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1565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69">
        <v>45663.702314814815</v>
      </c>
      <c r="N163" s="69">
        <v>45671</v>
      </c>
      <c r="O163" s="69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1531</v>
      </c>
      <c r="S163" s="60"/>
    </row>
    <row r="164" spans="1:19" hidden="1">
      <c r="A164" t="s">
        <v>1556</v>
      </c>
      <c r="B164" s="60" t="str">
        <f>IFERROR(VLOOKUP(Proc[[#This Row],[App]],Table2[],3,0),"open")</f>
        <v>ok</v>
      </c>
      <c r="C164" s="62" t="s">
        <v>369</v>
      </c>
      <c r="D164" t="s">
        <v>1536</v>
      </c>
      <c r="E164" t="s">
        <v>1052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1565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69">
        <v>45664.540486111109</v>
      </c>
      <c r="N164" s="69">
        <v>45671</v>
      </c>
      <c r="O164" s="69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1556</v>
      </c>
      <c r="B165" s="60" t="str">
        <f>IFERROR(VLOOKUP(Proc[[#This Row],[App]],Table2[],3,0),"open")</f>
        <v>ok</v>
      </c>
      <c r="C165" s="62" t="s">
        <v>369</v>
      </c>
      <c r="D165" t="s">
        <v>1537</v>
      </c>
      <c r="E165" t="s">
        <v>1053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1565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69">
        <v>45664.540486111109</v>
      </c>
      <c r="N165" s="69">
        <v>45671</v>
      </c>
      <c r="O165" s="69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1556</v>
      </c>
      <c r="B166" s="60" t="str">
        <f>IFERROR(VLOOKUP(Proc[[#This Row],[App]],Table2[],3,0),"open")</f>
        <v>ok</v>
      </c>
      <c r="C166" s="62" t="s">
        <v>369</v>
      </c>
      <c r="D166" t="s">
        <v>1538</v>
      </c>
      <c r="E166" t="s">
        <v>1054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1565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69">
        <v>45664.540486111109</v>
      </c>
      <c r="N166" s="69">
        <v>45671</v>
      </c>
      <c r="O166" s="69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1556</v>
      </c>
      <c r="B167" s="60" t="str">
        <f>IFERROR(VLOOKUP(Proc[[#This Row],[App]],Table2[],3,0),"open")</f>
        <v>ok</v>
      </c>
      <c r="C167" s="62" t="s">
        <v>369</v>
      </c>
      <c r="D167" t="s">
        <v>1539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1565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69">
        <v>45664.540486111109</v>
      </c>
      <c r="N167" s="69">
        <v>45671</v>
      </c>
      <c r="O167" s="69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1556</v>
      </c>
      <c r="B168" s="60" t="str">
        <f>IFERROR(VLOOKUP(Proc[[#This Row],[App]],Table2[],3,0),"open")</f>
        <v>ok</v>
      </c>
      <c r="C168" s="62" t="s">
        <v>369</v>
      </c>
      <c r="D168" t="s">
        <v>1540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1565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69">
        <v>45664.540486111109</v>
      </c>
      <c r="N168" s="69">
        <v>45671</v>
      </c>
      <c r="O168" s="69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1556</v>
      </c>
      <c r="B169" s="60" t="str">
        <f>IFERROR(VLOOKUP(Proc[[#This Row],[App]],Table2[],3,0),"open")</f>
        <v>ok</v>
      </c>
      <c r="C169" s="62" t="s">
        <v>369</v>
      </c>
      <c r="D169" t="s">
        <v>1541</v>
      </c>
      <c r="E169" t="s">
        <v>1055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1565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69">
        <v>45664.540486111109</v>
      </c>
      <c r="N169" s="69">
        <v>45671</v>
      </c>
      <c r="O169" s="69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1556</v>
      </c>
      <c r="B170" s="60" t="str">
        <f>IFERROR(VLOOKUP(Proc[[#This Row],[App]],Table2[],3,0),"open")</f>
        <v>ok</v>
      </c>
      <c r="C170" s="62" t="s">
        <v>369</v>
      </c>
      <c r="D170" t="s">
        <v>1542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1565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69">
        <v>45664.540486111109</v>
      </c>
      <c r="N170" s="69">
        <v>45671</v>
      </c>
      <c r="O170" s="69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1556</v>
      </c>
      <c r="B171" s="60" t="str">
        <f>IFERROR(VLOOKUP(Proc[[#This Row],[App]],Table2[],3,0),"open")</f>
        <v>ok</v>
      </c>
      <c r="C171" s="62" t="s">
        <v>369</v>
      </c>
      <c r="D171" t="s">
        <v>1543</v>
      </c>
      <c r="E171" t="s">
        <v>1056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1565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69">
        <v>45664.540486111109</v>
      </c>
      <c r="N171" s="69">
        <v>45671</v>
      </c>
      <c r="O171" s="69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1556</v>
      </c>
      <c r="B172" s="60" t="str">
        <f>IFERROR(VLOOKUP(Proc[[#This Row],[App]],Table2[],3,0),"open")</f>
        <v>ok</v>
      </c>
      <c r="C172" s="62" t="s">
        <v>369</v>
      </c>
      <c r="D172" t="s">
        <v>1544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1565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69">
        <v>45664.540486111109</v>
      </c>
      <c r="N172" s="69">
        <v>45671</v>
      </c>
      <c r="O172" s="69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1556</v>
      </c>
      <c r="B173" s="60" t="str">
        <f>IFERROR(VLOOKUP(Proc[[#This Row],[App]],Table2[],3,0),"open")</f>
        <v>ok</v>
      </c>
      <c r="C173" s="62" t="s">
        <v>369</v>
      </c>
      <c r="D173" t="s">
        <v>1545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1565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69">
        <v>45664.540486111109</v>
      </c>
      <c r="N173" s="69">
        <v>45671</v>
      </c>
      <c r="O173" s="69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1556</v>
      </c>
      <c r="B174" s="60" t="str">
        <f>IFERROR(VLOOKUP(Proc[[#This Row],[App]],Table2[],3,0),"open")</f>
        <v>ok</v>
      </c>
      <c r="C174" s="62" t="s">
        <v>369</v>
      </c>
      <c r="D174" t="s">
        <v>1546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1565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69">
        <v>45664.540486111109</v>
      </c>
      <c r="N174" s="69">
        <v>45671</v>
      </c>
      <c r="O174" s="69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1556</v>
      </c>
      <c r="B175" s="60" t="str">
        <f>IFERROR(VLOOKUP(Proc[[#This Row],[App]],Table2[],3,0),"open")</f>
        <v>ok</v>
      </c>
      <c r="C175" s="62" t="s">
        <v>369</v>
      </c>
      <c r="D175" t="s">
        <v>1547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1565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69">
        <v>45664.540486111109</v>
      </c>
      <c r="N175" s="69">
        <v>45671</v>
      </c>
      <c r="O175" s="69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1556</v>
      </c>
      <c r="B176" s="60" t="str">
        <f>IFERROR(VLOOKUP(Proc[[#This Row],[App]],Table2[],3,0),"open")</f>
        <v>ok</v>
      </c>
      <c r="C176" s="62" t="s">
        <v>369</v>
      </c>
      <c r="D176" t="s">
        <v>1548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1565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69">
        <v>45664.540486111109</v>
      </c>
      <c r="N176" s="69">
        <v>45671</v>
      </c>
      <c r="O176" s="69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1556</v>
      </c>
      <c r="B177" s="60" t="str">
        <f>IFERROR(VLOOKUP(Proc[[#This Row],[App]],Table2[],3,0),"open")</f>
        <v>ok</v>
      </c>
      <c r="C177" s="62" t="s">
        <v>369</v>
      </c>
      <c r="D177" t="s">
        <v>1549</v>
      </c>
      <c r="E177" t="s">
        <v>1051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1565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69">
        <v>45664.540486111109</v>
      </c>
      <c r="N177" s="69">
        <v>45671</v>
      </c>
      <c r="O177" s="69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1556</v>
      </c>
      <c r="B178" s="60" t="str">
        <f>IFERROR(VLOOKUP(Proc[[#This Row],[App]],Table2[],3,0),"open")</f>
        <v>ok</v>
      </c>
      <c r="C178" s="62" t="s">
        <v>369</v>
      </c>
      <c r="D178" t="s">
        <v>1550</v>
      </c>
      <c r="E178" t="s">
        <v>1051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1565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69">
        <v>45664.540486111109</v>
      </c>
      <c r="N178" s="69">
        <v>45671</v>
      </c>
      <c r="O178" s="69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1556</v>
      </c>
      <c r="B179" s="60" t="str">
        <f>IFERROR(VLOOKUP(Proc[[#This Row],[App]],Table2[],3,0),"open")</f>
        <v>ok</v>
      </c>
      <c r="C179" s="62" t="s">
        <v>369</v>
      </c>
      <c r="D179" t="s">
        <v>1551</v>
      </c>
      <c r="E179" t="s">
        <v>1051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1565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69">
        <v>45664.540486111109</v>
      </c>
      <c r="N179" s="69">
        <v>45671</v>
      </c>
      <c r="O179" s="69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1556</v>
      </c>
      <c r="B180" s="60" t="str">
        <f>IFERROR(VLOOKUP(Proc[[#This Row],[App]],Table2[],3,0),"open")</f>
        <v>ok</v>
      </c>
      <c r="C180" s="62" t="s">
        <v>369</v>
      </c>
      <c r="D180" t="s">
        <v>1552</v>
      </c>
      <c r="E180" t="s">
        <v>1051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1565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69">
        <v>45664.540486111109</v>
      </c>
      <c r="N180" s="69">
        <v>45671</v>
      </c>
      <c r="O180" s="69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1556</v>
      </c>
      <c r="B181" s="60" t="str">
        <f>IFERROR(VLOOKUP(Proc[[#This Row],[App]],Table2[],3,0),"open")</f>
        <v>ok</v>
      </c>
      <c r="C181" s="62" t="s">
        <v>369</v>
      </c>
      <c r="D181" t="s">
        <v>1553</v>
      </c>
      <c r="E181" t="s">
        <v>1051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1565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69">
        <v>45664.540486111109</v>
      </c>
      <c r="N181" s="69">
        <v>45671</v>
      </c>
      <c r="O181" s="69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1556</v>
      </c>
      <c r="B182" s="60" t="str">
        <f>IFERROR(VLOOKUP(Proc[[#This Row],[App]],Table2[],3,0),"open")</f>
        <v>ok</v>
      </c>
      <c r="C182" s="62" t="s">
        <v>369</v>
      </c>
      <c r="D182" t="s">
        <v>1554</v>
      </c>
      <c r="E182" t="s">
        <v>1051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1565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69">
        <v>45664.540486111109</v>
      </c>
      <c r="N182" s="69">
        <v>45671</v>
      </c>
      <c r="O182" s="69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1556</v>
      </c>
      <c r="B183" s="60" t="str">
        <f>IFERROR(VLOOKUP(Proc[[#This Row],[App]],Table2[],3,0),"open")</f>
        <v>ok</v>
      </c>
      <c r="C183" s="62" t="s">
        <v>369</v>
      </c>
      <c r="D183" t="s">
        <v>1555</v>
      </c>
      <c r="E183" t="s">
        <v>1051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1565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69">
        <v>45664.540486111109</v>
      </c>
      <c r="N183" s="69">
        <v>45671</v>
      </c>
      <c r="O183" s="69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1558</v>
      </c>
      <c r="B184" s="60" t="str">
        <f>IFERROR(VLOOKUP(Proc[[#This Row],[App]],Table2[],3,0),"open")</f>
        <v>ok</v>
      </c>
      <c r="C184" s="62" t="s">
        <v>369</v>
      </c>
      <c r="D184" t="s">
        <v>1557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69">
        <v>45664.390173611115</v>
      </c>
      <c r="N184" s="69">
        <v>45666</v>
      </c>
      <c r="O184" s="69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1558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69">
        <v>45664.390173611115</v>
      </c>
      <c r="N185" s="69">
        <v>45666</v>
      </c>
      <c r="O185" s="69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1560</v>
      </c>
      <c r="B186" s="60" t="str">
        <f>IFERROR(VLOOKUP(Proc[[#This Row],[App]],Table2[],3,0),"open")</f>
        <v>ok</v>
      </c>
      <c r="C186" s="62" t="s">
        <v>369</v>
      </c>
      <c r="D186" s="65" t="s">
        <v>1559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69">
        <v>45664.385011574072</v>
      </c>
      <c r="N186" s="69">
        <v>45666</v>
      </c>
      <c r="O186" s="69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1564</v>
      </c>
      <c r="B187" s="60" t="str">
        <f>IFERROR(VLOOKUP(Proc[[#This Row],[App]],Table2[],3,0),"open")</f>
        <v>ok</v>
      </c>
      <c r="C187" s="62" t="s">
        <v>369</v>
      </c>
      <c r="D187" s="62" t="s">
        <v>1561</v>
      </c>
      <c r="E187" t="s">
        <v>1516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1565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69">
        <v>45664.6015162037</v>
      </c>
      <c r="N187" s="69">
        <v>45671</v>
      </c>
      <c r="O187" s="69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1004</v>
      </c>
      <c r="S187" s="60"/>
    </row>
    <row r="188" spans="1:19" hidden="1">
      <c r="A188" s="62" t="s">
        <v>1564</v>
      </c>
      <c r="B188" s="60" t="str">
        <f>IFERROR(VLOOKUP(Proc[[#This Row],[App]],Table2[],3,0),"open")</f>
        <v>ok</v>
      </c>
      <c r="C188" s="62" t="s">
        <v>369</v>
      </c>
      <c r="D188" t="s">
        <v>1562</v>
      </c>
      <c r="E188" t="s">
        <v>1076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1565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69">
        <v>45664.6015162037</v>
      </c>
      <c r="N188" s="69">
        <v>45671</v>
      </c>
      <c r="O188" s="69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1004</v>
      </c>
      <c r="S188" s="60"/>
    </row>
    <row r="189" spans="1:19" hidden="1">
      <c r="A189" s="62" t="s">
        <v>1564</v>
      </c>
      <c r="B189" s="60" t="str">
        <f>IFERROR(VLOOKUP(Proc[[#This Row],[App]],Table2[],3,0),"open")</f>
        <v>ok</v>
      </c>
      <c r="C189" s="62" t="s">
        <v>369</v>
      </c>
      <c r="D189" t="s">
        <v>1563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1565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69">
        <v>45664.6015162037</v>
      </c>
      <c r="N189" s="69">
        <v>45671</v>
      </c>
      <c r="O189" s="69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1004</v>
      </c>
      <c r="S189" s="60"/>
    </row>
    <row r="190" spans="1:19" hidden="1">
      <c r="A190" t="s">
        <v>1572</v>
      </c>
      <c r="B190" s="60" t="str">
        <f>IFERROR(VLOOKUP(Proc[[#This Row],[App]],Table2[],3,0),"open")</f>
        <v>ok</v>
      </c>
      <c r="C190" t="s">
        <v>369</v>
      </c>
      <c r="D190" t="s">
        <v>1566</v>
      </c>
      <c r="E190" t="s">
        <v>1570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69">
        <v>45665.54210648148</v>
      </c>
      <c r="N190" s="69">
        <v>45667</v>
      </c>
      <c r="O190" s="69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1004</v>
      </c>
      <c r="S190" s="60"/>
    </row>
    <row r="191" spans="1:19" hidden="1">
      <c r="A191" s="62" t="s">
        <v>1572</v>
      </c>
      <c r="B191" s="60" t="str">
        <f>IFERROR(VLOOKUP(Proc[[#This Row],[App]],Table2[],3,0),"open")</f>
        <v>ok</v>
      </c>
      <c r="C191" s="62" t="s">
        <v>369</v>
      </c>
      <c r="D191" t="s">
        <v>1567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69">
        <v>45665.54210648148</v>
      </c>
      <c r="N191" s="69">
        <v>45667</v>
      </c>
      <c r="O191" s="69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1004</v>
      </c>
      <c r="S191" s="60"/>
    </row>
    <row r="192" spans="1:19" hidden="1">
      <c r="A192" s="62" t="s">
        <v>1572</v>
      </c>
      <c r="B192" s="60" t="str">
        <f>IFERROR(VLOOKUP(Proc[[#This Row],[App]],Table2[],3,0),"open")</f>
        <v>ok</v>
      </c>
      <c r="C192" s="62" t="s">
        <v>369</v>
      </c>
      <c r="D192" t="s">
        <v>1568</v>
      </c>
      <c r="E192" t="s">
        <v>1571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69">
        <v>45665.54210648148</v>
      </c>
      <c r="N192" s="69">
        <v>45667</v>
      </c>
      <c r="O192" s="69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1004</v>
      </c>
      <c r="S192" s="60"/>
    </row>
    <row r="193" spans="1:19" hidden="1">
      <c r="A193" s="62" t="s">
        <v>1572</v>
      </c>
      <c r="B193" s="60" t="str">
        <f>IFERROR(VLOOKUP(Proc[[#This Row],[App]],Table2[],3,0),"open")</f>
        <v>ok</v>
      </c>
      <c r="C193" s="62" t="s">
        <v>369</v>
      </c>
      <c r="D193" t="s">
        <v>1569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69">
        <v>45665.54210648148</v>
      </c>
      <c r="N193" s="69">
        <v>45667</v>
      </c>
      <c r="O193" s="69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1004</v>
      </c>
      <c r="S193" s="60"/>
    </row>
    <row r="194" spans="1:19" hidden="1">
      <c r="A194" t="s">
        <v>1574</v>
      </c>
      <c r="B194" s="60" t="str">
        <f>IFERROR(VLOOKUP(Proc[[#This Row],[App]],Table2[],3,0),"open")</f>
        <v>ok</v>
      </c>
      <c r="C194" s="62" t="s">
        <v>369</v>
      </c>
      <c r="D194" t="s">
        <v>1588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1728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69">
        <v>45665.586886574078</v>
      </c>
      <c r="N194" s="69">
        <v>45687</v>
      </c>
      <c r="O194" s="69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1113</v>
      </c>
      <c r="S194" s="60"/>
    </row>
    <row r="195" spans="1:19" hidden="1">
      <c r="A195" s="62" t="s">
        <v>1574</v>
      </c>
      <c r="B195" s="60" t="str">
        <f>IFERROR(VLOOKUP(Proc[[#This Row],[App]],Table2[],3,0),"open")</f>
        <v>ok</v>
      </c>
      <c r="C195" s="62" t="s">
        <v>369</v>
      </c>
      <c r="D195" t="s">
        <v>1573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1729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69">
        <v>45665.586886574078</v>
      </c>
      <c r="N195" s="69">
        <v>45687</v>
      </c>
      <c r="O195" s="69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1113</v>
      </c>
      <c r="S195" s="60"/>
    </row>
    <row r="196" spans="1:19" hidden="1">
      <c r="A196" t="s">
        <v>1580</v>
      </c>
      <c r="B196" s="60" t="str">
        <f>IFERROR(VLOOKUP(Proc[[#This Row],[App]],Table2[],3,0),"open")</f>
        <v>ok</v>
      </c>
      <c r="C196" s="62" t="s">
        <v>369</v>
      </c>
      <c r="D196" t="s">
        <v>1575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69">
        <v>45665.425729166665</v>
      </c>
      <c r="N196" s="69">
        <v>45671</v>
      </c>
      <c r="O196" s="69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1580</v>
      </c>
      <c r="B197" s="60" t="str">
        <f>IFERROR(VLOOKUP(Proc[[#This Row],[App]],Table2[],3,0),"open")</f>
        <v>ok</v>
      </c>
      <c r="C197" s="62" t="s">
        <v>369</v>
      </c>
      <c r="D197" t="s">
        <v>1576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69">
        <v>45665.425729166665</v>
      </c>
      <c r="N197" s="69">
        <v>45671</v>
      </c>
      <c r="O197" s="69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1580</v>
      </c>
      <c r="B198" s="60" t="str">
        <f>IFERROR(VLOOKUP(Proc[[#This Row],[App]],Table2[],3,0),"open")</f>
        <v>ok</v>
      </c>
      <c r="C198" s="62" t="s">
        <v>369</v>
      </c>
      <c r="D198" t="s">
        <v>1577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69">
        <v>45665.425729166665</v>
      </c>
      <c r="N198" s="69">
        <v>45671</v>
      </c>
      <c r="O198" s="69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1580</v>
      </c>
      <c r="B199" s="60" t="str">
        <f>IFERROR(VLOOKUP(Proc[[#This Row],[App]],Table2[],3,0),"open")</f>
        <v>ok</v>
      </c>
      <c r="C199" s="62" t="s">
        <v>369</v>
      </c>
      <c r="D199" t="s">
        <v>1578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69">
        <v>45665.425729166665</v>
      </c>
      <c r="N199" s="69">
        <v>45671</v>
      </c>
      <c r="O199" s="69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1580</v>
      </c>
      <c r="B200" s="60" t="str">
        <f>IFERROR(VLOOKUP(Proc[[#This Row],[App]],Table2[],3,0),"open")</f>
        <v>ok</v>
      </c>
      <c r="C200" s="62" t="s">
        <v>369</v>
      </c>
      <c r="D200" t="s">
        <v>1579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69">
        <v>45665.425729166665</v>
      </c>
      <c r="N200" s="69">
        <v>45671</v>
      </c>
      <c r="O200" s="69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1581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69">
        <v>45665.41238425926</v>
      </c>
      <c r="N201" s="69">
        <v>45671</v>
      </c>
      <c r="O201" s="69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1583</v>
      </c>
      <c r="B202" s="60" t="str">
        <f>IFERROR(VLOOKUP(Proc[[#This Row],[App]],Table2[],3,0),"open")</f>
        <v>ok</v>
      </c>
      <c r="C202" s="62" t="s">
        <v>369</v>
      </c>
      <c r="D202" t="s">
        <v>1582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69">
        <v>45665.392372685186</v>
      </c>
      <c r="N202" s="69">
        <v>45667</v>
      </c>
      <c r="O202" s="69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1004</v>
      </c>
      <c r="S202" s="60"/>
    </row>
    <row r="203" spans="1:19" hidden="1">
      <c r="A203" t="s">
        <v>1584</v>
      </c>
      <c r="B203" s="60" t="str">
        <f>IFERROR(VLOOKUP(Proc[[#This Row],[App]],Table2[],3,0),"open")</f>
        <v>ok</v>
      </c>
      <c r="C203" s="62" t="s">
        <v>369</v>
      </c>
      <c r="D203" t="s">
        <v>1585</v>
      </c>
      <c r="E203" t="s">
        <v>1586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69">
        <v>45666.329097222224</v>
      </c>
      <c r="N203" s="69">
        <v>45671</v>
      </c>
      <c r="O203" s="69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1587</v>
      </c>
      <c r="S203" s="60"/>
    </row>
    <row r="204" spans="1:19" hidden="1">
      <c r="A204" t="s">
        <v>1589</v>
      </c>
      <c r="B204" s="60" t="str">
        <f>IFERROR(VLOOKUP(Proc[[#This Row],[App]],Table2[],3,0),"open")</f>
        <v>ok</v>
      </c>
      <c r="C204" s="62" t="s">
        <v>369</v>
      </c>
      <c r="D204" t="s">
        <v>1590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69">
        <v>45666.638773148145</v>
      </c>
      <c r="N204" s="69">
        <v>45671</v>
      </c>
      <c r="O204" s="69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1531</v>
      </c>
      <c r="S204" s="60"/>
    </row>
    <row r="205" spans="1:19" hidden="1">
      <c r="A205" s="62" t="s">
        <v>1589</v>
      </c>
      <c r="B205" s="60" t="str">
        <f>IFERROR(VLOOKUP(Proc[[#This Row],[App]],Table2[],3,0),"open")</f>
        <v>ok</v>
      </c>
      <c r="C205" s="62" t="s">
        <v>369</v>
      </c>
      <c r="D205" t="s">
        <v>1591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69">
        <v>45666.638773148145</v>
      </c>
      <c r="N205" s="69">
        <v>45671</v>
      </c>
      <c r="O205" s="69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1531</v>
      </c>
      <c r="S205" s="60"/>
    </row>
    <row r="206" spans="1:19" hidden="1">
      <c r="A206" s="62" t="s">
        <v>1595</v>
      </c>
      <c r="B206" s="60" t="str">
        <f>IFERROR(VLOOKUP(Proc[[#This Row],[App]],Table2[],3,0),"open")</f>
        <v>ok</v>
      </c>
      <c r="C206" s="62" t="s">
        <v>369</v>
      </c>
      <c r="D206" t="s">
        <v>1592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1565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69">
        <v>45667.399548611109</v>
      </c>
      <c r="N206" s="69">
        <v>45671</v>
      </c>
      <c r="O206" s="69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1004</v>
      </c>
      <c r="S206" s="60"/>
    </row>
    <row r="207" spans="1:19" hidden="1">
      <c r="A207" s="62" t="s">
        <v>1595</v>
      </c>
      <c r="B207" s="60" t="str">
        <f>IFERROR(VLOOKUP(Proc[[#This Row],[App]],Table2[],3,0),"open")</f>
        <v>ok</v>
      </c>
      <c r="C207" s="62" t="s">
        <v>369</v>
      </c>
      <c r="D207" t="s">
        <v>1593</v>
      </c>
      <c r="E207" t="s">
        <v>1594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1565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69">
        <v>45667.399548611109</v>
      </c>
      <c r="N207" s="69">
        <v>45671</v>
      </c>
      <c r="O207" s="69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1004</v>
      </c>
      <c r="S207" s="60"/>
    </row>
    <row r="208" spans="1:19" hidden="1">
      <c r="A208" t="s">
        <v>1619</v>
      </c>
      <c r="B208" s="60" t="str">
        <f>IFERROR(VLOOKUP(Proc[[#This Row],[App]],Table2[],3,0),"open")</f>
        <v>ok</v>
      </c>
      <c r="C208" t="s">
        <v>369</v>
      </c>
      <c r="D208" t="s">
        <v>1596</v>
      </c>
      <c r="E208" t="s">
        <v>658</v>
      </c>
      <c r="F208" s="60" t="s">
        <v>1620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1729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69">
        <v>45671.398553240739</v>
      </c>
      <c r="N208" s="69">
        <v>45688</v>
      </c>
      <c r="O208" s="69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1619</v>
      </c>
      <c r="B209" s="60" t="str">
        <f>IFERROR(VLOOKUP(Proc[[#This Row],[App]],Table2[],3,0),"open")</f>
        <v>ok</v>
      </c>
      <c r="C209" s="62" t="s">
        <v>369</v>
      </c>
      <c r="D209" t="s">
        <v>1597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1729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69">
        <v>45671.398553240739</v>
      </c>
      <c r="N209" s="69">
        <v>45688</v>
      </c>
      <c r="O209" s="69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1619</v>
      </c>
      <c r="B210" s="60" t="str">
        <f>IFERROR(VLOOKUP(Proc[[#This Row],[App]],Table2[],3,0),"open")</f>
        <v>ok</v>
      </c>
      <c r="C210" s="62" t="s">
        <v>369</v>
      </c>
      <c r="D210" t="s">
        <v>1598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1729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69">
        <v>45671.398553240739</v>
      </c>
      <c r="N210" s="69">
        <v>45688</v>
      </c>
      <c r="O210" s="69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1619</v>
      </c>
      <c r="B211" s="60" t="str">
        <f>IFERROR(VLOOKUP(Proc[[#This Row],[App]],Table2[],3,0),"open")</f>
        <v>ok</v>
      </c>
      <c r="C211" s="62" t="s">
        <v>369</v>
      </c>
      <c r="D211" t="s">
        <v>1599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1729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69">
        <v>45671.398553240739</v>
      </c>
      <c r="N211" s="69">
        <v>45688</v>
      </c>
      <c r="O211" s="69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1619</v>
      </c>
      <c r="B212" s="60" t="str">
        <f>IFERROR(VLOOKUP(Proc[[#This Row],[App]],Table2[],3,0),"open")</f>
        <v>ok</v>
      </c>
      <c r="C212" s="62" t="s">
        <v>369</v>
      </c>
      <c r="D212" t="s">
        <v>1600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1729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69">
        <v>45671.398553240739</v>
      </c>
      <c r="N212" s="69">
        <v>45688</v>
      </c>
      <c r="O212" s="69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1619</v>
      </c>
      <c r="B213" s="60" t="str">
        <f>IFERROR(VLOOKUP(Proc[[#This Row],[App]],Table2[],3,0),"open")</f>
        <v>ok</v>
      </c>
      <c r="C213" s="62" t="s">
        <v>369</v>
      </c>
      <c r="D213" t="s">
        <v>1601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1729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69">
        <v>45671.398553240739</v>
      </c>
      <c r="N213" s="69">
        <v>45688</v>
      </c>
      <c r="O213" s="69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1619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69">
        <v>45671.398553240739</v>
      </c>
      <c r="O214" s="69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1619</v>
      </c>
      <c r="B215" s="60" t="str">
        <f>IFERROR(VLOOKUP(Proc[[#This Row],[App]],Table2[],3,0),"open")</f>
        <v>ok</v>
      </c>
      <c r="C215" s="62" t="s">
        <v>369</v>
      </c>
      <c r="D215" t="s">
        <v>1602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1729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69">
        <v>45671.398553240739</v>
      </c>
      <c r="N215" s="69">
        <v>45688</v>
      </c>
      <c r="O215" s="69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1619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69">
        <v>45671.398553240739</v>
      </c>
      <c r="O216" s="69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1619</v>
      </c>
      <c r="B217" s="60" t="str">
        <f>IFERROR(VLOOKUP(Proc[[#This Row],[App]],Table2[],3,0),"open")</f>
        <v>ok</v>
      </c>
      <c r="C217" s="62" t="s">
        <v>369</v>
      </c>
      <c r="D217" t="s">
        <v>1603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1729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69">
        <v>45671.398553240739</v>
      </c>
      <c r="N217" s="69">
        <v>45688</v>
      </c>
      <c r="O217" s="69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1619</v>
      </c>
      <c r="B218" s="60" t="str">
        <f>IFERROR(VLOOKUP(Proc[[#This Row],[App]],Table2[],3,0),"open")</f>
        <v>ok</v>
      </c>
      <c r="C218" s="62" t="s">
        <v>369</v>
      </c>
      <c r="D218" t="s">
        <v>1604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1729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69">
        <v>45671.398553240739</v>
      </c>
      <c r="N218" s="69">
        <v>45688</v>
      </c>
      <c r="O218" s="69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1619</v>
      </c>
      <c r="B219" s="60" t="str">
        <f>IFERROR(VLOOKUP(Proc[[#This Row],[App]],Table2[],3,0),"open")</f>
        <v>ok</v>
      </c>
      <c r="C219" s="62" t="s">
        <v>369</v>
      </c>
      <c r="D219" t="s">
        <v>1605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1729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69">
        <v>45671.398553240739</v>
      </c>
      <c r="N219" s="69">
        <v>45688</v>
      </c>
      <c r="O219" s="69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1619</v>
      </c>
      <c r="B220" s="60" t="str">
        <f>IFERROR(VLOOKUP(Proc[[#This Row],[App]],Table2[],3,0),"open")</f>
        <v>ok</v>
      </c>
      <c r="C220" s="62" t="s">
        <v>377</v>
      </c>
      <c r="D220" t="s">
        <v>1606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69">
        <v>45671.398553240739</v>
      </c>
      <c r="O220" s="69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1619</v>
      </c>
      <c r="B221" s="60" t="str">
        <f>IFERROR(VLOOKUP(Proc[[#This Row],[App]],Table2[],3,0),"open")</f>
        <v>ok</v>
      </c>
      <c r="C221" s="62" t="s">
        <v>369</v>
      </c>
      <c r="D221" t="s">
        <v>1607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1729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69">
        <v>45671.398553240739</v>
      </c>
      <c r="N221" s="69">
        <v>45688</v>
      </c>
      <c r="O221" s="69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1619</v>
      </c>
      <c r="B222" s="60" t="str">
        <f>IFERROR(VLOOKUP(Proc[[#This Row],[App]],Table2[],3,0),"open")</f>
        <v>ok</v>
      </c>
      <c r="C222" s="62" t="s">
        <v>369</v>
      </c>
      <c r="D222" t="s">
        <v>1608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1729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69">
        <v>45671.398553240739</v>
      </c>
      <c r="N222" s="69">
        <v>45688</v>
      </c>
      <c r="O222" s="69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1619</v>
      </c>
      <c r="B223" s="60" t="str">
        <f>IFERROR(VLOOKUP(Proc[[#This Row],[App]],Table2[],3,0),"open")</f>
        <v>ok</v>
      </c>
      <c r="C223" s="62" t="s">
        <v>369</v>
      </c>
      <c r="D223" t="s">
        <v>1609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1729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69">
        <v>45671.398553240739</v>
      </c>
      <c r="N223" s="69">
        <v>45688</v>
      </c>
      <c r="O223" s="69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1619</v>
      </c>
      <c r="B224" s="60" t="str">
        <f>IFERROR(VLOOKUP(Proc[[#This Row],[App]],Table2[],3,0),"open")</f>
        <v>ok</v>
      </c>
      <c r="C224" s="62" t="s">
        <v>369</v>
      </c>
      <c r="D224" t="s">
        <v>1610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1729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69">
        <v>45671.398553240739</v>
      </c>
      <c r="N224" s="69">
        <v>45688</v>
      </c>
      <c r="O224" s="69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1619</v>
      </c>
      <c r="B225" s="60" t="str">
        <f>IFERROR(VLOOKUP(Proc[[#This Row],[App]],Table2[],3,0),"open")</f>
        <v>ok</v>
      </c>
      <c r="C225" s="62" t="s">
        <v>369</v>
      </c>
      <c r="D225" t="s">
        <v>1611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1729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69">
        <v>45671.398553240739</v>
      </c>
      <c r="N225" s="69">
        <v>45688</v>
      </c>
      <c r="O225" s="69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1619</v>
      </c>
      <c r="B226" s="60" t="str">
        <f>IFERROR(VLOOKUP(Proc[[#This Row],[App]],Table2[],3,0),"open")</f>
        <v>ok</v>
      </c>
      <c r="C226" s="62" t="s">
        <v>369</v>
      </c>
      <c r="D226" t="s">
        <v>1612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1729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69">
        <v>45671.398553240739</v>
      </c>
      <c r="N226" s="69">
        <v>45688</v>
      </c>
      <c r="O226" s="69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1619</v>
      </c>
      <c r="B227" s="60" t="str">
        <f>IFERROR(VLOOKUP(Proc[[#This Row],[App]],Table2[],3,0),"open")</f>
        <v>ok</v>
      </c>
      <c r="C227" s="62" t="s">
        <v>369</v>
      </c>
      <c r="D227" t="s">
        <v>1613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1729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69">
        <v>45671.398553240739</v>
      </c>
      <c r="N227" s="69">
        <v>45688</v>
      </c>
      <c r="O227" s="69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1619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69">
        <v>45671.398553240739</v>
      </c>
      <c r="O228" s="69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1619</v>
      </c>
      <c r="B229" s="60" t="str">
        <f>IFERROR(VLOOKUP(Proc[[#This Row],[App]],Table2[],3,0),"open")</f>
        <v>ok</v>
      </c>
      <c r="C229" s="62" t="s">
        <v>369</v>
      </c>
      <c r="D229" t="s">
        <v>1614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1729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69">
        <v>45671.398553240739</v>
      </c>
      <c r="N229" s="69">
        <v>45688</v>
      </c>
      <c r="O229" s="69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1619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69">
        <v>45671.398553240739</v>
      </c>
      <c r="O230" s="69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1619</v>
      </c>
      <c r="B231" s="60" t="str">
        <f>IFERROR(VLOOKUP(Proc[[#This Row],[App]],Table2[],3,0),"open")</f>
        <v>ok</v>
      </c>
      <c r="C231" s="62" t="s">
        <v>369</v>
      </c>
      <c r="D231" t="s">
        <v>1615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1729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69">
        <v>45671.398553240739</v>
      </c>
      <c r="N231" s="69">
        <v>45688</v>
      </c>
      <c r="O231" s="69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1619</v>
      </c>
      <c r="B232" s="60" t="str">
        <f>IFERROR(VLOOKUP(Proc[[#This Row],[App]],Table2[],3,0),"open")</f>
        <v>ok</v>
      </c>
      <c r="C232" s="62" t="s">
        <v>369</v>
      </c>
      <c r="D232" t="s">
        <v>1616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1729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69">
        <v>45671.398553240739</v>
      </c>
      <c r="N232" s="69">
        <v>45688</v>
      </c>
      <c r="O232" s="69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1619</v>
      </c>
      <c r="B233" s="60" t="str">
        <f>IFERROR(VLOOKUP(Proc[[#This Row],[App]],Table2[],3,0),"open")</f>
        <v>ok</v>
      </c>
      <c r="C233" s="62" t="s">
        <v>369</v>
      </c>
      <c r="D233" t="s">
        <v>1617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1729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69">
        <v>45671.398553240739</v>
      </c>
      <c r="N233" s="69">
        <v>45688</v>
      </c>
      <c r="O233" s="69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1619</v>
      </c>
      <c r="B234" s="60" t="str">
        <f>IFERROR(VLOOKUP(Proc[[#This Row],[App]],Table2[],3,0),"open")</f>
        <v>ok</v>
      </c>
      <c r="C234" s="62" t="s">
        <v>377</v>
      </c>
      <c r="D234" t="s">
        <v>1618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69">
        <v>45671.398553240739</v>
      </c>
      <c r="O234" s="69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1632</v>
      </c>
      <c r="B235" s="60" t="str">
        <f>IFERROR(VLOOKUP(Proc[[#This Row],[App]],Table2[],3,0),"open")</f>
        <v>ok</v>
      </c>
      <c r="C235" t="s">
        <v>369</v>
      </c>
      <c r="D235" t="s">
        <v>1621</v>
      </c>
      <c r="E235" t="s">
        <v>420</v>
      </c>
      <c r="F235" s="60" t="s">
        <v>1099</v>
      </c>
      <c r="G235" t="s">
        <v>400</v>
      </c>
      <c r="H235" s="60" t="str">
        <f>IF(Proc[[#This Row],[type]]="LFF (MDG-F)",MID(Proc[[#This Row],[Obj]],13,10),"")</f>
        <v/>
      </c>
      <c r="I235" s="62" t="s">
        <v>1728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69">
        <v>45672.564884259256</v>
      </c>
      <c r="N235" s="69">
        <v>45688</v>
      </c>
      <c r="O235" s="69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1113</v>
      </c>
      <c r="S235" s="60"/>
    </row>
    <row r="236" spans="1:19" hidden="1">
      <c r="A236" s="62" t="s">
        <v>1632</v>
      </c>
      <c r="B236" s="60" t="str">
        <f>IFERROR(VLOOKUP(Proc[[#This Row],[App]],Table2[],3,0),"open")</f>
        <v>ok</v>
      </c>
      <c r="C236" s="62" t="s">
        <v>369</v>
      </c>
      <c r="D236" t="s">
        <v>1622</v>
      </c>
      <c r="E236" t="s">
        <v>420</v>
      </c>
      <c r="F236" s="60" t="s">
        <v>1099</v>
      </c>
      <c r="G236" s="62" t="s">
        <v>400</v>
      </c>
      <c r="H236" s="60" t="str">
        <f>IF(Proc[[#This Row],[type]]="LFF (MDG-F)",MID(Proc[[#This Row],[Obj]],13,10),"")</f>
        <v/>
      </c>
      <c r="I236" s="62" t="s">
        <v>1728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69">
        <v>45672.564884259256</v>
      </c>
      <c r="N236" s="69">
        <v>45688</v>
      </c>
      <c r="O236" s="69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1113</v>
      </c>
      <c r="S236" s="60"/>
    </row>
    <row r="237" spans="1:19" hidden="1">
      <c r="A237" s="62" t="s">
        <v>1632</v>
      </c>
      <c r="B237" s="60" t="str">
        <f>IFERROR(VLOOKUP(Proc[[#This Row],[App]],Table2[],3,0),"open")</f>
        <v>ok</v>
      </c>
      <c r="C237" s="62" t="s">
        <v>369</v>
      </c>
      <c r="D237" t="s">
        <v>1623</v>
      </c>
      <c r="E237" t="s">
        <v>419</v>
      </c>
      <c r="F237" s="60" t="s">
        <v>1099</v>
      </c>
      <c r="G237" s="62" t="s">
        <v>400</v>
      </c>
      <c r="H237" s="60" t="str">
        <f>IF(Proc[[#This Row],[type]]="LFF (MDG-F)",MID(Proc[[#This Row],[Obj]],13,10),"")</f>
        <v/>
      </c>
      <c r="I237" s="62" t="s">
        <v>1728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69">
        <v>45672.564884259256</v>
      </c>
      <c r="N237" s="69">
        <v>45688</v>
      </c>
      <c r="O237" s="69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1113</v>
      </c>
      <c r="S237" s="60"/>
    </row>
    <row r="238" spans="1:19" hidden="1">
      <c r="A238" s="62" t="s">
        <v>1632</v>
      </c>
      <c r="B238" s="60" t="str">
        <f>IFERROR(VLOOKUP(Proc[[#This Row],[App]],Table2[],3,0),"open")</f>
        <v>ok</v>
      </c>
      <c r="C238" s="62" t="s">
        <v>369</v>
      </c>
      <c r="D238" t="s">
        <v>1624</v>
      </c>
      <c r="E238" t="s">
        <v>784</v>
      </c>
      <c r="F238" s="60" t="s">
        <v>1099</v>
      </c>
      <c r="G238" s="62" t="s">
        <v>400</v>
      </c>
      <c r="H238" s="60" t="str">
        <f>IF(Proc[[#This Row],[type]]="LFF (MDG-F)",MID(Proc[[#This Row],[Obj]],13,10),"")</f>
        <v/>
      </c>
      <c r="I238" s="62" t="s">
        <v>1728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69">
        <v>45672.564884259256</v>
      </c>
      <c r="N238" s="69">
        <v>45688</v>
      </c>
      <c r="O238" s="69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1113</v>
      </c>
      <c r="S238" s="60"/>
    </row>
    <row r="239" spans="1:19" hidden="1">
      <c r="A239" s="62" t="s">
        <v>1632</v>
      </c>
      <c r="B239" s="60" t="str">
        <f>IFERROR(VLOOKUP(Proc[[#This Row],[App]],Table2[],3,0),"open")</f>
        <v>ok</v>
      </c>
      <c r="C239" s="62" t="s">
        <v>369</v>
      </c>
      <c r="D239" t="s">
        <v>1625</v>
      </c>
      <c r="E239" t="s">
        <v>420</v>
      </c>
      <c r="F239" s="60" t="s">
        <v>1099</v>
      </c>
      <c r="G239" s="62" t="s">
        <v>400</v>
      </c>
      <c r="H239" s="60" t="str">
        <f>IF(Proc[[#This Row],[type]]="LFF (MDG-F)",MID(Proc[[#This Row],[Obj]],13,10),"")</f>
        <v/>
      </c>
      <c r="I239" t="s">
        <v>1727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69">
        <v>45672.564884259256</v>
      </c>
      <c r="N239" s="69">
        <v>45688</v>
      </c>
      <c r="O239" s="69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1113</v>
      </c>
      <c r="S239" s="60"/>
    </row>
    <row r="240" spans="1:19" hidden="1">
      <c r="A240" s="62" t="s">
        <v>1632</v>
      </c>
      <c r="B240" s="60" t="str">
        <f>IFERROR(VLOOKUP(Proc[[#This Row],[App]],Table2[],3,0),"open")</f>
        <v>ok</v>
      </c>
      <c r="C240" s="62" t="s">
        <v>369</v>
      </c>
      <c r="D240" t="s">
        <v>1626</v>
      </c>
      <c r="E240" t="s">
        <v>420</v>
      </c>
      <c r="F240" s="60" t="s">
        <v>1099</v>
      </c>
      <c r="G240" s="62" t="s">
        <v>400</v>
      </c>
      <c r="H240" s="60" t="str">
        <f>IF(Proc[[#This Row],[type]]="LFF (MDG-F)",MID(Proc[[#This Row],[Obj]],13,10),"")</f>
        <v/>
      </c>
      <c r="I240" s="62" t="s">
        <v>1727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69">
        <v>45672.564884259256</v>
      </c>
      <c r="N240" s="69">
        <v>45688</v>
      </c>
      <c r="O240" s="69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1113</v>
      </c>
      <c r="S240" s="60"/>
    </row>
    <row r="241" spans="1:19" hidden="1">
      <c r="A241" s="62" t="s">
        <v>1632</v>
      </c>
      <c r="B241" s="60" t="str">
        <f>IFERROR(VLOOKUP(Proc[[#This Row],[App]],Table2[],3,0),"open")</f>
        <v>ok</v>
      </c>
      <c r="C241" s="62" t="s">
        <v>369</v>
      </c>
      <c r="D241" t="s">
        <v>1627</v>
      </c>
      <c r="E241" t="s">
        <v>419</v>
      </c>
      <c r="F241" s="60" t="s">
        <v>1099</v>
      </c>
      <c r="G241" s="62" t="s">
        <v>400</v>
      </c>
      <c r="H241" s="60" t="str">
        <f>IF(Proc[[#This Row],[type]]="LFF (MDG-F)",MID(Proc[[#This Row],[Obj]],13,10),"")</f>
        <v/>
      </c>
      <c r="I241" s="62" t="s">
        <v>1727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69">
        <v>45672.564884259256</v>
      </c>
      <c r="N241" s="69">
        <v>45688</v>
      </c>
      <c r="O241" s="69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1113</v>
      </c>
      <c r="S241" s="60"/>
    </row>
    <row r="242" spans="1:19" hidden="1">
      <c r="A242" s="62" t="s">
        <v>1632</v>
      </c>
      <c r="B242" s="60" t="str">
        <f>IFERROR(VLOOKUP(Proc[[#This Row],[App]],Table2[],3,0),"open")</f>
        <v>ok</v>
      </c>
      <c r="C242" s="62" t="s">
        <v>369</v>
      </c>
      <c r="D242" t="s">
        <v>1628</v>
      </c>
      <c r="E242" t="s">
        <v>419</v>
      </c>
      <c r="F242" s="60" t="s">
        <v>1099</v>
      </c>
      <c r="G242" s="62" t="s">
        <v>400</v>
      </c>
      <c r="H242" s="60" t="str">
        <f>IF(Proc[[#This Row],[type]]="LFF (MDG-F)",MID(Proc[[#This Row],[Obj]],13,10),"")</f>
        <v/>
      </c>
      <c r="I242" s="62" t="s">
        <v>1727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69">
        <v>45672.564884259256</v>
      </c>
      <c r="N242" s="69">
        <v>45688</v>
      </c>
      <c r="O242" s="69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1113</v>
      </c>
      <c r="S242" s="60"/>
    </row>
    <row r="243" spans="1:19" hidden="1">
      <c r="A243" s="62" t="s">
        <v>1632</v>
      </c>
      <c r="B243" s="60" t="str">
        <f>IFERROR(VLOOKUP(Proc[[#This Row],[App]],Table2[],3,0),"open")</f>
        <v>ok</v>
      </c>
      <c r="C243" s="62" t="s">
        <v>369</v>
      </c>
      <c r="D243" t="s">
        <v>1629</v>
      </c>
      <c r="E243" t="s">
        <v>419</v>
      </c>
      <c r="F243" s="60" t="s">
        <v>1099</v>
      </c>
      <c r="G243" s="62" t="s">
        <v>400</v>
      </c>
      <c r="H243" s="60" t="str">
        <f>IF(Proc[[#This Row],[type]]="LFF (MDG-F)",MID(Proc[[#This Row],[Obj]],13,10),"")</f>
        <v/>
      </c>
      <c r="I243" s="62" t="s">
        <v>1728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69">
        <v>45672.564884259256</v>
      </c>
      <c r="N243" s="69">
        <v>45688</v>
      </c>
      <c r="O243" s="69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1113</v>
      </c>
      <c r="S243" s="60"/>
    </row>
    <row r="244" spans="1:19" hidden="1">
      <c r="A244" s="62" t="s">
        <v>1632</v>
      </c>
      <c r="B244" s="60" t="str">
        <f>IFERROR(VLOOKUP(Proc[[#This Row],[App]],Table2[],3,0),"open")</f>
        <v>ok</v>
      </c>
      <c r="C244" s="62" t="s">
        <v>369</v>
      </c>
      <c r="D244" t="s">
        <v>1630</v>
      </c>
      <c r="E244" t="s">
        <v>1050</v>
      </c>
      <c r="F244" s="60" t="s">
        <v>1631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1726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69">
        <v>45672.564884259256</v>
      </c>
      <c r="N244" s="69">
        <v>45688</v>
      </c>
      <c r="O244" s="69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1113</v>
      </c>
      <c r="S244" s="60"/>
    </row>
    <row r="245" spans="1:19" hidden="1">
      <c r="A245" t="s">
        <v>1639</v>
      </c>
      <c r="B245" s="60" t="str">
        <f>IFERROR(VLOOKUP(Proc[[#This Row],[App]],Table2[],3,0),"open")</f>
        <v>ok</v>
      </c>
      <c r="C245" s="62" t="s">
        <v>369</v>
      </c>
      <c r="D245" t="s">
        <v>1633</v>
      </c>
      <c r="E245" t="s">
        <v>592</v>
      </c>
      <c r="F245" s="60" t="s">
        <v>1259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69">
        <v>45672.662546296298</v>
      </c>
      <c r="N245" s="69">
        <v>45674</v>
      </c>
      <c r="O245" s="69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1004</v>
      </c>
      <c r="S245" s="60"/>
    </row>
    <row r="246" spans="1:19" hidden="1">
      <c r="A246" s="62" t="s">
        <v>1639</v>
      </c>
      <c r="B246" s="60" t="str">
        <f>IFERROR(VLOOKUP(Proc[[#This Row],[App]],Table2[],3,0),"open")</f>
        <v>ok</v>
      </c>
      <c r="C246" s="62" t="s">
        <v>369</v>
      </c>
      <c r="D246" t="s">
        <v>1634</v>
      </c>
      <c r="E246" t="s">
        <v>524</v>
      </c>
      <c r="F246" s="60" t="s">
        <v>1637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69">
        <v>45672.662546296298</v>
      </c>
      <c r="N246" s="69">
        <v>45674</v>
      </c>
      <c r="O246" s="69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1004</v>
      </c>
      <c r="S246" s="60"/>
    </row>
    <row r="247" spans="1:19" hidden="1">
      <c r="A247" s="62" t="s">
        <v>1639</v>
      </c>
      <c r="B247" s="60" t="str">
        <f>IFERROR(VLOOKUP(Proc[[#This Row],[App]],Table2[],3,0),"open")</f>
        <v>ok</v>
      </c>
      <c r="C247" s="62" t="s">
        <v>369</v>
      </c>
      <c r="D247" t="s">
        <v>1635</v>
      </c>
      <c r="E247" t="s">
        <v>524</v>
      </c>
      <c r="F247" s="60" t="s">
        <v>1637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69">
        <v>45672.662546296298</v>
      </c>
      <c r="N247" s="69">
        <v>45674</v>
      </c>
      <c r="O247" s="69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1004</v>
      </c>
      <c r="S247" s="60"/>
    </row>
    <row r="248" spans="1:19" hidden="1">
      <c r="A248" s="62" t="s">
        <v>1639</v>
      </c>
      <c r="B248" s="60" t="str">
        <f>IFERROR(VLOOKUP(Proc[[#This Row],[App]],Table2[],3,0),"open")</f>
        <v>ok</v>
      </c>
      <c r="C248" s="62" t="s">
        <v>369</v>
      </c>
      <c r="D248" t="s">
        <v>1636</v>
      </c>
      <c r="E248" t="s">
        <v>1076</v>
      </c>
      <c r="F248" s="60" t="s">
        <v>1638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69">
        <v>45672.662546296298</v>
      </c>
      <c r="N248" s="69">
        <v>45674</v>
      </c>
      <c r="O248" s="69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1004</v>
      </c>
      <c r="S248" s="60"/>
    </row>
    <row r="249" spans="1:19" hidden="1">
      <c r="A249" t="s">
        <v>1641</v>
      </c>
      <c r="B249" s="60" t="str">
        <f>IFERROR(VLOOKUP(Proc[[#This Row],[App]],Table2[],3,0),"open")</f>
        <v>ok</v>
      </c>
      <c r="C249" s="62" t="s">
        <v>369</v>
      </c>
      <c r="D249" t="s">
        <v>1640</v>
      </c>
      <c r="E249" t="s">
        <v>428</v>
      </c>
      <c r="F249" s="62" t="s">
        <v>1642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1726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69">
        <v>45674.472696759258</v>
      </c>
      <c r="N249" s="69">
        <v>45688</v>
      </c>
      <c r="O249" s="69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1113</v>
      </c>
      <c r="S249" s="60"/>
    </row>
    <row r="250" spans="1:19" hidden="1">
      <c r="A250" t="s">
        <v>1643</v>
      </c>
      <c r="B250" s="60" t="str">
        <f>IFERROR(VLOOKUP(Proc[[#This Row],[App]],Table2[],3,0),"open")</f>
        <v>ok</v>
      </c>
      <c r="C250" s="62" t="s">
        <v>369</v>
      </c>
      <c r="D250" t="s">
        <v>1644</v>
      </c>
      <c r="E250" t="s">
        <v>1650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69">
        <v>45674.56994212963</v>
      </c>
      <c r="N250" s="69">
        <v>45678</v>
      </c>
      <c r="O250" s="69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1004</v>
      </c>
      <c r="S250" s="60"/>
    </row>
    <row r="251" spans="1:19" hidden="1">
      <c r="A251" s="62" t="s">
        <v>1643</v>
      </c>
      <c r="B251" s="60" t="str">
        <f>IFERROR(VLOOKUP(Proc[[#This Row],[App]],Table2[],3,0),"open")</f>
        <v>ok</v>
      </c>
      <c r="C251" s="62" t="s">
        <v>369</v>
      </c>
      <c r="D251" t="s">
        <v>1645</v>
      </c>
      <c r="E251" t="s">
        <v>1650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69">
        <v>45674.56994212963</v>
      </c>
      <c r="N251" s="69">
        <v>45678</v>
      </c>
      <c r="O251" s="69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1004</v>
      </c>
      <c r="S251" s="60"/>
    </row>
    <row r="252" spans="1:19" hidden="1">
      <c r="A252" s="62" t="s">
        <v>1643</v>
      </c>
      <c r="B252" s="60" t="str">
        <f>IFERROR(VLOOKUP(Proc[[#This Row],[App]],Table2[],3,0),"open")</f>
        <v>ok</v>
      </c>
      <c r="C252" s="62" t="s">
        <v>369</v>
      </c>
      <c r="D252" t="s">
        <v>1646</v>
      </c>
      <c r="E252" t="s">
        <v>1650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69">
        <v>45674.56994212963</v>
      </c>
      <c r="N252" s="69">
        <v>45678</v>
      </c>
      <c r="O252" s="69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1004</v>
      </c>
      <c r="S252" s="60"/>
    </row>
    <row r="253" spans="1:19" hidden="1">
      <c r="A253" s="62" t="s">
        <v>1643</v>
      </c>
      <c r="B253" s="60" t="str">
        <f>IFERROR(VLOOKUP(Proc[[#This Row],[App]],Table2[],3,0),"open")</f>
        <v>ok</v>
      </c>
      <c r="C253" s="62" t="s">
        <v>369</v>
      </c>
      <c r="D253" t="s">
        <v>1647</v>
      </c>
      <c r="E253" t="s">
        <v>1651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69">
        <v>45674.56994212963</v>
      </c>
      <c r="N253" s="69">
        <v>45678</v>
      </c>
      <c r="O253" s="69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1004</v>
      </c>
      <c r="S253" s="60"/>
    </row>
    <row r="254" spans="1:19" hidden="1">
      <c r="A254" s="62" t="s">
        <v>1643</v>
      </c>
      <c r="B254" s="60" t="str">
        <f>IFERROR(VLOOKUP(Proc[[#This Row],[App]],Table2[],3,0),"open")</f>
        <v>ok</v>
      </c>
      <c r="C254" s="62" t="s">
        <v>369</v>
      </c>
      <c r="D254" t="s">
        <v>1648</v>
      </c>
      <c r="E254" t="s">
        <v>1652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69">
        <v>45674.56994212963</v>
      </c>
      <c r="N254" s="69">
        <v>45678</v>
      </c>
      <c r="O254" s="69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1004</v>
      </c>
      <c r="S254" s="60"/>
    </row>
    <row r="255" spans="1:19" hidden="1">
      <c r="A255" s="62" t="s">
        <v>1643</v>
      </c>
      <c r="B255" s="60" t="str">
        <f>IFERROR(VLOOKUP(Proc[[#This Row],[App]],Table2[],3,0),"open")</f>
        <v>ok</v>
      </c>
      <c r="C255" s="62" t="s">
        <v>369</v>
      </c>
      <c r="D255" t="s">
        <v>1649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69">
        <v>45674.56994212963</v>
      </c>
      <c r="N255" s="69">
        <v>45678</v>
      </c>
      <c r="O255" s="69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1004</v>
      </c>
      <c r="S255" s="60"/>
    </row>
    <row r="256" spans="1:19" hidden="1">
      <c r="A256" t="s">
        <v>1664</v>
      </c>
      <c r="B256" s="60" t="str">
        <f>IFERROR(VLOOKUP(Proc[[#This Row],[App]],Table2[],3,0),"open")</f>
        <v>ok</v>
      </c>
      <c r="C256" t="s">
        <v>369</v>
      </c>
      <c r="D256" t="s">
        <v>1653</v>
      </c>
      <c r="E256" t="s">
        <v>1226</v>
      </c>
      <c r="F256" s="60" t="s">
        <v>1660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69">
        <v>45677.44258101852</v>
      </c>
      <c r="N256" s="69">
        <v>45680</v>
      </c>
      <c r="O256" s="69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1664</v>
      </c>
      <c r="B257" s="60" t="str">
        <f>IFERROR(VLOOKUP(Proc[[#This Row],[App]],Table2[],3,0),"open")</f>
        <v>ok</v>
      </c>
      <c r="C257" s="62" t="s">
        <v>369</v>
      </c>
      <c r="D257" t="s">
        <v>1654</v>
      </c>
      <c r="E257" t="s">
        <v>1226</v>
      </c>
      <c r="F257" s="60" t="s">
        <v>1660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69">
        <v>45677.44258101852</v>
      </c>
      <c r="N257" s="69">
        <v>45680</v>
      </c>
      <c r="O257" s="69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1664</v>
      </c>
      <c r="B258" s="60" t="str">
        <f>IFERROR(VLOOKUP(Proc[[#This Row],[App]],Table2[],3,0),"open")</f>
        <v>ok</v>
      </c>
      <c r="C258" s="62" t="s">
        <v>369</v>
      </c>
      <c r="D258" t="s">
        <v>1655</v>
      </c>
      <c r="E258" t="s">
        <v>882</v>
      </c>
      <c r="F258" s="60" t="s">
        <v>1294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69">
        <v>45677.44258101852</v>
      </c>
      <c r="N258" s="69">
        <v>45680</v>
      </c>
      <c r="O258" s="69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1664</v>
      </c>
      <c r="B259" s="60" t="str">
        <f>IFERROR(VLOOKUP(Proc[[#This Row],[App]],Table2[],3,0),"open")</f>
        <v>ok</v>
      </c>
      <c r="C259" s="62" t="s">
        <v>369</v>
      </c>
      <c r="D259" t="s">
        <v>1656</v>
      </c>
      <c r="E259" t="s">
        <v>550</v>
      </c>
      <c r="F259" s="60" t="s">
        <v>1661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69">
        <v>45677.44258101852</v>
      </c>
      <c r="N259" s="69">
        <v>45680</v>
      </c>
      <c r="O259" s="69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1664</v>
      </c>
      <c r="B260" s="60" t="str">
        <f>IFERROR(VLOOKUP(Proc[[#This Row],[App]],Table2[],3,0),"open")</f>
        <v>ok</v>
      </c>
      <c r="C260" s="62" t="s">
        <v>369</v>
      </c>
      <c r="D260" t="s">
        <v>1657</v>
      </c>
      <c r="E260" t="s">
        <v>572</v>
      </c>
      <c r="F260" s="60" t="s">
        <v>1662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69">
        <v>45677.44258101852</v>
      </c>
      <c r="N260" s="69">
        <v>45680</v>
      </c>
      <c r="O260" s="69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1664</v>
      </c>
      <c r="B261" s="60" t="str">
        <f>IFERROR(VLOOKUP(Proc[[#This Row],[App]],Table2[],3,0),"open")</f>
        <v>ok</v>
      </c>
      <c r="C261" s="62" t="s">
        <v>369</v>
      </c>
      <c r="D261" t="s">
        <v>1658</v>
      </c>
      <c r="E261" t="s">
        <v>1009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69">
        <v>45677.44258101852</v>
      </c>
      <c r="N261" s="69">
        <v>45680</v>
      </c>
      <c r="O261" s="69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1664</v>
      </c>
      <c r="B262" s="60" t="str">
        <f>IFERROR(VLOOKUP(Proc[[#This Row],[App]],Table2[],3,0),"open")</f>
        <v>ok</v>
      </c>
      <c r="C262" s="62" t="s">
        <v>369</v>
      </c>
      <c r="D262" t="s">
        <v>1659</v>
      </c>
      <c r="E262" t="s">
        <v>572</v>
      </c>
      <c r="F262" s="60" t="s">
        <v>1663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69">
        <v>45677.44258101852</v>
      </c>
      <c r="N262" s="69">
        <v>45680</v>
      </c>
      <c r="O262" s="69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1668</v>
      </c>
      <c r="B263" s="60" t="str">
        <f>IFERROR(VLOOKUP(Proc[[#This Row],[App]],Table2[],3,0),"open")</f>
        <v>ok</v>
      </c>
      <c r="C263" t="s">
        <v>369</v>
      </c>
      <c r="D263" t="s">
        <v>1665</v>
      </c>
      <c r="E263" t="s">
        <v>1669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1726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69">
        <v>45677.556840277779</v>
      </c>
      <c r="N263" s="69">
        <v>45688</v>
      </c>
      <c r="O263" s="69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1668</v>
      </c>
      <c r="B264" s="60" t="str">
        <f>IFERROR(VLOOKUP(Proc[[#This Row],[App]],Table2[],3,0),"open")</f>
        <v>ok</v>
      </c>
      <c r="C264" s="62" t="s">
        <v>369</v>
      </c>
      <c r="D264" t="s">
        <v>1666</v>
      </c>
      <c r="E264" t="s">
        <v>1670</v>
      </c>
      <c r="F264" s="60" t="s">
        <v>1669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1726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69">
        <v>45677.556840277779</v>
      </c>
      <c r="N264" s="69">
        <v>45688</v>
      </c>
      <c r="O264" s="69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1668</v>
      </c>
      <c r="B265" s="60" t="str">
        <f>IFERROR(VLOOKUP(Proc[[#This Row],[App]],Table2[],3,0),"open")</f>
        <v>ok</v>
      </c>
      <c r="C265" s="62" t="s">
        <v>369</v>
      </c>
      <c r="D265" t="s">
        <v>1667</v>
      </c>
      <c r="E265" t="s">
        <v>1671</v>
      </c>
      <c r="F265" s="60" t="s">
        <v>1669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1726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69">
        <v>45677.556840277779</v>
      </c>
      <c r="N265" s="69">
        <v>45688</v>
      </c>
      <c r="O265" s="69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1672</v>
      </c>
      <c r="B266" s="60" t="str">
        <f>IFERROR(VLOOKUP(Proc[[#This Row],[App]],Table2[],3,0),"open")</f>
        <v>ok</v>
      </c>
      <c r="C266" s="62" t="s">
        <v>369</v>
      </c>
      <c r="D266" t="s">
        <v>1673</v>
      </c>
      <c r="E266" t="s">
        <v>1685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69">
        <v>45679.497245370374</v>
      </c>
      <c r="N266" s="69">
        <v>45681</v>
      </c>
      <c r="O266" s="69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1033</v>
      </c>
      <c r="S266" s="60"/>
    </row>
    <row r="267" spans="1:19" hidden="1">
      <c r="A267" s="62" t="s">
        <v>1672</v>
      </c>
      <c r="B267" s="60" t="str">
        <f>IFERROR(VLOOKUP(Proc[[#This Row],[App]],Table2[],3,0),"open")</f>
        <v>ok</v>
      </c>
      <c r="C267" s="62" t="s">
        <v>369</v>
      </c>
      <c r="D267" t="s">
        <v>1674</v>
      </c>
      <c r="E267" t="s">
        <v>1686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69">
        <v>45679.497245370374</v>
      </c>
      <c r="N267" s="69">
        <v>45681</v>
      </c>
      <c r="O267" s="69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1033</v>
      </c>
      <c r="S267" s="60"/>
    </row>
    <row r="268" spans="1:19" hidden="1">
      <c r="A268" s="62" t="s">
        <v>1672</v>
      </c>
      <c r="B268" s="60" t="str">
        <f>IFERROR(VLOOKUP(Proc[[#This Row],[App]],Table2[],3,0),"open")</f>
        <v>ok</v>
      </c>
      <c r="C268" s="62" t="s">
        <v>369</v>
      </c>
      <c r="D268" t="s">
        <v>1675</v>
      </c>
      <c r="E268" t="s">
        <v>1267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69">
        <v>45679.497245370374</v>
      </c>
      <c r="N268" s="69">
        <v>45681</v>
      </c>
      <c r="O268" s="69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1033</v>
      </c>
      <c r="S268" s="60"/>
    </row>
    <row r="269" spans="1:19" hidden="1">
      <c r="A269" s="62" t="s">
        <v>1672</v>
      </c>
      <c r="B269" s="60" t="str">
        <f>IFERROR(VLOOKUP(Proc[[#This Row],[App]],Table2[],3,0),"open")</f>
        <v>ok</v>
      </c>
      <c r="C269" s="62" t="s">
        <v>369</v>
      </c>
      <c r="D269" t="s">
        <v>1676</v>
      </c>
      <c r="E269" t="s">
        <v>1265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69">
        <v>45679.497245370374</v>
      </c>
      <c r="N269" s="69">
        <v>45681</v>
      </c>
      <c r="O269" s="69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1033</v>
      </c>
      <c r="S269" s="60"/>
    </row>
    <row r="270" spans="1:19" hidden="1">
      <c r="A270" s="62" t="s">
        <v>1672</v>
      </c>
      <c r="B270" s="60" t="str">
        <f>IFERROR(VLOOKUP(Proc[[#This Row],[App]],Table2[],3,0),"open")</f>
        <v>ok</v>
      </c>
      <c r="C270" s="62" t="s">
        <v>369</v>
      </c>
      <c r="D270" t="s">
        <v>1677</v>
      </c>
      <c r="E270" t="s">
        <v>1266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69">
        <v>45679.497245370374</v>
      </c>
      <c r="N270" s="69">
        <v>45681</v>
      </c>
      <c r="O270" s="69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1033</v>
      </c>
      <c r="S270" s="60"/>
    </row>
    <row r="271" spans="1:19" hidden="1">
      <c r="A271" s="62" t="s">
        <v>1672</v>
      </c>
      <c r="B271" s="60" t="str">
        <f>IFERROR(VLOOKUP(Proc[[#This Row],[App]],Table2[],3,0),"open")</f>
        <v>ok</v>
      </c>
      <c r="C271" s="62" t="s">
        <v>369</v>
      </c>
      <c r="D271" t="s">
        <v>1678</v>
      </c>
      <c r="E271" t="s">
        <v>1264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69">
        <v>45679.497245370374</v>
      </c>
      <c r="N271" s="69">
        <v>45681</v>
      </c>
      <c r="O271" s="69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1033</v>
      </c>
      <c r="S271" s="60"/>
    </row>
    <row r="272" spans="1:19" hidden="1">
      <c r="A272" s="62" t="s">
        <v>1672</v>
      </c>
      <c r="B272" s="60" t="str">
        <f>IFERROR(VLOOKUP(Proc[[#This Row],[App]],Table2[],3,0),"open")</f>
        <v>ok</v>
      </c>
      <c r="C272" s="62" t="s">
        <v>369</v>
      </c>
      <c r="D272" t="s">
        <v>1679</v>
      </c>
      <c r="E272" t="s">
        <v>1685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69">
        <v>45679.497245370374</v>
      </c>
      <c r="N272" s="69">
        <v>45681</v>
      </c>
      <c r="O272" s="69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1033</v>
      </c>
      <c r="S272" s="60"/>
    </row>
    <row r="273" spans="1:19" hidden="1">
      <c r="A273" s="62" t="s">
        <v>1672</v>
      </c>
      <c r="B273" s="60" t="str">
        <f>IFERROR(VLOOKUP(Proc[[#This Row],[App]],Table2[],3,0),"open")</f>
        <v>ok</v>
      </c>
      <c r="C273" s="62" t="s">
        <v>369</v>
      </c>
      <c r="D273" t="s">
        <v>1680</v>
      </c>
      <c r="E273" t="s">
        <v>1686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69">
        <v>45679.497245370374</v>
      </c>
      <c r="N273" s="69">
        <v>45681</v>
      </c>
      <c r="O273" s="69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1033</v>
      </c>
      <c r="S273" s="60"/>
    </row>
    <row r="274" spans="1:19" hidden="1">
      <c r="A274" s="62" t="s">
        <v>1672</v>
      </c>
      <c r="B274" s="60" t="str">
        <f>IFERROR(VLOOKUP(Proc[[#This Row],[App]],Table2[],3,0),"open")</f>
        <v>ok</v>
      </c>
      <c r="C274" s="62" t="s">
        <v>369</v>
      </c>
      <c r="D274" t="s">
        <v>1681</v>
      </c>
      <c r="E274" t="s">
        <v>1268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69">
        <v>45679.497245370374</v>
      </c>
      <c r="N274" s="69">
        <v>45681</v>
      </c>
      <c r="O274" s="69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1033</v>
      </c>
      <c r="S274" s="60"/>
    </row>
    <row r="275" spans="1:19" hidden="1">
      <c r="A275" s="62" t="s">
        <v>1672</v>
      </c>
      <c r="B275" s="60" t="str">
        <f>IFERROR(VLOOKUP(Proc[[#This Row],[App]],Table2[],3,0),"open")</f>
        <v>ok</v>
      </c>
      <c r="C275" s="62" t="s">
        <v>369</v>
      </c>
      <c r="D275" t="s">
        <v>1682</v>
      </c>
      <c r="E275" t="s">
        <v>1268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69">
        <v>45679.497245370374</v>
      </c>
      <c r="N275" s="69">
        <v>45681</v>
      </c>
      <c r="O275" s="69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1033</v>
      </c>
      <c r="S275" s="60"/>
    </row>
    <row r="276" spans="1:19" hidden="1">
      <c r="A276" s="62" t="s">
        <v>1672</v>
      </c>
      <c r="B276" s="60" t="str">
        <f>IFERROR(VLOOKUP(Proc[[#This Row],[App]],Table2[],3,0),"open")</f>
        <v>ok</v>
      </c>
      <c r="C276" s="62" t="s">
        <v>369</v>
      </c>
      <c r="D276" t="s">
        <v>1683</v>
      </c>
      <c r="E276" t="s">
        <v>1268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69">
        <v>45679.497245370374</v>
      </c>
      <c r="N276" s="69">
        <v>45681</v>
      </c>
      <c r="O276" s="69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1033</v>
      </c>
      <c r="S276" s="60"/>
    </row>
    <row r="277" spans="1:19" hidden="1">
      <c r="A277" s="62" t="s">
        <v>1672</v>
      </c>
      <c r="B277" s="60" t="str">
        <f>IFERROR(VLOOKUP(Proc[[#This Row],[App]],Table2[],3,0),"open")</f>
        <v>ok</v>
      </c>
      <c r="C277" s="62" t="s">
        <v>369</v>
      </c>
      <c r="D277" t="s">
        <v>1684</v>
      </c>
      <c r="E277" t="s">
        <v>1268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69">
        <v>45679.497245370374</v>
      </c>
      <c r="N277" s="69">
        <v>45681</v>
      </c>
      <c r="O277" s="69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1033</v>
      </c>
      <c r="S277" s="60"/>
    </row>
    <row r="278" spans="1:19" hidden="1">
      <c r="A278" t="s">
        <v>1687</v>
      </c>
      <c r="B278" s="60" t="str">
        <f>IFERROR(VLOOKUP(Proc[[#This Row],[App]],Table2[],3,0),"open")</f>
        <v>ok</v>
      </c>
      <c r="C278" s="62" t="s">
        <v>369</v>
      </c>
      <c r="D278" t="s">
        <v>1688</v>
      </c>
      <c r="E278" t="s">
        <v>1188</v>
      </c>
      <c r="F278" s="60" t="s">
        <v>1125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69">
        <v>45678.433263888888</v>
      </c>
      <c r="N278" s="69">
        <v>45681</v>
      </c>
      <c r="O278" s="69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1004</v>
      </c>
      <c r="S278" s="60"/>
    </row>
    <row r="279" spans="1:19" hidden="1">
      <c r="A279" s="62" t="s">
        <v>1687</v>
      </c>
      <c r="B279" s="60" t="str">
        <f>IFERROR(VLOOKUP(Proc[[#This Row],[App]],Table2[],3,0),"open")</f>
        <v>ok</v>
      </c>
      <c r="C279" s="62" t="s">
        <v>369</v>
      </c>
      <c r="D279" t="s">
        <v>1689</v>
      </c>
      <c r="E279" t="s">
        <v>1187</v>
      </c>
      <c r="F279" s="60" t="s">
        <v>1207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69">
        <v>45678.433263888888</v>
      </c>
      <c r="N279" s="69">
        <v>45681</v>
      </c>
      <c r="O279" s="69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1004</v>
      </c>
      <c r="S279" s="60"/>
    </row>
    <row r="280" spans="1:19" hidden="1">
      <c r="A280" s="62" t="s">
        <v>1687</v>
      </c>
      <c r="B280" s="60" t="str">
        <f>IFERROR(VLOOKUP(Proc[[#This Row],[App]],Table2[],3,0),"open")</f>
        <v>ok</v>
      </c>
      <c r="C280" s="62" t="s">
        <v>369</v>
      </c>
      <c r="D280" t="s">
        <v>1690</v>
      </c>
      <c r="E280" t="s">
        <v>498</v>
      </c>
      <c r="F280" s="60" t="s">
        <v>1692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69">
        <v>45678.433263888888</v>
      </c>
      <c r="N280" s="69">
        <v>45681</v>
      </c>
      <c r="O280" s="69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1004</v>
      </c>
      <c r="S280" s="60"/>
    </row>
    <row r="281" spans="1:19" hidden="1">
      <c r="A281" s="62" t="s">
        <v>1687</v>
      </c>
      <c r="B281" s="60" t="str">
        <f>IFERROR(VLOOKUP(Proc[[#This Row],[App]],Table2[],3,0),"open")</f>
        <v>ok</v>
      </c>
      <c r="C281" s="62" t="s">
        <v>369</v>
      </c>
      <c r="D281" t="s">
        <v>1691</v>
      </c>
      <c r="E281" t="s">
        <v>649</v>
      </c>
      <c r="F281" s="60" t="s">
        <v>1693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69">
        <v>45678.433263888888</v>
      </c>
      <c r="N281" s="69">
        <v>45681</v>
      </c>
      <c r="O281" s="69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1004</v>
      </c>
      <c r="S281" s="60"/>
    </row>
    <row r="282" spans="1:19" hidden="1">
      <c r="A282" t="s">
        <v>1699</v>
      </c>
      <c r="B282" s="60" t="str">
        <f>IFERROR(VLOOKUP(Proc[[#This Row],[App]],Table2[],3,0),"open")</f>
        <v>ok</v>
      </c>
      <c r="C282" t="s">
        <v>369</v>
      </c>
      <c r="D282" t="s">
        <v>1694</v>
      </c>
      <c r="E282" t="s">
        <v>1084</v>
      </c>
      <c r="F282" s="60" t="s">
        <v>1697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69">
        <v>45680.579351851855</v>
      </c>
      <c r="N282" s="69">
        <v>45681</v>
      </c>
      <c r="O282" s="69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1699</v>
      </c>
      <c r="B283" s="60" t="str">
        <f>IFERROR(VLOOKUP(Proc[[#This Row],[App]],Table2[],3,0),"open")</f>
        <v>ok</v>
      </c>
      <c r="C283" s="62" t="s">
        <v>369</v>
      </c>
      <c r="D283" t="s">
        <v>1695</v>
      </c>
      <c r="E283" t="s">
        <v>1084</v>
      </c>
      <c r="F283" s="60" t="s">
        <v>1697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69">
        <v>45680.579351851855</v>
      </c>
      <c r="N283" s="69">
        <v>45681</v>
      </c>
      <c r="O283" s="69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1699</v>
      </c>
      <c r="B284" s="60" t="str">
        <f>IFERROR(VLOOKUP(Proc[[#This Row],[App]],Table2[],3,0),"open")</f>
        <v>ok</v>
      </c>
      <c r="C284" s="62" t="s">
        <v>377</v>
      </c>
      <c r="D284" t="s">
        <v>1083</v>
      </c>
      <c r="E284" t="s">
        <v>1084</v>
      </c>
      <c r="F284" s="60" t="s">
        <v>1085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69">
        <v>45680.579351851855</v>
      </c>
      <c r="O284" s="69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1699</v>
      </c>
      <c r="B285" s="60" t="str">
        <f>IFERROR(VLOOKUP(Proc[[#This Row],[App]],Table2[],3,0),"open")</f>
        <v>ok</v>
      </c>
      <c r="C285" s="62" t="s">
        <v>369</v>
      </c>
      <c r="D285" t="s">
        <v>1696</v>
      </c>
      <c r="E285" t="s">
        <v>1084</v>
      </c>
      <c r="F285" s="60" t="s">
        <v>1698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69">
        <v>45680.579351851855</v>
      </c>
      <c r="N285" s="69">
        <v>45681</v>
      </c>
      <c r="O285" s="69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1700</v>
      </c>
      <c r="B286" s="60" t="str">
        <f>IFERROR(VLOOKUP(Proc[[#This Row],[App]],Table2[],3,0),"open")</f>
        <v>ok</v>
      </c>
      <c r="C286" s="62" t="s">
        <v>369</v>
      </c>
      <c r="D286" t="s">
        <v>1701</v>
      </c>
      <c r="E286" t="s">
        <v>1702</v>
      </c>
      <c r="F286" s="62" t="s">
        <v>1703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69">
        <v>45680.579351851855</v>
      </c>
      <c r="N286" s="69">
        <v>45681</v>
      </c>
      <c r="O286" s="69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1715</v>
      </c>
      <c r="B287" s="60" t="str">
        <f>IFERROR(VLOOKUP(Proc[[#This Row],[App]],Table2[],3,0),"open")</f>
        <v>ok</v>
      </c>
      <c r="C287" t="s">
        <v>369</v>
      </c>
      <c r="D287" t="s">
        <v>1704</v>
      </c>
      <c r="E287" t="s">
        <v>491</v>
      </c>
      <c r="F287" s="60" t="s">
        <v>1712</v>
      </c>
      <c r="G287" t="s">
        <v>400</v>
      </c>
      <c r="H287" s="60" t="str">
        <f>IF(Proc[[#This Row],[type]]="LFF (MDG-F)",MID(Proc[[#This Row],[Obj]],13,10),"")</f>
        <v/>
      </c>
      <c r="I287" t="s">
        <v>1726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69">
        <v>45681.36482638889</v>
      </c>
      <c r="N287" s="69">
        <v>45688</v>
      </c>
      <c r="O287" s="69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1715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1713</v>
      </c>
      <c r="G288" s="62" t="s">
        <v>400</v>
      </c>
      <c r="H288" s="60" t="str">
        <f>IF(Proc[[#This Row],[type]]="LFF (MDG-F)",MID(Proc[[#This Row],[Obj]],13,10),"")</f>
        <v/>
      </c>
      <c r="I288" s="62" t="s">
        <v>1726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69">
        <v>45681.36482638889</v>
      </c>
      <c r="N288" s="69">
        <v>45688</v>
      </c>
      <c r="O288" s="69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1715</v>
      </c>
      <c r="B289" s="60" t="str">
        <f>IFERROR(VLOOKUP(Proc[[#This Row],[App]],Table2[],3,0),"open")</f>
        <v>ok</v>
      </c>
      <c r="C289" s="62" t="s">
        <v>369</v>
      </c>
      <c r="D289" t="s">
        <v>1705</v>
      </c>
      <c r="E289" t="s">
        <v>1275</v>
      </c>
      <c r="F289" s="60" t="s">
        <v>1714</v>
      </c>
      <c r="G289" s="62" t="s">
        <v>400</v>
      </c>
      <c r="H289" s="60" t="str">
        <f>IF(Proc[[#This Row],[type]]="LFF (MDG-F)",MID(Proc[[#This Row],[Obj]],13,10),"")</f>
        <v/>
      </c>
      <c r="I289" s="62" t="s">
        <v>1726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69">
        <v>45681.36482638889</v>
      </c>
      <c r="N289" s="69">
        <v>45688</v>
      </c>
      <c r="O289" s="69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1715</v>
      </c>
      <c r="B290" s="60" t="str">
        <f>IFERROR(VLOOKUP(Proc[[#This Row],[App]],Table2[],3,0),"open")</f>
        <v>ok</v>
      </c>
      <c r="C290" s="62" t="s">
        <v>369</v>
      </c>
      <c r="D290" t="s">
        <v>1706</v>
      </c>
      <c r="E290" t="s">
        <v>1275</v>
      </c>
      <c r="F290" s="60" t="s">
        <v>1714</v>
      </c>
      <c r="G290" s="62" t="s">
        <v>400</v>
      </c>
      <c r="H290" s="60" t="str">
        <f>IF(Proc[[#This Row],[type]]="LFF (MDG-F)",MID(Proc[[#This Row],[Obj]],13,10),"")</f>
        <v/>
      </c>
      <c r="I290" s="62" t="s">
        <v>1726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69">
        <v>45681.36482638889</v>
      </c>
      <c r="N290" s="69">
        <v>45688</v>
      </c>
      <c r="O290" s="69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1715</v>
      </c>
      <c r="B291" s="60" t="str">
        <f>IFERROR(VLOOKUP(Proc[[#This Row],[App]],Table2[],3,0),"open")</f>
        <v>ok</v>
      </c>
      <c r="C291" s="62" t="s">
        <v>369</v>
      </c>
      <c r="D291" t="s">
        <v>1707</v>
      </c>
      <c r="E291" t="s">
        <v>1275</v>
      </c>
      <c r="F291" s="60" t="s">
        <v>1714</v>
      </c>
      <c r="G291" s="62" t="s">
        <v>400</v>
      </c>
      <c r="H291" s="60" t="str">
        <f>IF(Proc[[#This Row],[type]]="LFF (MDG-F)",MID(Proc[[#This Row],[Obj]],13,10),"")</f>
        <v/>
      </c>
      <c r="I291" s="62" t="s">
        <v>1726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69">
        <v>45681.36482638889</v>
      </c>
      <c r="N291" s="69">
        <v>45688</v>
      </c>
      <c r="O291" s="69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1715</v>
      </c>
      <c r="B292" s="60" t="str">
        <f>IFERROR(VLOOKUP(Proc[[#This Row],[App]],Table2[],3,0),"open")</f>
        <v>ok</v>
      </c>
      <c r="C292" s="62" t="s">
        <v>369</v>
      </c>
      <c r="D292" t="s">
        <v>1708</v>
      </c>
      <c r="E292" t="s">
        <v>1275</v>
      </c>
      <c r="F292" s="60" t="s">
        <v>1714</v>
      </c>
      <c r="G292" s="62" t="s">
        <v>400</v>
      </c>
      <c r="H292" s="60" t="str">
        <f>IF(Proc[[#This Row],[type]]="LFF (MDG-F)",MID(Proc[[#This Row],[Obj]],13,10),"")</f>
        <v/>
      </c>
      <c r="I292" s="62" t="s">
        <v>1726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69">
        <v>45681.36482638889</v>
      </c>
      <c r="N292" s="69">
        <v>45688</v>
      </c>
      <c r="O292" s="69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1715</v>
      </c>
      <c r="B293" s="60" t="str">
        <f>IFERROR(VLOOKUP(Proc[[#This Row],[App]],Table2[],3,0),"open")</f>
        <v>ok</v>
      </c>
      <c r="C293" s="62" t="s">
        <v>369</v>
      </c>
      <c r="D293" t="s">
        <v>1709</v>
      </c>
      <c r="E293" t="s">
        <v>1275</v>
      </c>
      <c r="F293" s="60" t="s">
        <v>1714</v>
      </c>
      <c r="G293" s="62" t="s">
        <v>400</v>
      </c>
      <c r="H293" s="60" t="str">
        <f>IF(Proc[[#This Row],[type]]="LFF (MDG-F)",MID(Proc[[#This Row],[Obj]],13,10),"")</f>
        <v/>
      </c>
      <c r="I293" s="62" t="s">
        <v>1726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69">
        <v>45681.36482638889</v>
      </c>
      <c r="N293" s="69">
        <v>45688</v>
      </c>
      <c r="O293" s="69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1715</v>
      </c>
      <c r="B294" s="60" t="str">
        <f>IFERROR(VLOOKUP(Proc[[#This Row],[App]],Table2[],3,0),"open")</f>
        <v>ok</v>
      </c>
      <c r="C294" s="62" t="s">
        <v>369</v>
      </c>
      <c r="D294" t="s">
        <v>1710</v>
      </c>
      <c r="E294" t="s">
        <v>2697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1726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69">
        <v>45681.36482638889</v>
      </c>
      <c r="N294" s="69">
        <v>45688</v>
      </c>
      <c r="O294" s="69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1715</v>
      </c>
      <c r="B295" s="60" t="str">
        <f>IFERROR(VLOOKUP(Proc[[#This Row],[App]],Table2[],3,0),"open")</f>
        <v>ok</v>
      </c>
      <c r="C295" s="62" t="s">
        <v>369</v>
      </c>
      <c r="D295" t="s">
        <v>1711</v>
      </c>
      <c r="E295" t="s">
        <v>2225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1726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69">
        <v>45681.36482638889</v>
      </c>
      <c r="N295" s="69">
        <v>45688</v>
      </c>
      <c r="O295" s="69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1716</v>
      </c>
      <c r="B296" s="32" t="str">
        <f>IFERROR(VLOOKUP(Proc[[#This Row],[App]],Table2[],3,0),"open")</f>
        <v>ok</v>
      </c>
      <c r="C296" s="63" t="s">
        <v>369</v>
      </c>
      <c r="D296" t="s">
        <v>1717</v>
      </c>
      <c r="E296" t="s">
        <v>1723</v>
      </c>
      <c r="F296" s="62" t="s">
        <v>1723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1726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69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34</v>
      </c>
      <c r="R296" s="64" t="s">
        <v>1113</v>
      </c>
      <c r="S296" s="60"/>
    </row>
    <row r="297" spans="1:19" hidden="1">
      <c r="A297" s="62" t="s">
        <v>1716</v>
      </c>
      <c r="B297" s="60" t="str">
        <f>IFERROR(VLOOKUP(Proc[[#This Row],[App]],Table2[],3,0),"open")</f>
        <v>ok</v>
      </c>
      <c r="C297" s="63" t="s">
        <v>369</v>
      </c>
      <c r="D297" t="s">
        <v>1718</v>
      </c>
      <c r="E297" t="s">
        <v>975</v>
      </c>
      <c r="F297" s="62" t="s">
        <v>975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1726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69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34</v>
      </c>
      <c r="R297" s="64" t="s">
        <v>1113</v>
      </c>
      <c r="S297" s="60"/>
    </row>
    <row r="298" spans="1:19" hidden="1">
      <c r="A298" s="62" t="s">
        <v>1716</v>
      </c>
      <c r="B298" s="60" t="str">
        <f>IFERROR(VLOOKUP(Proc[[#This Row],[App]],Table2[],3,0),"open")</f>
        <v>ok</v>
      </c>
      <c r="C298" s="63" t="s">
        <v>369</v>
      </c>
      <c r="D298" t="s">
        <v>1719</v>
      </c>
      <c r="E298" t="s">
        <v>1214</v>
      </c>
      <c r="F298" s="62" t="s">
        <v>1214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1726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69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34</v>
      </c>
      <c r="R298" s="64" t="s">
        <v>1113</v>
      </c>
      <c r="S298" s="60"/>
    </row>
    <row r="299" spans="1:19" hidden="1">
      <c r="A299" s="62" t="s">
        <v>1716</v>
      </c>
      <c r="B299" s="60" t="str">
        <f>IFERROR(VLOOKUP(Proc[[#This Row],[App]],Table2[],3,0),"open")</f>
        <v>ok</v>
      </c>
      <c r="C299" s="63" t="s">
        <v>369</v>
      </c>
      <c r="D299" t="s">
        <v>1720</v>
      </c>
      <c r="E299" t="s">
        <v>1214</v>
      </c>
      <c r="F299" s="62" t="s">
        <v>1214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1726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69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34</v>
      </c>
      <c r="R299" s="64" t="s">
        <v>1113</v>
      </c>
      <c r="S299" s="60"/>
    </row>
    <row r="300" spans="1:19" hidden="1">
      <c r="A300" s="62" t="s">
        <v>1716</v>
      </c>
      <c r="B300" s="60" t="str">
        <f>IFERROR(VLOOKUP(Proc[[#This Row],[App]],Table2[],3,0),"open")</f>
        <v>ok</v>
      </c>
      <c r="C300" s="63" t="s">
        <v>369</v>
      </c>
      <c r="D300" t="s">
        <v>1721</v>
      </c>
      <c r="E300" t="s">
        <v>1214</v>
      </c>
      <c r="F300" s="62" t="s">
        <v>1214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1726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69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34</v>
      </c>
      <c r="R300" s="64" t="s">
        <v>1113</v>
      </c>
      <c r="S300" s="60"/>
    </row>
    <row r="301" spans="1:19" hidden="1">
      <c r="A301" s="62" t="s">
        <v>1716</v>
      </c>
      <c r="B301" s="60" t="str">
        <f>IFERROR(VLOOKUP(Proc[[#This Row],[App]],Table2[],3,0),"open")</f>
        <v>ok</v>
      </c>
      <c r="C301" s="63" t="s">
        <v>369</v>
      </c>
      <c r="D301" t="s">
        <v>1722</v>
      </c>
      <c r="E301" t="s">
        <v>1724</v>
      </c>
      <c r="F301" s="62" t="s">
        <v>1724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1726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69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34</v>
      </c>
      <c r="R301" s="64" t="s">
        <v>1113</v>
      </c>
      <c r="S301" s="60"/>
    </row>
    <row r="302" spans="1:19" hidden="1">
      <c r="A302" s="62" t="s">
        <v>1716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1726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69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34</v>
      </c>
      <c r="R302" s="64" t="s">
        <v>1113</v>
      </c>
      <c r="S302" s="60"/>
    </row>
    <row r="303" spans="1:19" hidden="1">
      <c r="A303" s="62" t="s">
        <v>1716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1725</v>
      </c>
      <c r="F303" s="62" t="s">
        <v>1725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1726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69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34</v>
      </c>
      <c r="R303" s="64" t="s">
        <v>1113</v>
      </c>
      <c r="S303" s="60"/>
    </row>
    <row r="304" spans="1:19" hidden="1">
      <c r="A304" s="62" t="s">
        <v>1716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1725</v>
      </c>
      <c r="F304" s="62" t="s">
        <v>1725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1726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69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34</v>
      </c>
      <c r="R304" s="64" t="s">
        <v>1113</v>
      </c>
      <c r="S304" s="60"/>
    </row>
    <row r="305" spans="1:19" hidden="1">
      <c r="A305" s="62" t="s">
        <v>1716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1723</v>
      </c>
      <c r="F305" s="62" t="s">
        <v>1723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1726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69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34</v>
      </c>
      <c r="R305" s="64" t="s">
        <v>1113</v>
      </c>
      <c r="S305" s="60"/>
    </row>
    <row r="306" spans="1:19" hidden="1">
      <c r="A306" s="62" t="s">
        <v>1716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1213</v>
      </c>
      <c r="F306" s="62" t="s">
        <v>1213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1726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69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34</v>
      </c>
      <c r="R306" s="64" t="s">
        <v>1113</v>
      </c>
      <c r="S306" s="60"/>
    </row>
    <row r="307" spans="1:19" hidden="1">
      <c r="A307" t="s">
        <v>1730</v>
      </c>
      <c r="B307" s="60" t="str">
        <f>IFERROR(VLOOKUP(Proc[[#This Row],[App]],Table2[],3,0),"open")</f>
        <v>ok</v>
      </c>
      <c r="C307" t="s">
        <v>369</v>
      </c>
      <c r="D307" t="s">
        <v>1731</v>
      </c>
      <c r="E307" t="s">
        <v>1732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69">
        <v>45681.610185185185</v>
      </c>
      <c r="N307" s="69">
        <v>45688</v>
      </c>
      <c r="O307" s="69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1326</v>
      </c>
      <c r="S307" s="60"/>
    </row>
    <row r="308" spans="1:19" hidden="1">
      <c r="A308" t="s">
        <v>1733</v>
      </c>
      <c r="B308" s="60" t="str">
        <f>IFERROR(VLOOKUP(Proc[[#This Row],[App]],Table2[],3,0),"open")</f>
        <v>ok</v>
      </c>
      <c r="C308" s="62" t="s">
        <v>369</v>
      </c>
      <c r="D308" t="s">
        <v>1734</v>
      </c>
      <c r="E308" t="s">
        <v>1288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69">
        <v>45685.33834490741</v>
      </c>
      <c r="N308" s="69">
        <v>45688</v>
      </c>
      <c r="O308" s="69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1004</v>
      </c>
      <c r="S308" s="60"/>
    </row>
    <row r="309" spans="1:19" hidden="1">
      <c r="A309" s="62" t="s">
        <v>1733</v>
      </c>
      <c r="B309" s="60" t="str">
        <f>IFERROR(VLOOKUP(Proc[[#This Row],[App]],Table2[],3,0),"open")</f>
        <v>ok</v>
      </c>
      <c r="C309" s="62" t="s">
        <v>369</v>
      </c>
      <c r="D309" t="s">
        <v>1735</v>
      </c>
      <c r="E309" t="s">
        <v>1287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69">
        <v>45685.33834490741</v>
      </c>
      <c r="N309" s="69">
        <v>45688</v>
      </c>
      <c r="O309" s="69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1004</v>
      </c>
      <c r="S309" s="60"/>
    </row>
    <row r="310" spans="1:19" hidden="1">
      <c r="A310" s="62" t="s">
        <v>1733</v>
      </c>
      <c r="B310" s="60" t="str">
        <f>IFERROR(VLOOKUP(Proc[[#This Row],[App]],Table2[],3,0),"open")</f>
        <v>ok</v>
      </c>
      <c r="C310" s="62" t="s">
        <v>369</v>
      </c>
      <c r="D310" t="s">
        <v>1736</v>
      </c>
      <c r="E310" t="s">
        <v>1739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69">
        <v>45685.33834490741</v>
      </c>
      <c r="N310" s="69">
        <v>45688</v>
      </c>
      <c r="O310" s="69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1004</v>
      </c>
      <c r="S310" s="60"/>
    </row>
    <row r="311" spans="1:19" hidden="1">
      <c r="A311" s="62" t="s">
        <v>1733</v>
      </c>
      <c r="B311" s="60" t="str">
        <f>IFERROR(VLOOKUP(Proc[[#This Row],[App]],Table2[],3,0),"open")</f>
        <v>ok</v>
      </c>
      <c r="C311" s="62" t="s">
        <v>369</v>
      </c>
      <c r="D311" t="s">
        <v>1741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69">
        <v>45685.33834490741</v>
      </c>
      <c r="N311" s="69">
        <v>45688</v>
      </c>
      <c r="O311" s="69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1004</v>
      </c>
      <c r="S311" s="60"/>
    </row>
    <row r="312" spans="1:19" hidden="1">
      <c r="A312" s="62" t="s">
        <v>1733</v>
      </c>
      <c r="B312" s="60" t="str">
        <f>IFERROR(VLOOKUP(Proc[[#This Row],[App]],Table2[],3,0),"open")</f>
        <v>ok</v>
      </c>
      <c r="C312" s="62" t="s">
        <v>369</v>
      </c>
      <c r="D312" t="s">
        <v>1737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69">
        <v>45685.33834490741</v>
      </c>
      <c r="N312" s="69">
        <v>45688</v>
      </c>
      <c r="O312" s="69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1004</v>
      </c>
      <c r="S312" s="60"/>
    </row>
    <row r="313" spans="1:19" hidden="1">
      <c r="A313" s="62" t="s">
        <v>1733</v>
      </c>
      <c r="B313" s="60" t="str">
        <f>IFERROR(VLOOKUP(Proc[[#This Row],[App]],Table2[],3,0),"open")</f>
        <v>ok</v>
      </c>
      <c r="C313" s="62" t="s">
        <v>369</v>
      </c>
      <c r="D313" t="s">
        <v>1738</v>
      </c>
      <c r="E313" t="s">
        <v>1740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69">
        <v>45685.33834490741</v>
      </c>
      <c r="N313" s="69">
        <v>45688</v>
      </c>
      <c r="O313" s="69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1004</v>
      </c>
      <c r="S313" s="60"/>
    </row>
    <row r="314" spans="1:19" hidden="1">
      <c r="A314" t="s">
        <v>1743</v>
      </c>
      <c r="B314" s="60" t="str">
        <f>IFERROR(VLOOKUP(Proc[[#This Row],[App]],Table2[],3,0),"open")</f>
        <v>ok</v>
      </c>
      <c r="C314" s="62" t="s">
        <v>369</v>
      </c>
      <c r="D314" t="s">
        <v>1742</v>
      </c>
      <c r="E314" t="s">
        <v>1066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69">
        <v>45685.502604166664</v>
      </c>
      <c r="N314" s="69">
        <v>45688</v>
      </c>
      <c r="O314" s="69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1744</v>
      </c>
      <c r="B315" s="60" t="str">
        <f>IFERROR(VLOOKUP(Proc[[#This Row],[App]],Table2[],3,0),"open")</f>
        <v>ok</v>
      </c>
      <c r="C315" s="63" t="s">
        <v>369</v>
      </c>
      <c r="D315" t="s">
        <v>1745</v>
      </c>
      <c r="E315" t="s">
        <v>419</v>
      </c>
      <c r="F315" s="60" t="s">
        <v>1099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69">
        <v>45687.614363425928</v>
      </c>
      <c r="N315" s="69">
        <v>45691</v>
      </c>
      <c r="O315" s="69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1113</v>
      </c>
      <c r="S315" s="60"/>
    </row>
    <row r="316" spans="1:19" hidden="1">
      <c r="A316" t="s">
        <v>1746</v>
      </c>
      <c r="B316" s="60" t="str">
        <f>IFERROR(VLOOKUP(Proc[[#This Row],[App]],Table2[],3,0),"open")</f>
        <v>ok</v>
      </c>
      <c r="C316" s="63" t="s">
        <v>369</v>
      </c>
      <c r="D316" t="s">
        <v>1752</v>
      </c>
      <c r="E316" t="s">
        <v>418</v>
      </c>
      <c r="F316" s="60" t="s">
        <v>1758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69">
        <v>45687.600775462961</v>
      </c>
      <c r="N316" s="69">
        <v>45691</v>
      </c>
      <c r="O316" s="69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1004</v>
      </c>
      <c r="S316" s="60"/>
    </row>
    <row r="317" spans="1:19" hidden="1">
      <c r="A317" s="62" t="s">
        <v>1746</v>
      </c>
      <c r="B317" s="60" t="str">
        <f>IFERROR(VLOOKUP(Proc[[#This Row],[App]],Table2[],3,0),"open")</f>
        <v>ok</v>
      </c>
      <c r="C317" s="63" t="s">
        <v>369</v>
      </c>
      <c r="D317" t="s">
        <v>1747</v>
      </c>
      <c r="E317" t="s">
        <v>1189</v>
      </c>
      <c r="F317" s="60" t="s">
        <v>1753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69">
        <v>45687.600775462961</v>
      </c>
      <c r="N317" s="69">
        <v>45691</v>
      </c>
      <c r="O317" s="69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1004</v>
      </c>
      <c r="S317" s="60"/>
    </row>
    <row r="318" spans="1:19" hidden="1">
      <c r="A318" s="62" t="s">
        <v>1746</v>
      </c>
      <c r="B318" s="60" t="str">
        <f>IFERROR(VLOOKUP(Proc[[#This Row],[App]],Table2[],3,0),"open")</f>
        <v>ok</v>
      </c>
      <c r="C318" s="63" t="s">
        <v>369</v>
      </c>
      <c r="D318" t="s">
        <v>1748</v>
      </c>
      <c r="E318" t="s">
        <v>1189</v>
      </c>
      <c r="F318" s="60" t="s">
        <v>1754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69">
        <v>45687.600775462961</v>
      </c>
      <c r="N318" s="69">
        <v>45691</v>
      </c>
      <c r="O318" s="69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1004</v>
      </c>
      <c r="S318" s="60"/>
    </row>
    <row r="319" spans="1:19" hidden="1">
      <c r="A319" s="62" t="s">
        <v>1746</v>
      </c>
      <c r="B319" s="60" t="str">
        <f>IFERROR(VLOOKUP(Proc[[#This Row],[App]],Table2[],3,0),"open")</f>
        <v>ok</v>
      </c>
      <c r="C319" s="63" t="s">
        <v>369</v>
      </c>
      <c r="D319" t="s">
        <v>1749</v>
      </c>
      <c r="E319" t="s">
        <v>1189</v>
      </c>
      <c r="F319" s="60" t="s">
        <v>1755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69">
        <v>45687.600775462961</v>
      </c>
      <c r="N319" s="69">
        <v>45691</v>
      </c>
      <c r="O319" s="69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1004</v>
      </c>
      <c r="S319" s="60"/>
    </row>
    <row r="320" spans="1:19" hidden="1">
      <c r="A320" s="62" t="s">
        <v>1746</v>
      </c>
      <c r="B320" s="60" t="str">
        <f>IFERROR(VLOOKUP(Proc[[#This Row],[App]],Table2[],3,0),"open")</f>
        <v>ok</v>
      </c>
      <c r="C320" s="63" t="s">
        <v>369</v>
      </c>
      <c r="D320" t="s">
        <v>1750</v>
      </c>
      <c r="E320" t="s">
        <v>1189</v>
      </c>
      <c r="F320" s="60" t="s">
        <v>1756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69">
        <v>45687.600775462961</v>
      </c>
      <c r="N320" s="69">
        <v>45691</v>
      </c>
      <c r="O320" s="69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1004</v>
      </c>
      <c r="S320" s="60"/>
    </row>
    <row r="321" spans="1:19" hidden="1">
      <c r="A321" s="62" t="s">
        <v>1746</v>
      </c>
      <c r="B321" s="60" t="str">
        <f>IFERROR(VLOOKUP(Proc[[#This Row],[App]],Table2[],3,0),"open")</f>
        <v>ok</v>
      </c>
      <c r="C321" s="63" t="s">
        <v>369</v>
      </c>
      <c r="D321" t="s">
        <v>1751</v>
      </c>
      <c r="E321" t="s">
        <v>1189</v>
      </c>
      <c r="F321" s="60" t="s">
        <v>1757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69">
        <v>45687.600775462961</v>
      </c>
      <c r="N321" s="69">
        <v>45691</v>
      </c>
      <c r="O321" s="69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1004</v>
      </c>
      <c r="S321" s="60"/>
    </row>
    <row r="322" spans="1:19" hidden="1">
      <c r="A322" t="s">
        <v>1761</v>
      </c>
      <c r="B322" s="60" t="str">
        <f>IFERROR(VLOOKUP(Proc[[#This Row],[App]],Table2[],3,0),"open")</f>
        <v>ok</v>
      </c>
      <c r="C322" s="63" t="s">
        <v>369</v>
      </c>
      <c r="D322" t="s">
        <v>1759</v>
      </c>
      <c r="E322" t="s">
        <v>1763</v>
      </c>
      <c r="F322" s="60" t="s">
        <v>1760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69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30</v>
      </c>
      <c r="R322" s="69" t="s">
        <v>1762</v>
      </c>
      <c r="S322" s="60"/>
    </row>
    <row r="323" spans="1:19" hidden="1">
      <c r="A323" t="s">
        <v>1782</v>
      </c>
      <c r="B323" s="60" t="str">
        <f>IFERROR(VLOOKUP(Proc[[#This Row],[App]],Table2[],3,0),"open")</f>
        <v>ok</v>
      </c>
      <c r="C323" s="63" t="s">
        <v>369</v>
      </c>
      <c r="D323" t="s">
        <v>1764</v>
      </c>
      <c r="E323" t="s">
        <v>840</v>
      </c>
      <c r="F323" s="60" t="s">
        <v>1235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69">
        <v>45688.524016203701</v>
      </c>
      <c r="N323" s="69">
        <v>45691</v>
      </c>
      <c r="O323" s="69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1045</v>
      </c>
      <c r="S323" s="60"/>
    </row>
    <row r="324" spans="1:19" hidden="1">
      <c r="A324" s="62" t="s">
        <v>1782</v>
      </c>
      <c r="B324" s="60" t="str">
        <f>IFERROR(VLOOKUP(Proc[[#This Row],[App]],Table2[],3,0),"open")</f>
        <v>ok</v>
      </c>
      <c r="C324" s="63" t="s">
        <v>369</v>
      </c>
      <c r="D324" t="s">
        <v>1765</v>
      </c>
      <c r="E324" t="s">
        <v>839</v>
      </c>
      <c r="F324" s="60" t="s">
        <v>1783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69">
        <v>45688.524016203701</v>
      </c>
      <c r="N324" s="69">
        <v>45691</v>
      </c>
      <c r="O324" s="69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1045</v>
      </c>
      <c r="S324" s="60"/>
    </row>
    <row r="325" spans="1:19" hidden="1">
      <c r="A325" s="62" t="s">
        <v>1782</v>
      </c>
      <c r="B325" s="60" t="str">
        <f>IFERROR(VLOOKUP(Proc[[#This Row],[App]],Table2[],3,0),"open")</f>
        <v>ok</v>
      </c>
      <c r="C325" s="63" t="s">
        <v>369</v>
      </c>
      <c r="D325" t="s">
        <v>1766</v>
      </c>
      <c r="E325" t="s">
        <v>581</v>
      </c>
      <c r="F325" s="60" t="s">
        <v>1784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69">
        <v>45688.524016203701</v>
      </c>
      <c r="N325" s="69">
        <v>45691</v>
      </c>
      <c r="O325" s="69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1045</v>
      </c>
      <c r="S325" s="60"/>
    </row>
    <row r="326" spans="1:19" hidden="1">
      <c r="A326" s="62" t="s">
        <v>1782</v>
      </c>
      <c r="B326" s="60" t="str">
        <f>IFERROR(VLOOKUP(Proc[[#This Row],[App]],Table2[],3,0),"open")</f>
        <v>ok</v>
      </c>
      <c r="C326" s="63" t="s">
        <v>369</v>
      </c>
      <c r="D326" t="s">
        <v>1767</v>
      </c>
      <c r="E326" t="s">
        <v>582</v>
      </c>
      <c r="F326" s="60" t="s">
        <v>990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69">
        <v>45688.524016203701</v>
      </c>
      <c r="N326" s="69">
        <v>45691</v>
      </c>
      <c r="O326" s="69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1045</v>
      </c>
      <c r="S326" s="60"/>
    </row>
    <row r="327" spans="1:19" hidden="1">
      <c r="A327" s="62" t="s">
        <v>1782</v>
      </c>
      <c r="B327" s="60" t="str">
        <f>IFERROR(VLOOKUP(Proc[[#This Row],[App]],Table2[],3,0),"open")</f>
        <v>ok</v>
      </c>
      <c r="C327" s="63" t="s">
        <v>369</v>
      </c>
      <c r="D327" t="s">
        <v>1768</v>
      </c>
      <c r="E327" t="s">
        <v>582</v>
      </c>
      <c r="F327" s="60" t="s">
        <v>990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69">
        <v>45688.524016203701</v>
      </c>
      <c r="N327" s="69">
        <v>45691</v>
      </c>
      <c r="O327" s="69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1045</v>
      </c>
      <c r="S327" s="60"/>
    </row>
    <row r="328" spans="1:19" hidden="1">
      <c r="A328" s="62" t="s">
        <v>1782</v>
      </c>
      <c r="B328" s="60" t="str">
        <f>IFERROR(VLOOKUP(Proc[[#This Row],[App]],Table2[],3,0),"open")</f>
        <v>ok</v>
      </c>
      <c r="C328" s="63" t="s">
        <v>369</v>
      </c>
      <c r="D328" t="s">
        <v>1769</v>
      </c>
      <c r="E328" t="s">
        <v>1023</v>
      </c>
      <c r="F328" s="60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69">
        <v>45688.524016203701</v>
      </c>
      <c r="N328" s="69">
        <v>45691</v>
      </c>
      <c r="O328" s="69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1045</v>
      </c>
      <c r="S328" s="60"/>
    </row>
    <row r="329" spans="1:19" hidden="1">
      <c r="A329" s="62" t="s">
        <v>1782</v>
      </c>
      <c r="B329" s="60" t="str">
        <f>IFERROR(VLOOKUP(Proc[[#This Row],[App]],Table2[],3,0),"open")</f>
        <v>ok</v>
      </c>
      <c r="C329" s="63" t="s">
        <v>369</v>
      </c>
      <c r="D329" t="s">
        <v>1770</v>
      </c>
      <c r="E329" t="s">
        <v>1044</v>
      </c>
      <c r="F329" s="60" t="s">
        <v>1302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69">
        <v>45688.524016203701</v>
      </c>
      <c r="N329" s="69">
        <v>45691</v>
      </c>
      <c r="O329" s="69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1045</v>
      </c>
      <c r="S329" s="60"/>
    </row>
    <row r="330" spans="1:19" hidden="1">
      <c r="A330" s="62" t="s">
        <v>1782</v>
      </c>
      <c r="B330" s="60" t="str">
        <f>IFERROR(VLOOKUP(Proc[[#This Row],[App]],Table2[],3,0),"open")</f>
        <v>ok</v>
      </c>
      <c r="C330" s="63" t="s">
        <v>369</v>
      </c>
      <c r="D330" t="s">
        <v>1771</v>
      </c>
      <c r="E330" t="s">
        <v>581</v>
      </c>
      <c r="F330" s="60" t="s">
        <v>1303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69">
        <v>45688.524016203701</v>
      </c>
      <c r="N330" s="69">
        <v>45691</v>
      </c>
      <c r="O330" s="69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1045</v>
      </c>
      <c r="S330" s="60"/>
    </row>
    <row r="331" spans="1:19" hidden="1">
      <c r="A331" s="62" t="s">
        <v>1782</v>
      </c>
      <c r="B331" s="60" t="str">
        <f>IFERROR(VLOOKUP(Proc[[#This Row],[App]],Table2[],3,0),"open")</f>
        <v>ok</v>
      </c>
      <c r="C331" s="63" t="s">
        <v>369</v>
      </c>
      <c r="D331" t="s">
        <v>1772</v>
      </c>
      <c r="E331" t="s">
        <v>580</v>
      </c>
      <c r="F331" s="60" t="s">
        <v>1242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69">
        <v>45688.524016203701</v>
      </c>
      <c r="N331" s="69">
        <v>45691</v>
      </c>
      <c r="O331" s="69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1045</v>
      </c>
      <c r="S331" s="60"/>
    </row>
    <row r="332" spans="1:19" hidden="1">
      <c r="A332" s="62" t="s">
        <v>1782</v>
      </c>
      <c r="B332" s="60" t="str">
        <f>IFERROR(VLOOKUP(Proc[[#This Row],[App]],Table2[],3,0),"open")</f>
        <v>ok</v>
      </c>
      <c r="C332" s="63" t="s">
        <v>369</v>
      </c>
      <c r="D332" t="s">
        <v>1773</v>
      </c>
      <c r="E332" t="s">
        <v>580</v>
      </c>
      <c r="F332" s="60" t="s">
        <v>1304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69">
        <v>45688.524016203701</v>
      </c>
      <c r="N332" s="69">
        <v>45691</v>
      </c>
      <c r="O332" s="69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1045</v>
      </c>
      <c r="S332" s="60"/>
    </row>
    <row r="333" spans="1:19" hidden="1">
      <c r="A333" s="62" t="s">
        <v>1782</v>
      </c>
      <c r="B333" s="60" t="str">
        <f>IFERROR(VLOOKUP(Proc[[#This Row],[App]],Table2[],3,0),"open")</f>
        <v>ok</v>
      </c>
      <c r="C333" s="63" t="s">
        <v>369</v>
      </c>
      <c r="D333" t="s">
        <v>1774</v>
      </c>
      <c r="E333" t="s">
        <v>583</v>
      </c>
      <c r="F333" s="60" t="s">
        <v>1236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69">
        <v>45688.524016203701</v>
      </c>
      <c r="N333" s="69">
        <v>45691</v>
      </c>
      <c r="O333" s="69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1045</v>
      </c>
      <c r="S333" s="60"/>
    </row>
    <row r="334" spans="1:19" hidden="1">
      <c r="A334" s="62" t="s">
        <v>1782</v>
      </c>
      <c r="B334" s="60" t="str">
        <f>IFERROR(VLOOKUP(Proc[[#This Row],[App]],Table2[],3,0),"open")</f>
        <v>ok</v>
      </c>
      <c r="C334" s="63" t="s">
        <v>369</v>
      </c>
      <c r="D334" t="s">
        <v>1775</v>
      </c>
      <c r="E334" t="s">
        <v>1023</v>
      </c>
      <c r="F334" s="60" t="s">
        <v>992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69">
        <v>45688.524016203701</v>
      </c>
      <c r="N334" s="69">
        <v>45691</v>
      </c>
      <c r="O334" s="69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1045</v>
      </c>
      <c r="S334" s="60"/>
    </row>
    <row r="335" spans="1:19" hidden="1">
      <c r="A335" s="62" t="s">
        <v>1782</v>
      </c>
      <c r="B335" s="60" t="str">
        <f>IFERROR(VLOOKUP(Proc[[#This Row],[App]],Table2[],3,0),"open")</f>
        <v>ok</v>
      </c>
      <c r="C335" s="63" t="s">
        <v>369</v>
      </c>
      <c r="D335" t="s">
        <v>1776</v>
      </c>
      <c r="E335" t="s">
        <v>501</v>
      </c>
      <c r="F335" s="60" t="s">
        <v>1785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69">
        <v>45688.524016203701</v>
      </c>
      <c r="N335" s="69">
        <v>45691</v>
      </c>
      <c r="O335" s="69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1045</v>
      </c>
      <c r="S335" s="60"/>
    </row>
    <row r="336" spans="1:19" hidden="1">
      <c r="A336" s="62" t="s">
        <v>1782</v>
      </c>
      <c r="B336" s="60" t="str">
        <f>IFERROR(VLOOKUP(Proc[[#This Row],[App]],Table2[],3,0),"open")</f>
        <v>ok</v>
      </c>
      <c r="C336" s="63" t="s">
        <v>369</v>
      </c>
      <c r="D336" t="s">
        <v>1777</v>
      </c>
      <c r="E336" t="s">
        <v>569</v>
      </c>
      <c r="F336" s="60" t="s">
        <v>1786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69">
        <v>45688.524016203701</v>
      </c>
      <c r="N336" s="69">
        <v>45691</v>
      </c>
      <c r="O336" s="69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1045</v>
      </c>
      <c r="S336" s="60"/>
    </row>
    <row r="337" spans="1:19" hidden="1">
      <c r="A337" s="62" t="s">
        <v>1782</v>
      </c>
      <c r="B337" s="60" t="str">
        <f>IFERROR(VLOOKUP(Proc[[#This Row],[App]],Table2[],3,0),"open")</f>
        <v>ok</v>
      </c>
      <c r="C337" s="63" t="s">
        <v>369</v>
      </c>
      <c r="D337" t="s">
        <v>1778</v>
      </c>
      <c r="E337" t="s">
        <v>1044</v>
      </c>
      <c r="F337" s="60" t="s">
        <v>1305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69">
        <v>45688.524016203701</v>
      </c>
      <c r="N337" s="69">
        <v>45691</v>
      </c>
      <c r="O337" s="69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1045</v>
      </c>
      <c r="S337" s="60"/>
    </row>
    <row r="338" spans="1:19" hidden="1">
      <c r="A338" s="62" t="s">
        <v>1782</v>
      </c>
      <c r="B338" s="60" t="str">
        <f>IFERROR(VLOOKUP(Proc[[#This Row],[App]],Table2[],3,0),"open")</f>
        <v>ok</v>
      </c>
      <c r="C338" s="63" t="s">
        <v>369</v>
      </c>
      <c r="D338" t="s">
        <v>1779</v>
      </c>
      <c r="E338" t="s">
        <v>580</v>
      </c>
      <c r="F338" s="60" t="s">
        <v>1243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69">
        <v>45688.524016203701</v>
      </c>
      <c r="N338" s="69">
        <v>45691</v>
      </c>
      <c r="O338" s="69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1045</v>
      </c>
      <c r="S338" s="60"/>
    </row>
    <row r="339" spans="1:19" hidden="1">
      <c r="A339" s="62" t="s">
        <v>1782</v>
      </c>
      <c r="B339" s="60" t="str">
        <f>IFERROR(VLOOKUP(Proc[[#This Row],[App]],Table2[],3,0),"open")</f>
        <v>ok</v>
      </c>
      <c r="C339" s="63" t="s">
        <v>369</v>
      </c>
      <c r="D339" t="s">
        <v>1780</v>
      </c>
      <c r="E339" t="s">
        <v>581</v>
      </c>
      <c r="F339" s="60" t="s">
        <v>1787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69">
        <v>45688.524016203701</v>
      </c>
      <c r="N339" s="69">
        <v>45691</v>
      </c>
      <c r="O339" s="69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1045</v>
      </c>
      <c r="S339" s="60"/>
    </row>
    <row r="340" spans="1:19" hidden="1">
      <c r="A340" s="62" t="s">
        <v>1782</v>
      </c>
      <c r="B340" s="60" t="str">
        <f>IFERROR(VLOOKUP(Proc[[#This Row],[App]],Table2[],3,0),"open")</f>
        <v>ok</v>
      </c>
      <c r="C340" s="63" t="s">
        <v>369</v>
      </c>
      <c r="D340" t="s">
        <v>1781</v>
      </c>
      <c r="E340" t="s">
        <v>580</v>
      </c>
      <c r="F340" s="60" t="s">
        <v>1244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69">
        <v>45688.524016203701</v>
      </c>
      <c r="N340" s="69">
        <v>45691</v>
      </c>
      <c r="O340" s="69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1045</v>
      </c>
      <c r="S340" s="60"/>
    </row>
    <row r="341" spans="1:19" hidden="1">
      <c r="A341" t="s">
        <v>1788</v>
      </c>
      <c r="B341" s="60" t="str">
        <f>IFERROR(VLOOKUP(Proc[[#This Row],[App]],Table2[],3,0),"open")</f>
        <v>ok</v>
      </c>
      <c r="C341" t="s">
        <v>369</v>
      </c>
      <c r="D341" t="s">
        <v>1789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69">
        <v>45691.389618055553</v>
      </c>
      <c r="N341" s="69">
        <v>45692</v>
      </c>
      <c r="O341" s="69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1790</v>
      </c>
      <c r="B342" s="60" t="str">
        <f>IFERROR(VLOOKUP(Proc[[#This Row],[App]],Table2[],3,0),"open")</f>
        <v>ok</v>
      </c>
      <c r="C342" s="62" t="s">
        <v>369</v>
      </c>
      <c r="D342" t="s">
        <v>1791</v>
      </c>
      <c r="E342" t="s">
        <v>1287</v>
      </c>
      <c r="F342" s="60" t="s">
        <v>1089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69">
        <v>45691.34474537037</v>
      </c>
      <c r="N342" s="69">
        <v>45692</v>
      </c>
      <c r="O342" s="69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1004</v>
      </c>
      <c r="S342" s="60"/>
    </row>
    <row r="343" spans="1:19" hidden="1">
      <c r="A343" s="62" t="s">
        <v>1790</v>
      </c>
      <c r="B343" s="60" t="str">
        <f>IFERROR(VLOOKUP(Proc[[#This Row],[App]],Table2[],3,0),"open")</f>
        <v>ok</v>
      </c>
      <c r="C343" s="62" t="s">
        <v>369</v>
      </c>
      <c r="D343" t="s">
        <v>1792</v>
      </c>
      <c r="E343" t="s">
        <v>1288</v>
      </c>
      <c r="F343" s="60" t="s">
        <v>1320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69">
        <v>45691.34474537037</v>
      </c>
      <c r="N343" s="69">
        <v>45692</v>
      </c>
      <c r="O343" s="69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1004</v>
      </c>
      <c r="S343" s="60"/>
    </row>
    <row r="344" spans="1:19" hidden="1">
      <c r="A344" s="62" t="s">
        <v>1790</v>
      </c>
      <c r="B344" s="60" t="str">
        <f>IFERROR(VLOOKUP(Proc[[#This Row],[App]],Table2[],3,0),"open")</f>
        <v>ok</v>
      </c>
      <c r="C344" s="62" t="s">
        <v>369</v>
      </c>
      <c r="D344" t="s">
        <v>1793</v>
      </c>
      <c r="E344" t="s">
        <v>1289</v>
      </c>
      <c r="F344" s="60" t="s">
        <v>1756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69">
        <v>45691.34474537037</v>
      </c>
      <c r="N344" s="69">
        <v>45692</v>
      </c>
      <c r="O344" s="69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1004</v>
      </c>
      <c r="S344" s="60"/>
    </row>
    <row r="345" spans="1:19" hidden="1">
      <c r="A345" s="62" t="s">
        <v>1790</v>
      </c>
      <c r="B345" s="60" t="str">
        <f>IFERROR(VLOOKUP(Proc[[#This Row],[App]],Table2[],3,0),"open")</f>
        <v>ok</v>
      </c>
      <c r="C345" s="62" t="s">
        <v>369</v>
      </c>
      <c r="D345" t="s">
        <v>1794</v>
      </c>
      <c r="E345" t="s">
        <v>1289</v>
      </c>
      <c r="F345" s="60" t="s">
        <v>1320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69">
        <v>45691.34474537037</v>
      </c>
      <c r="N345" s="69">
        <v>45692</v>
      </c>
      <c r="O345" s="69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1004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1795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69">
        <v>45690.78837962963</v>
      </c>
      <c r="N346" s="69">
        <v>45692</v>
      </c>
      <c r="O346" s="69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1808</v>
      </c>
      <c r="B347" s="60" t="str">
        <f>IFERROR(VLOOKUP(Proc[[#This Row],[App]],Table2[],3,0),"open")</f>
        <v>ok</v>
      </c>
      <c r="C347" s="62" t="s">
        <v>369</v>
      </c>
      <c r="D347" t="s">
        <v>1796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69">
        <v>45690.78837962963</v>
      </c>
      <c r="N347" s="69">
        <v>45692</v>
      </c>
      <c r="O347" s="69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1808</v>
      </c>
      <c r="B348" s="60" t="str">
        <f>IFERROR(VLOOKUP(Proc[[#This Row],[App]],Table2[],3,0),"open")</f>
        <v>ok</v>
      </c>
      <c r="C348" s="62" t="s">
        <v>369</v>
      </c>
      <c r="D348" t="s">
        <v>1797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69">
        <v>45690.78837962963</v>
      </c>
      <c r="N348" s="69">
        <v>45692</v>
      </c>
      <c r="O348" s="69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1808</v>
      </c>
      <c r="B349" s="60" t="str">
        <f>IFERROR(VLOOKUP(Proc[[#This Row],[App]],Table2[],3,0),"open")</f>
        <v>ok</v>
      </c>
      <c r="C349" s="62" t="s">
        <v>369</v>
      </c>
      <c r="D349" t="s">
        <v>1798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69">
        <v>45690.78837962963</v>
      </c>
      <c r="N349" s="69">
        <v>45692</v>
      </c>
      <c r="O349" s="69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1808</v>
      </c>
      <c r="B350" s="60" t="str">
        <f>IFERROR(VLOOKUP(Proc[[#This Row],[App]],Table2[],3,0),"open")</f>
        <v>ok</v>
      </c>
      <c r="C350" s="62" t="s">
        <v>369</v>
      </c>
      <c r="D350" t="s">
        <v>1799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69">
        <v>45690.78837962963</v>
      </c>
      <c r="N350" s="69">
        <v>45692</v>
      </c>
      <c r="O350" s="69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1808</v>
      </c>
      <c r="B351" s="60" t="str">
        <f>IFERROR(VLOOKUP(Proc[[#This Row],[App]],Table2[],3,0),"open")</f>
        <v>ok</v>
      </c>
      <c r="C351" s="62" t="s">
        <v>369</v>
      </c>
      <c r="D351" t="s">
        <v>1800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69">
        <v>45690.78837962963</v>
      </c>
      <c r="N351" s="69">
        <v>45692</v>
      </c>
      <c r="O351" s="69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1808</v>
      </c>
      <c r="B352" s="60" t="str">
        <f>IFERROR(VLOOKUP(Proc[[#This Row],[App]],Table2[],3,0),"open")</f>
        <v>ok</v>
      </c>
      <c r="C352" s="62" t="s">
        <v>369</v>
      </c>
      <c r="D352" t="s">
        <v>1801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69">
        <v>45690.78837962963</v>
      </c>
      <c r="N352" s="69">
        <v>45692</v>
      </c>
      <c r="O352" s="69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1808</v>
      </c>
      <c r="B353" s="60" t="str">
        <f>IFERROR(VLOOKUP(Proc[[#This Row],[App]],Table2[],3,0),"open")</f>
        <v>ok</v>
      </c>
      <c r="C353" s="62" t="s">
        <v>369</v>
      </c>
      <c r="D353" t="s">
        <v>1802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69">
        <v>45690.78837962963</v>
      </c>
      <c r="N353" s="69">
        <v>45692</v>
      </c>
      <c r="O353" s="69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1808</v>
      </c>
      <c r="B354" s="60" t="str">
        <f>IFERROR(VLOOKUP(Proc[[#This Row],[App]],Table2[],3,0),"open")</f>
        <v>ok</v>
      </c>
      <c r="C354" s="62" t="s">
        <v>369</v>
      </c>
      <c r="D354" t="s">
        <v>1803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69">
        <v>45690.78837962963</v>
      </c>
      <c r="N354" s="69">
        <v>45692</v>
      </c>
      <c r="O354" s="69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1808</v>
      </c>
      <c r="B355" s="60" t="str">
        <f>IFERROR(VLOOKUP(Proc[[#This Row],[App]],Table2[],3,0),"open")</f>
        <v>ok</v>
      </c>
      <c r="C355" s="62" t="s">
        <v>369</v>
      </c>
      <c r="D355" t="s">
        <v>1804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69">
        <v>45690.78837962963</v>
      </c>
      <c r="N355" s="69">
        <v>45692</v>
      </c>
      <c r="O355" s="69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1808</v>
      </c>
      <c r="B356" s="60" t="str">
        <f>IFERROR(VLOOKUP(Proc[[#This Row],[App]],Table2[],3,0),"open")</f>
        <v>ok</v>
      </c>
      <c r="C356" t="s">
        <v>377</v>
      </c>
      <c r="D356" t="s">
        <v>1805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69">
        <v>45690.78837962963</v>
      </c>
      <c r="N356" s="69">
        <v>45692</v>
      </c>
      <c r="O356" s="69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1808</v>
      </c>
      <c r="B357" s="60" t="str">
        <f>IFERROR(VLOOKUP(Proc[[#This Row],[App]],Table2[],3,0),"open")</f>
        <v>ok</v>
      </c>
      <c r="C357" t="s">
        <v>369</v>
      </c>
      <c r="D357" t="s">
        <v>1806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69">
        <v>45690.78837962963</v>
      </c>
      <c r="N357" s="69">
        <v>45692</v>
      </c>
      <c r="O357" s="69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1808</v>
      </c>
      <c r="B358" s="60" t="str">
        <f>IFERROR(VLOOKUP(Proc[[#This Row],[App]],Table2[],3,0),"open")</f>
        <v>ok</v>
      </c>
      <c r="C358" s="62" t="s">
        <v>369</v>
      </c>
      <c r="D358" t="s">
        <v>1807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69">
        <v>45690.78837962963</v>
      </c>
      <c r="N358" s="69">
        <v>45692</v>
      </c>
      <c r="O358" s="69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1809</v>
      </c>
      <c r="B359" s="60" t="str">
        <f>IFERROR(VLOOKUP(Proc[[#This Row],[App]],Table2[],3,0),"open")</f>
        <v>ok</v>
      </c>
      <c r="C359" s="62" t="s">
        <v>369</v>
      </c>
      <c r="D359" t="s">
        <v>1810</v>
      </c>
      <c r="E359" t="s">
        <v>1816</v>
      </c>
      <c r="F359" s="60" t="s">
        <v>1756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69">
        <v>45688.632743055554</v>
      </c>
      <c r="N359" s="69">
        <v>45692</v>
      </c>
      <c r="O359" s="69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1004</v>
      </c>
      <c r="S359" s="60"/>
    </row>
    <row r="360" spans="1:19" hidden="1">
      <c r="A360" s="62" t="s">
        <v>1809</v>
      </c>
      <c r="B360" s="60" t="str">
        <f>IFERROR(VLOOKUP(Proc[[#This Row],[App]],Table2[],3,0),"open")</f>
        <v>ok</v>
      </c>
      <c r="C360" s="62" t="s">
        <v>369</v>
      </c>
      <c r="D360" t="s">
        <v>1811</v>
      </c>
      <c r="E360" t="s">
        <v>1817</v>
      </c>
      <c r="F360" s="60" t="s">
        <v>1756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69">
        <v>45688.632743055554</v>
      </c>
      <c r="N360" s="69">
        <v>45692</v>
      </c>
      <c r="O360" s="69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1004</v>
      </c>
      <c r="S360" s="60"/>
    </row>
    <row r="361" spans="1:19" hidden="1">
      <c r="A361" s="62" t="s">
        <v>1809</v>
      </c>
      <c r="B361" s="60" t="str">
        <f>IFERROR(VLOOKUP(Proc[[#This Row],[App]],Table2[],3,0),"open")</f>
        <v>ok</v>
      </c>
      <c r="C361" s="62" t="s">
        <v>369</v>
      </c>
      <c r="D361" t="s">
        <v>1812</v>
      </c>
      <c r="E361" t="s">
        <v>1290</v>
      </c>
      <c r="F361" s="60" t="s">
        <v>1153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69">
        <v>45688.632743055554</v>
      </c>
      <c r="N361" s="69">
        <v>45692</v>
      </c>
      <c r="O361" s="69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1004</v>
      </c>
      <c r="S361" s="60"/>
    </row>
    <row r="362" spans="1:19" hidden="1">
      <c r="A362" s="62" t="s">
        <v>1809</v>
      </c>
      <c r="B362" s="60" t="str">
        <f>IFERROR(VLOOKUP(Proc[[#This Row],[App]],Table2[],3,0),"open")</f>
        <v>ok</v>
      </c>
      <c r="C362" s="62" t="s">
        <v>369</v>
      </c>
      <c r="D362" t="s">
        <v>1813</v>
      </c>
      <c r="E362" t="s">
        <v>549</v>
      </c>
      <c r="F362" s="60" t="s">
        <v>1756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69">
        <v>45688.632743055554</v>
      </c>
      <c r="N362" s="69">
        <v>45692</v>
      </c>
      <c r="O362" s="69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1004</v>
      </c>
      <c r="S362" s="60"/>
    </row>
    <row r="363" spans="1:19" hidden="1">
      <c r="A363" s="62" t="s">
        <v>1809</v>
      </c>
      <c r="B363" s="60" t="str">
        <f>IFERROR(VLOOKUP(Proc[[#This Row],[App]],Table2[],3,0),"open")</f>
        <v>ok</v>
      </c>
      <c r="C363" s="62" t="s">
        <v>369</v>
      </c>
      <c r="D363" t="s">
        <v>1814</v>
      </c>
      <c r="E363" t="s">
        <v>549</v>
      </c>
      <c r="F363" s="60" t="s">
        <v>1818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69">
        <v>45688.632743055554</v>
      </c>
      <c r="N363" s="69">
        <v>45692</v>
      </c>
      <c r="O363" s="69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1004</v>
      </c>
      <c r="S363" s="60"/>
    </row>
    <row r="364" spans="1:19" hidden="1">
      <c r="A364" s="62" t="s">
        <v>1809</v>
      </c>
      <c r="B364" s="60" t="str">
        <f>IFERROR(VLOOKUP(Proc[[#This Row],[App]],Table2[],3,0),"open")</f>
        <v>ok</v>
      </c>
      <c r="C364" s="62" t="s">
        <v>369</v>
      </c>
      <c r="D364" t="s">
        <v>1815</v>
      </c>
      <c r="E364" t="s">
        <v>801</v>
      </c>
      <c r="F364" s="60" t="s">
        <v>1087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69">
        <v>45688.632743055554</v>
      </c>
      <c r="N364" s="69">
        <v>45692</v>
      </c>
      <c r="O364" s="69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1004</v>
      </c>
      <c r="S364" s="60"/>
    </row>
    <row r="365" spans="1:19" hidden="1">
      <c r="A365" t="s">
        <v>1819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1286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69">
        <v>45691.694965277777</v>
      </c>
      <c r="N365" s="69">
        <v>45712</v>
      </c>
      <c r="O365" s="69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1531</v>
      </c>
      <c r="S365" s="60"/>
    </row>
    <row r="366" spans="1:19" hidden="1">
      <c r="A366" s="62" t="s">
        <v>1819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69">
        <v>45691.694965277777</v>
      </c>
      <c r="N366" s="69">
        <v>45712</v>
      </c>
      <c r="O366" s="69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1531</v>
      </c>
      <c r="S366" s="60"/>
    </row>
    <row r="367" spans="1:19" hidden="1">
      <c r="A367" s="62" t="s">
        <v>1819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1286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69">
        <v>45691.694965277777</v>
      </c>
      <c r="N367" s="69">
        <v>45712</v>
      </c>
      <c r="O367" s="69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1531</v>
      </c>
      <c r="S367" s="60"/>
    </row>
    <row r="368" spans="1:19" hidden="1">
      <c r="A368" s="62" t="s">
        <v>1819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1286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69">
        <v>45691.694965277777</v>
      </c>
      <c r="N368" s="69">
        <v>45712</v>
      </c>
      <c r="O368" s="69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1531</v>
      </c>
      <c r="S368" s="60"/>
    </row>
    <row r="369" spans="1:19" hidden="1">
      <c r="A369" s="62" t="s">
        <v>1819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1286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69">
        <v>45691.694965277777</v>
      </c>
      <c r="N369" s="69">
        <v>45712</v>
      </c>
      <c r="O369" s="69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1531</v>
      </c>
      <c r="S369" s="60"/>
    </row>
    <row r="370" spans="1:19" hidden="1">
      <c r="A370" s="62" t="s">
        <v>1819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1286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69">
        <v>45691.694965277777</v>
      </c>
      <c r="N370" s="69">
        <v>45712</v>
      </c>
      <c r="O370" s="69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1531</v>
      </c>
      <c r="S370" s="60"/>
    </row>
    <row r="371" spans="1:19" hidden="1">
      <c r="A371" s="62" t="s">
        <v>1819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1286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69">
        <v>45691.694965277777</v>
      </c>
      <c r="N371" s="69">
        <v>45712</v>
      </c>
      <c r="O371" s="69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1531</v>
      </c>
      <c r="S371" s="60"/>
    </row>
    <row r="372" spans="1:19" hidden="1">
      <c r="A372" s="62" t="s">
        <v>1819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1286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69">
        <v>45691.694965277777</v>
      </c>
      <c r="N372" s="69">
        <v>45712</v>
      </c>
      <c r="O372" s="69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1531</v>
      </c>
      <c r="S372" s="60"/>
    </row>
    <row r="373" spans="1:19" hidden="1">
      <c r="A373" s="62" t="s">
        <v>1819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1286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69">
        <v>45691.694965277777</v>
      </c>
      <c r="N373" s="69">
        <v>45712</v>
      </c>
      <c r="O373" s="69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1531</v>
      </c>
      <c r="S373" s="60"/>
    </row>
    <row r="374" spans="1:19" hidden="1">
      <c r="A374" s="62" t="s">
        <v>1819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1286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69">
        <v>45691.694965277777</v>
      </c>
      <c r="N374" s="69">
        <v>45712</v>
      </c>
      <c r="O374" s="69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1531</v>
      </c>
      <c r="S374" s="60"/>
    </row>
    <row r="375" spans="1:19" hidden="1">
      <c r="A375" s="62" t="s">
        <v>1819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1286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69">
        <v>45691.694965277777</v>
      </c>
      <c r="N375" s="69">
        <v>45712</v>
      </c>
      <c r="O375" s="69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1531</v>
      </c>
      <c r="S375" s="60"/>
    </row>
    <row r="376" spans="1:19" hidden="1">
      <c r="A376" s="62" t="s">
        <v>1819</v>
      </c>
      <c r="B376" s="60" t="str">
        <f>IFERROR(VLOOKUP(Proc[[#This Row],[App]],Table2[],3,0),"open")</f>
        <v>ok</v>
      </c>
      <c r="C376" s="62" t="s">
        <v>369</v>
      </c>
      <c r="D376" t="s">
        <v>1820</v>
      </c>
      <c r="E376" t="s">
        <v>1286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69">
        <v>45691.694965277777</v>
      </c>
      <c r="N376" s="69">
        <v>45712</v>
      </c>
      <c r="O376" s="69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1531</v>
      </c>
      <c r="S376" s="60"/>
    </row>
    <row r="377" spans="1:19" hidden="1">
      <c r="A377" s="62" t="s">
        <v>1819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1286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69">
        <v>45691.694965277777</v>
      </c>
      <c r="N377" s="69">
        <v>45712</v>
      </c>
      <c r="O377" s="69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1531</v>
      </c>
      <c r="S377" s="60"/>
    </row>
    <row r="378" spans="1:19" hidden="1">
      <c r="A378" s="62" t="s">
        <v>1819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1286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69">
        <v>45691.694965277777</v>
      </c>
      <c r="N378" s="69">
        <v>45712</v>
      </c>
      <c r="O378" s="69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1531</v>
      </c>
      <c r="S378" s="60"/>
    </row>
    <row r="379" spans="1:19" hidden="1">
      <c r="A379" s="62" t="s">
        <v>1819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1286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69">
        <v>45691.694965277777</v>
      </c>
      <c r="N379" s="69">
        <v>45712</v>
      </c>
      <c r="O379" s="69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1531</v>
      </c>
      <c r="S379" s="60"/>
    </row>
    <row r="380" spans="1:19" hidden="1">
      <c r="A380" s="62" t="s">
        <v>1819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1286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69">
        <v>45691.694965277777</v>
      </c>
      <c r="N380" s="69">
        <v>45712</v>
      </c>
      <c r="O380" s="69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1531</v>
      </c>
      <c r="S380" s="60"/>
    </row>
    <row r="381" spans="1:19" hidden="1">
      <c r="A381" s="62" t="s">
        <v>1819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1286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69">
        <v>45691.694965277777</v>
      </c>
      <c r="N381" s="69">
        <v>45712</v>
      </c>
      <c r="O381" s="69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1531</v>
      </c>
      <c r="S381" s="60"/>
    </row>
    <row r="382" spans="1:19" hidden="1">
      <c r="A382" t="s">
        <v>1822</v>
      </c>
      <c r="B382" s="60" t="str">
        <f>IFERROR(VLOOKUP(Proc[[#This Row],[App]],Table2[],3,0),"open")</f>
        <v>ok</v>
      </c>
      <c r="C382" s="62" t="s">
        <v>369</v>
      </c>
      <c r="D382" t="s">
        <v>1821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69">
        <v>45691.550567129627</v>
      </c>
      <c r="N382" s="69">
        <v>45693</v>
      </c>
      <c r="O382" s="69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1845</v>
      </c>
      <c r="B383" s="60" t="str">
        <f>IFERROR(VLOOKUP(Proc[[#This Row],[App]],Table2[],3,0),"open")</f>
        <v>ok</v>
      </c>
      <c r="C383" t="s">
        <v>377</v>
      </c>
      <c r="D383" t="s">
        <v>1823</v>
      </c>
      <c r="E383" t="s">
        <v>658</v>
      </c>
      <c r="F383" s="60" t="s">
        <v>1846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69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27</v>
      </c>
      <c r="R383" s="69" t="s">
        <v>575</v>
      </c>
      <c r="S383" s="60"/>
    </row>
    <row r="384" spans="1:19" hidden="1">
      <c r="A384" s="62" t="s">
        <v>1845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69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27</v>
      </c>
      <c r="R384" s="69" t="s">
        <v>575</v>
      </c>
      <c r="S384" s="60"/>
    </row>
    <row r="385" spans="1:19" hidden="1">
      <c r="A385" s="62" t="s">
        <v>1845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69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27</v>
      </c>
      <c r="R385" s="69" t="s">
        <v>575</v>
      </c>
      <c r="S385" s="60"/>
    </row>
    <row r="386" spans="1:19" hidden="1">
      <c r="A386" s="62" t="s">
        <v>1845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69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27</v>
      </c>
      <c r="R386" s="69" t="s">
        <v>575</v>
      </c>
      <c r="S386" s="60"/>
    </row>
    <row r="387" spans="1:19" hidden="1">
      <c r="A387" s="62" t="s">
        <v>1845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69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27</v>
      </c>
      <c r="R387" s="69" t="s">
        <v>575</v>
      </c>
      <c r="S387" s="60"/>
    </row>
    <row r="388" spans="1:19" hidden="1">
      <c r="A388" s="62" t="s">
        <v>1845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69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27</v>
      </c>
      <c r="R388" s="69" t="s">
        <v>575</v>
      </c>
      <c r="S388" s="60"/>
    </row>
    <row r="389" spans="1:19" hidden="1">
      <c r="A389" s="62" t="s">
        <v>1845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69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27</v>
      </c>
      <c r="R389" s="69" t="s">
        <v>575</v>
      </c>
      <c r="S389" s="60"/>
    </row>
    <row r="390" spans="1:19" hidden="1">
      <c r="A390" s="62" t="s">
        <v>1845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69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27</v>
      </c>
      <c r="R390" s="69" t="s">
        <v>575</v>
      </c>
      <c r="S390" s="60"/>
    </row>
    <row r="391" spans="1:19" hidden="1">
      <c r="A391" s="62" t="s">
        <v>1845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69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27</v>
      </c>
      <c r="R391" s="69" t="s">
        <v>575</v>
      </c>
      <c r="S391" s="60"/>
    </row>
    <row r="392" spans="1:19" hidden="1">
      <c r="A392" s="62" t="s">
        <v>1845</v>
      </c>
      <c r="B392" s="60" t="str">
        <f>IFERROR(VLOOKUP(Proc[[#This Row],[App]],Table2[],3,0),"open")</f>
        <v>ok</v>
      </c>
      <c r="C392" s="62" t="s">
        <v>369</v>
      </c>
      <c r="D392" t="s">
        <v>1824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69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27</v>
      </c>
      <c r="R392" s="69" t="s">
        <v>575</v>
      </c>
      <c r="S392" s="60"/>
    </row>
    <row r="393" spans="1:19" hidden="1">
      <c r="A393" s="62" t="s">
        <v>1845</v>
      </c>
      <c r="B393" s="60" t="str">
        <f>IFERROR(VLOOKUP(Proc[[#This Row],[App]],Table2[],3,0),"open")</f>
        <v>ok</v>
      </c>
      <c r="C393" s="62" t="s">
        <v>369</v>
      </c>
      <c r="D393" t="s">
        <v>1825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69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27</v>
      </c>
      <c r="R393" s="69" t="s">
        <v>575</v>
      </c>
      <c r="S393" s="60"/>
    </row>
    <row r="394" spans="1:19" hidden="1">
      <c r="A394" s="62" t="s">
        <v>1845</v>
      </c>
      <c r="B394" s="60" t="str">
        <f>IFERROR(VLOOKUP(Proc[[#This Row],[App]],Table2[],3,0),"open")</f>
        <v>ok</v>
      </c>
      <c r="C394" s="62" t="s">
        <v>377</v>
      </c>
      <c r="D394" t="s">
        <v>1826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69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27</v>
      </c>
      <c r="R394" s="69" t="s">
        <v>575</v>
      </c>
      <c r="S394" s="60"/>
    </row>
    <row r="395" spans="1:19" hidden="1">
      <c r="A395" s="62" t="s">
        <v>1845</v>
      </c>
      <c r="B395" s="60" t="str">
        <f>IFERROR(VLOOKUP(Proc[[#This Row],[App]],Table2[],3,0),"open")</f>
        <v>ok</v>
      </c>
      <c r="C395" s="62" t="s">
        <v>369</v>
      </c>
      <c r="D395" t="s">
        <v>1827</v>
      </c>
      <c r="E395" t="s">
        <v>658</v>
      </c>
      <c r="F395" s="60" t="s">
        <v>1847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69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27</v>
      </c>
      <c r="R395" s="69" t="s">
        <v>575</v>
      </c>
      <c r="S395" s="60"/>
    </row>
    <row r="396" spans="1:19" hidden="1">
      <c r="A396" s="62" t="s">
        <v>1845</v>
      </c>
      <c r="B396" s="60" t="str">
        <f>IFERROR(VLOOKUP(Proc[[#This Row],[App]],Table2[],3,0),"open")</f>
        <v>ok</v>
      </c>
      <c r="C396" s="62" t="s">
        <v>369</v>
      </c>
      <c r="D396" t="s">
        <v>1828</v>
      </c>
      <c r="E396" t="s">
        <v>658</v>
      </c>
      <c r="F396" s="60" t="s">
        <v>1846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69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27</v>
      </c>
      <c r="R396" s="69" t="s">
        <v>575</v>
      </c>
      <c r="S396" s="60"/>
    </row>
    <row r="397" spans="1:19" hidden="1">
      <c r="A397" s="62" t="s">
        <v>1845</v>
      </c>
      <c r="B397" s="60" t="str">
        <f>IFERROR(VLOOKUP(Proc[[#This Row],[App]],Table2[],3,0),"open")</f>
        <v>ok</v>
      </c>
      <c r="C397" s="62" t="s">
        <v>369</v>
      </c>
      <c r="D397" t="s">
        <v>1829</v>
      </c>
      <c r="E397" t="s">
        <v>658</v>
      </c>
      <c r="F397" s="60" t="s">
        <v>1847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69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27</v>
      </c>
      <c r="R397" s="69" t="s">
        <v>575</v>
      </c>
      <c r="S397" s="60"/>
    </row>
    <row r="398" spans="1:19" hidden="1">
      <c r="A398" s="62" t="s">
        <v>1845</v>
      </c>
      <c r="B398" s="60" t="str">
        <f>IFERROR(VLOOKUP(Proc[[#This Row],[App]],Table2[],3,0),"open")</f>
        <v>ok</v>
      </c>
      <c r="C398" s="62" t="s">
        <v>369</v>
      </c>
      <c r="D398" t="s">
        <v>1830</v>
      </c>
      <c r="E398" t="s">
        <v>658</v>
      </c>
      <c r="F398" s="60" t="s">
        <v>1846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69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27</v>
      </c>
      <c r="R398" s="69" t="s">
        <v>575</v>
      </c>
      <c r="S398" s="60"/>
    </row>
    <row r="399" spans="1:19" hidden="1">
      <c r="A399" s="62" t="s">
        <v>1845</v>
      </c>
      <c r="B399" s="60" t="str">
        <f>IFERROR(VLOOKUP(Proc[[#This Row],[App]],Table2[],3,0),"open")</f>
        <v>ok</v>
      </c>
      <c r="C399" s="62" t="s">
        <v>369</v>
      </c>
      <c r="D399" t="s">
        <v>1831</v>
      </c>
      <c r="E399" t="s">
        <v>658</v>
      </c>
      <c r="F399" s="60" t="s">
        <v>1847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69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27</v>
      </c>
      <c r="R399" s="69" t="s">
        <v>575</v>
      </c>
      <c r="S399" s="60"/>
    </row>
    <row r="400" spans="1:19" hidden="1">
      <c r="A400" s="62" t="s">
        <v>1845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69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27</v>
      </c>
      <c r="R400" s="69" t="s">
        <v>575</v>
      </c>
      <c r="S400" s="60"/>
    </row>
    <row r="401" spans="1:19" hidden="1">
      <c r="A401" s="62" t="s">
        <v>1845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69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27</v>
      </c>
      <c r="R401" s="69" t="s">
        <v>575</v>
      </c>
      <c r="S401" s="60"/>
    </row>
    <row r="402" spans="1:19" hidden="1">
      <c r="A402" s="62" t="s">
        <v>1845</v>
      </c>
      <c r="B402" s="60" t="str">
        <f>IFERROR(VLOOKUP(Proc[[#This Row],[App]],Table2[],3,0),"open")</f>
        <v>ok</v>
      </c>
      <c r="C402" s="62" t="s">
        <v>369</v>
      </c>
      <c r="D402" t="s">
        <v>1832</v>
      </c>
      <c r="E402" t="s">
        <v>658</v>
      </c>
      <c r="F402" s="60" t="s">
        <v>1132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69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27</v>
      </c>
      <c r="R402" s="69" t="s">
        <v>575</v>
      </c>
      <c r="S402" s="60"/>
    </row>
    <row r="403" spans="1:19" hidden="1">
      <c r="A403" s="62" t="s">
        <v>1845</v>
      </c>
      <c r="B403" s="60" t="str">
        <f>IFERROR(VLOOKUP(Proc[[#This Row],[App]],Table2[],3,0),"open")</f>
        <v>ok</v>
      </c>
      <c r="C403" s="62" t="s">
        <v>369</v>
      </c>
      <c r="D403" t="s">
        <v>1833</v>
      </c>
      <c r="E403" t="s">
        <v>658</v>
      </c>
      <c r="F403" s="60" t="s">
        <v>1131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69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27</v>
      </c>
      <c r="R403" s="69" t="s">
        <v>575</v>
      </c>
      <c r="S403" s="60"/>
    </row>
    <row r="404" spans="1:19" hidden="1">
      <c r="A404" s="62" t="s">
        <v>1845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69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27</v>
      </c>
      <c r="R404" s="69" t="s">
        <v>575</v>
      </c>
      <c r="S404" s="60"/>
    </row>
    <row r="405" spans="1:19" hidden="1">
      <c r="A405" s="62" t="s">
        <v>1845</v>
      </c>
      <c r="B405" s="60" t="str">
        <f>IFERROR(VLOOKUP(Proc[[#This Row],[App]],Table2[],3,0),"open")</f>
        <v>ok</v>
      </c>
      <c r="C405" s="62" t="s">
        <v>369</v>
      </c>
      <c r="D405" t="s">
        <v>1834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69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27</v>
      </c>
      <c r="R405" s="69" t="s">
        <v>575</v>
      </c>
      <c r="S405" s="60"/>
    </row>
    <row r="406" spans="1:19" hidden="1">
      <c r="A406" s="62" t="s">
        <v>1845</v>
      </c>
      <c r="B406" s="60" t="str">
        <f>IFERROR(VLOOKUP(Proc[[#This Row],[App]],Table2[],3,0),"open")</f>
        <v>ok</v>
      </c>
      <c r="C406" s="62" t="s">
        <v>369</v>
      </c>
      <c r="D406" t="s">
        <v>1835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69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27</v>
      </c>
      <c r="R406" s="69" t="s">
        <v>575</v>
      </c>
      <c r="S406" s="60"/>
    </row>
    <row r="407" spans="1:19" hidden="1">
      <c r="A407" s="62" t="s">
        <v>1845</v>
      </c>
      <c r="B407" s="60" t="str">
        <f>IFERROR(VLOOKUP(Proc[[#This Row],[App]],Table2[],3,0),"open")</f>
        <v>ok</v>
      </c>
      <c r="C407" s="62" t="s">
        <v>369</v>
      </c>
      <c r="D407" t="s">
        <v>1836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69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27</v>
      </c>
      <c r="R407" s="69" t="s">
        <v>575</v>
      </c>
      <c r="S407" s="60"/>
    </row>
    <row r="408" spans="1:19" hidden="1">
      <c r="A408" s="62" t="s">
        <v>1845</v>
      </c>
      <c r="B408" s="60" t="str">
        <f>IFERROR(VLOOKUP(Proc[[#This Row],[App]],Table2[],3,0),"open")</f>
        <v>ok</v>
      </c>
      <c r="C408" s="62" t="s">
        <v>377</v>
      </c>
      <c r="D408" t="s">
        <v>1837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69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27</v>
      </c>
      <c r="R408" s="69" t="s">
        <v>575</v>
      </c>
      <c r="S408" s="60"/>
    </row>
    <row r="409" spans="1:19" hidden="1">
      <c r="A409" s="62" t="s">
        <v>1845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69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27</v>
      </c>
      <c r="R409" s="69" t="s">
        <v>575</v>
      </c>
      <c r="S409" s="60"/>
    </row>
    <row r="410" spans="1:19" hidden="1">
      <c r="A410" s="62" t="s">
        <v>1845</v>
      </c>
      <c r="B410" s="60" t="str">
        <f>IFERROR(VLOOKUP(Proc[[#This Row],[App]],Table2[],3,0),"open")</f>
        <v>ok</v>
      </c>
      <c r="C410" s="62" t="s">
        <v>369</v>
      </c>
      <c r="D410" t="s">
        <v>1838</v>
      </c>
      <c r="E410" t="s">
        <v>658</v>
      </c>
      <c r="F410" s="60" t="s">
        <v>1848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69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27</v>
      </c>
      <c r="R410" s="69" t="s">
        <v>575</v>
      </c>
      <c r="S410" s="60"/>
    </row>
    <row r="411" spans="1:19" hidden="1">
      <c r="A411" s="62" t="s">
        <v>1845</v>
      </c>
      <c r="B411" s="60" t="str">
        <f>IFERROR(VLOOKUP(Proc[[#This Row],[App]],Table2[],3,0),"open")</f>
        <v>ok</v>
      </c>
      <c r="C411" s="62" t="s">
        <v>369</v>
      </c>
      <c r="D411" t="s">
        <v>1839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69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27</v>
      </c>
      <c r="R411" s="69" t="s">
        <v>575</v>
      </c>
      <c r="S411" s="60"/>
    </row>
    <row r="412" spans="1:19" hidden="1">
      <c r="A412" s="62" t="s">
        <v>1845</v>
      </c>
      <c r="B412" s="60" t="str">
        <f>IFERROR(VLOOKUP(Proc[[#This Row],[App]],Table2[],3,0),"open")</f>
        <v>ok</v>
      </c>
      <c r="C412" s="62" t="s">
        <v>369</v>
      </c>
      <c r="D412" t="s">
        <v>1840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69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27</v>
      </c>
      <c r="R412" s="69" t="s">
        <v>575</v>
      </c>
      <c r="S412" s="60"/>
    </row>
    <row r="413" spans="1:19" hidden="1">
      <c r="A413" s="62" t="s">
        <v>1845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69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27</v>
      </c>
      <c r="R413" s="69" t="s">
        <v>575</v>
      </c>
      <c r="S413" s="60"/>
    </row>
    <row r="414" spans="1:19" hidden="1">
      <c r="A414" s="62" t="s">
        <v>1845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1184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69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27</v>
      </c>
      <c r="R414" s="69" t="s">
        <v>575</v>
      </c>
      <c r="S414" s="60"/>
    </row>
    <row r="415" spans="1:19" hidden="1">
      <c r="A415" s="62" t="s">
        <v>1845</v>
      </c>
      <c r="B415" s="60" t="str">
        <f>IFERROR(VLOOKUP(Proc[[#This Row],[App]],Table2[],3,0),"open")</f>
        <v>ok</v>
      </c>
      <c r="C415" s="62" t="s">
        <v>369</v>
      </c>
      <c r="D415" t="s">
        <v>998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69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27</v>
      </c>
      <c r="R415" s="69" t="s">
        <v>575</v>
      </c>
      <c r="S415" s="60"/>
    </row>
    <row r="416" spans="1:19" hidden="1">
      <c r="A416" s="62" t="s">
        <v>1845</v>
      </c>
      <c r="B416" s="60" t="str">
        <f>IFERROR(VLOOKUP(Proc[[#This Row],[App]],Table2[],3,0),"open")</f>
        <v>ok</v>
      </c>
      <c r="C416" s="62" t="s">
        <v>377</v>
      </c>
      <c r="D416" t="s">
        <v>1141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69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27</v>
      </c>
      <c r="R416" s="69" t="s">
        <v>575</v>
      </c>
      <c r="S416" s="60"/>
    </row>
    <row r="417" spans="1:19" hidden="1">
      <c r="A417" s="62" t="s">
        <v>1845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69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27</v>
      </c>
      <c r="R417" s="69" t="s">
        <v>575</v>
      </c>
      <c r="S417" s="60"/>
    </row>
    <row r="418" spans="1:19" hidden="1">
      <c r="A418" s="62" t="s">
        <v>1845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69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27</v>
      </c>
      <c r="R418" s="69" t="s">
        <v>575</v>
      </c>
      <c r="S418" s="60"/>
    </row>
    <row r="419" spans="1:19" hidden="1">
      <c r="A419" s="62" t="s">
        <v>1845</v>
      </c>
      <c r="B419" s="60" t="str">
        <f>IFERROR(VLOOKUP(Proc[[#This Row],[App]],Table2[],3,0),"open")</f>
        <v>ok</v>
      </c>
      <c r="C419" s="62" t="s">
        <v>369</v>
      </c>
      <c r="D419" t="s">
        <v>1841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69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27</v>
      </c>
      <c r="R419" s="69" t="s">
        <v>575</v>
      </c>
      <c r="S419" s="60"/>
    </row>
    <row r="420" spans="1:19" hidden="1">
      <c r="A420" s="62" t="s">
        <v>1845</v>
      </c>
      <c r="B420" s="60" t="str">
        <f>IFERROR(VLOOKUP(Proc[[#This Row],[App]],Table2[],3,0),"open")</f>
        <v>ok</v>
      </c>
      <c r="C420" s="62" t="s">
        <v>369</v>
      </c>
      <c r="D420" t="s">
        <v>1842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69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27</v>
      </c>
      <c r="R420" s="69" t="s">
        <v>575</v>
      </c>
      <c r="S420" s="60"/>
    </row>
    <row r="421" spans="1:19" hidden="1">
      <c r="A421" s="62" t="s">
        <v>1845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69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27</v>
      </c>
      <c r="R421" s="69" t="s">
        <v>575</v>
      </c>
      <c r="S421" s="60"/>
    </row>
    <row r="422" spans="1:19" hidden="1">
      <c r="A422" s="62" t="s">
        <v>1845</v>
      </c>
      <c r="B422" s="60" t="str">
        <f>IFERROR(VLOOKUP(Proc[[#This Row],[App]],Table2[],3,0),"open")</f>
        <v>ok</v>
      </c>
      <c r="C422" s="62" t="s">
        <v>369</v>
      </c>
      <c r="D422" t="s">
        <v>1843</v>
      </c>
      <c r="E422" t="s">
        <v>658</v>
      </c>
      <c r="F422" s="60" t="s">
        <v>1849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69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27</v>
      </c>
      <c r="R422" s="69" t="s">
        <v>575</v>
      </c>
      <c r="S422" s="60"/>
    </row>
    <row r="423" spans="1:19" hidden="1">
      <c r="A423" s="62" t="s">
        <v>1845</v>
      </c>
      <c r="B423" s="60" t="str">
        <f>IFERROR(VLOOKUP(Proc[[#This Row],[App]],Table2[],3,0),"open")</f>
        <v>ok</v>
      </c>
      <c r="C423" s="62" t="s">
        <v>369</v>
      </c>
      <c r="D423" t="s">
        <v>1844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69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27</v>
      </c>
      <c r="R423" s="69" t="s">
        <v>575</v>
      </c>
      <c r="S423" s="60"/>
    </row>
    <row r="424" spans="1:19" hidden="1">
      <c r="A424" t="s">
        <v>1850</v>
      </c>
      <c r="B424" s="60" t="str">
        <f>IFERROR(VLOOKUP(Proc[[#This Row],[App]],Table2[],3,0),"open")</f>
        <v>ok</v>
      </c>
      <c r="C424" s="62" t="s">
        <v>369</v>
      </c>
      <c r="D424" t="s">
        <v>1851</v>
      </c>
      <c r="E424" t="s">
        <v>513</v>
      </c>
      <c r="F424" s="60" t="s">
        <v>1852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69">
        <v>45692.351273148146</v>
      </c>
      <c r="N424" s="69">
        <v>45693</v>
      </c>
      <c r="O424" s="69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1853</v>
      </c>
      <c r="B425" s="60" t="str">
        <f>IFERROR(VLOOKUP(Proc[[#This Row],[App]],Table2[],3,0),"open")</f>
        <v>ok</v>
      </c>
      <c r="C425" t="s">
        <v>377</v>
      </c>
      <c r="D425" t="s">
        <v>1854</v>
      </c>
      <c r="E425" t="s">
        <v>517</v>
      </c>
      <c r="F425" s="60" t="s">
        <v>1756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69">
        <v>45692.314629629633</v>
      </c>
      <c r="O425" s="69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1004</v>
      </c>
      <c r="S425" s="60"/>
    </row>
    <row r="426" spans="1:19" hidden="1">
      <c r="A426" s="62" t="s">
        <v>1853</v>
      </c>
      <c r="B426" s="60" t="str">
        <f>IFERROR(VLOOKUP(Proc[[#This Row],[App]],Table2[],3,0),"open")</f>
        <v>ok</v>
      </c>
      <c r="C426" s="62" t="s">
        <v>369</v>
      </c>
      <c r="D426" t="s">
        <v>1855</v>
      </c>
      <c r="E426" t="s">
        <v>517</v>
      </c>
      <c r="F426" s="60" t="s">
        <v>1858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69">
        <v>45692.314629629633</v>
      </c>
      <c r="N426" s="69">
        <v>45693</v>
      </c>
      <c r="O426" s="69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1004</v>
      </c>
      <c r="S426" s="60"/>
    </row>
    <row r="427" spans="1:19" hidden="1">
      <c r="A427" s="62" t="s">
        <v>1853</v>
      </c>
      <c r="B427" s="60" t="str">
        <f>IFERROR(VLOOKUP(Proc[[#This Row],[App]],Table2[],3,0),"open")</f>
        <v>ok</v>
      </c>
      <c r="C427" s="62" t="s">
        <v>369</v>
      </c>
      <c r="D427" t="s">
        <v>1856</v>
      </c>
      <c r="E427" t="s">
        <v>450</v>
      </c>
      <c r="F427" s="60" t="s">
        <v>1756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69">
        <v>45692.314629629633</v>
      </c>
      <c r="N427" s="69">
        <v>45693</v>
      </c>
      <c r="O427" s="69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1004</v>
      </c>
      <c r="S427" s="60"/>
    </row>
    <row r="428" spans="1:19" hidden="1">
      <c r="A428" s="62" t="s">
        <v>1853</v>
      </c>
      <c r="B428" s="60" t="str">
        <f>IFERROR(VLOOKUP(Proc[[#This Row],[App]],Table2[],3,0),"open")</f>
        <v>ok</v>
      </c>
      <c r="C428" s="62" t="s">
        <v>369</v>
      </c>
      <c r="D428" t="s">
        <v>1857</v>
      </c>
      <c r="E428" t="s">
        <v>548</v>
      </c>
      <c r="F428" s="60" t="s">
        <v>1859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69">
        <v>45692.314629629633</v>
      </c>
      <c r="N428" s="69">
        <v>45693</v>
      </c>
      <c r="O428" s="69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1004</v>
      </c>
      <c r="S428" s="60"/>
    </row>
    <row r="429" spans="1:19" hidden="1">
      <c r="A429" t="s">
        <v>1860</v>
      </c>
      <c r="B429" s="60" t="str">
        <f>IFERROR(VLOOKUP(Proc[[#This Row],[App]],Table2[],3,0),"open")</f>
        <v>ok</v>
      </c>
      <c r="C429" s="62" t="s">
        <v>369</v>
      </c>
      <c r="D429" t="s">
        <v>1861</v>
      </c>
      <c r="E429" t="s">
        <v>1917</v>
      </c>
      <c r="F429" s="60" t="s">
        <v>1918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69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26</v>
      </c>
      <c r="R429" s="69" t="s">
        <v>858</v>
      </c>
      <c r="S429" s="60"/>
    </row>
    <row r="430" spans="1:19" hidden="1">
      <c r="A430" s="62" t="s">
        <v>1860</v>
      </c>
      <c r="B430" s="60" t="str">
        <f>IFERROR(VLOOKUP(Proc[[#This Row],[App]],Table2[],3,0),"open")</f>
        <v>ok</v>
      </c>
      <c r="C430" s="62" t="s">
        <v>369</v>
      </c>
      <c r="D430" t="s">
        <v>1862</v>
      </c>
      <c r="E430" t="s">
        <v>1917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69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26</v>
      </c>
      <c r="R430" s="69" t="s">
        <v>858</v>
      </c>
      <c r="S430" s="60"/>
    </row>
    <row r="431" spans="1:19" hidden="1">
      <c r="A431" s="62" t="s">
        <v>1860</v>
      </c>
      <c r="B431" s="60" t="str">
        <f>IFERROR(VLOOKUP(Proc[[#This Row],[App]],Table2[],3,0),"open")</f>
        <v>ok</v>
      </c>
      <c r="C431" s="62" t="s">
        <v>369</v>
      </c>
      <c r="D431" t="s">
        <v>1863</v>
      </c>
      <c r="E431" t="s">
        <v>1917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69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26</v>
      </c>
      <c r="R431" s="69" t="s">
        <v>858</v>
      </c>
      <c r="S431" s="60"/>
    </row>
    <row r="432" spans="1:19" hidden="1">
      <c r="A432" s="62" t="s">
        <v>1860</v>
      </c>
      <c r="B432" s="60" t="str">
        <f>IFERROR(VLOOKUP(Proc[[#This Row],[App]],Table2[],3,0),"open")</f>
        <v>ok</v>
      </c>
      <c r="C432" s="62" t="s">
        <v>369</v>
      </c>
      <c r="D432" t="s">
        <v>1864</v>
      </c>
      <c r="E432" t="s">
        <v>1917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69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26</v>
      </c>
      <c r="R432" s="69" t="s">
        <v>858</v>
      </c>
      <c r="S432" s="60"/>
    </row>
    <row r="433" spans="1:19" hidden="1">
      <c r="A433" s="62" t="s">
        <v>1860</v>
      </c>
      <c r="B433" s="60" t="str">
        <f>IFERROR(VLOOKUP(Proc[[#This Row],[App]],Table2[],3,0),"open")</f>
        <v>ok</v>
      </c>
      <c r="C433" s="62" t="s">
        <v>369</v>
      </c>
      <c r="D433" t="s">
        <v>1865</v>
      </c>
      <c r="E433" t="s">
        <v>1917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69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26</v>
      </c>
      <c r="R433" s="69" t="s">
        <v>858</v>
      </c>
      <c r="S433" s="60"/>
    </row>
    <row r="434" spans="1:19" hidden="1">
      <c r="A434" s="62" t="s">
        <v>1860</v>
      </c>
      <c r="B434" s="60" t="str">
        <f>IFERROR(VLOOKUP(Proc[[#This Row],[App]],Table2[],3,0),"open")</f>
        <v>ok</v>
      </c>
      <c r="C434" s="62" t="s">
        <v>369</v>
      </c>
      <c r="D434" t="s">
        <v>1866</v>
      </c>
      <c r="E434" t="s">
        <v>1917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69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26</v>
      </c>
      <c r="R434" s="69" t="s">
        <v>858</v>
      </c>
      <c r="S434" s="60"/>
    </row>
    <row r="435" spans="1:19" hidden="1">
      <c r="A435" s="62" t="s">
        <v>1860</v>
      </c>
      <c r="B435" s="60" t="str">
        <f>IFERROR(VLOOKUP(Proc[[#This Row],[App]],Table2[],3,0),"open")</f>
        <v>ok</v>
      </c>
      <c r="C435" s="62" t="s">
        <v>369</v>
      </c>
      <c r="D435" t="s">
        <v>1867</v>
      </c>
      <c r="E435" t="s">
        <v>1917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69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26</v>
      </c>
      <c r="R435" s="69" t="s">
        <v>858</v>
      </c>
      <c r="S435" s="60"/>
    </row>
    <row r="436" spans="1:19" hidden="1">
      <c r="A436" s="62" t="s">
        <v>1860</v>
      </c>
      <c r="B436" s="60" t="str">
        <f>IFERROR(VLOOKUP(Proc[[#This Row],[App]],Table2[],3,0),"open")</f>
        <v>ok</v>
      </c>
      <c r="C436" s="62" t="s">
        <v>369</v>
      </c>
      <c r="D436" t="s">
        <v>1868</v>
      </c>
      <c r="E436" t="s">
        <v>1917</v>
      </c>
      <c r="F436" s="60" t="s">
        <v>1918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69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26</v>
      </c>
      <c r="R436" s="69" t="s">
        <v>858</v>
      </c>
      <c r="S436" s="60"/>
    </row>
    <row r="437" spans="1:19" hidden="1">
      <c r="A437" s="62" t="s">
        <v>1860</v>
      </c>
      <c r="B437" s="60" t="str">
        <f>IFERROR(VLOOKUP(Proc[[#This Row],[App]],Table2[],3,0),"open")</f>
        <v>ok</v>
      </c>
      <c r="C437" s="62" t="s">
        <v>369</v>
      </c>
      <c r="D437" t="s">
        <v>1869</v>
      </c>
      <c r="E437" t="s">
        <v>1917</v>
      </c>
      <c r="F437" s="60" t="s">
        <v>1919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69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26</v>
      </c>
      <c r="R437" s="69" t="s">
        <v>858</v>
      </c>
      <c r="S437" s="60"/>
    </row>
    <row r="438" spans="1:19" hidden="1">
      <c r="A438" s="62" t="s">
        <v>1860</v>
      </c>
      <c r="B438" s="60" t="str">
        <f>IFERROR(VLOOKUP(Proc[[#This Row],[App]],Table2[],3,0),"open")</f>
        <v>ok</v>
      </c>
      <c r="C438" s="62" t="s">
        <v>369</v>
      </c>
      <c r="D438" t="s">
        <v>1870</v>
      </c>
      <c r="E438" t="s">
        <v>1917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69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26</v>
      </c>
      <c r="R438" s="69" t="s">
        <v>858</v>
      </c>
      <c r="S438" s="60"/>
    </row>
    <row r="439" spans="1:19" hidden="1">
      <c r="A439" s="62" t="s">
        <v>1860</v>
      </c>
      <c r="B439" s="60" t="str">
        <f>IFERROR(VLOOKUP(Proc[[#This Row],[App]],Table2[],3,0),"open")</f>
        <v>ok</v>
      </c>
      <c r="C439" s="62" t="s">
        <v>369</v>
      </c>
      <c r="D439" t="s">
        <v>1871</v>
      </c>
      <c r="E439" t="s">
        <v>1917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69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26</v>
      </c>
      <c r="R439" s="69" t="s">
        <v>858</v>
      </c>
      <c r="S439" s="60"/>
    </row>
    <row r="440" spans="1:19" hidden="1">
      <c r="A440" s="62" t="s">
        <v>1860</v>
      </c>
      <c r="B440" s="60" t="str">
        <f>IFERROR(VLOOKUP(Proc[[#This Row],[App]],Table2[],3,0),"open")</f>
        <v>ok</v>
      </c>
      <c r="C440" s="62" t="s">
        <v>369</v>
      </c>
      <c r="D440" t="s">
        <v>1872</v>
      </c>
      <c r="E440" t="s">
        <v>1917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69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26</v>
      </c>
      <c r="R440" s="69" t="s">
        <v>858</v>
      </c>
      <c r="S440" s="60"/>
    </row>
    <row r="441" spans="1:19" hidden="1">
      <c r="A441" s="62" t="s">
        <v>1860</v>
      </c>
      <c r="B441" s="60" t="str">
        <f>IFERROR(VLOOKUP(Proc[[#This Row],[App]],Table2[],3,0),"open")</f>
        <v>ok</v>
      </c>
      <c r="C441" s="62" t="s">
        <v>369</v>
      </c>
      <c r="D441" t="s">
        <v>1873</v>
      </c>
      <c r="E441" t="s">
        <v>1917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69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26</v>
      </c>
      <c r="R441" s="69" t="s">
        <v>858</v>
      </c>
      <c r="S441" s="60"/>
    </row>
    <row r="442" spans="1:19" hidden="1">
      <c r="A442" s="62" t="s">
        <v>1860</v>
      </c>
      <c r="B442" s="60" t="str">
        <f>IFERROR(VLOOKUP(Proc[[#This Row],[App]],Table2[],3,0),"open")</f>
        <v>ok</v>
      </c>
      <c r="C442" s="62" t="s">
        <v>369</v>
      </c>
      <c r="D442" t="s">
        <v>1874</v>
      </c>
      <c r="E442" t="s">
        <v>1917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69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26</v>
      </c>
      <c r="R442" s="69" t="s">
        <v>858</v>
      </c>
      <c r="S442" s="60"/>
    </row>
    <row r="443" spans="1:19" hidden="1">
      <c r="A443" s="62" t="s">
        <v>1860</v>
      </c>
      <c r="B443" s="60" t="str">
        <f>IFERROR(VLOOKUP(Proc[[#This Row],[App]],Table2[],3,0),"open")</f>
        <v>ok</v>
      </c>
      <c r="C443" s="62" t="s">
        <v>369</v>
      </c>
      <c r="D443" t="s">
        <v>1875</v>
      </c>
      <c r="E443" t="s">
        <v>1917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69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26</v>
      </c>
      <c r="R443" s="69" t="s">
        <v>858</v>
      </c>
      <c r="S443" s="60"/>
    </row>
    <row r="444" spans="1:19" hidden="1">
      <c r="A444" s="62" t="s">
        <v>1860</v>
      </c>
      <c r="B444" s="60" t="str">
        <f>IFERROR(VLOOKUP(Proc[[#This Row],[App]],Table2[],3,0),"open")</f>
        <v>ok</v>
      </c>
      <c r="C444" s="62" t="s">
        <v>369</v>
      </c>
      <c r="D444" t="s">
        <v>1876</v>
      </c>
      <c r="E444" t="s">
        <v>1917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69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26</v>
      </c>
      <c r="R444" s="69" t="s">
        <v>858</v>
      </c>
      <c r="S444" s="60"/>
    </row>
    <row r="445" spans="1:19" hidden="1">
      <c r="A445" s="62" t="s">
        <v>1860</v>
      </c>
      <c r="B445" s="60" t="str">
        <f>IFERROR(VLOOKUP(Proc[[#This Row],[App]],Table2[],3,0),"open")</f>
        <v>ok</v>
      </c>
      <c r="C445" s="62" t="s">
        <v>369</v>
      </c>
      <c r="D445" t="s">
        <v>1877</v>
      </c>
      <c r="E445" t="s">
        <v>1917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69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26</v>
      </c>
      <c r="R445" s="69" t="s">
        <v>858</v>
      </c>
      <c r="S445" s="60"/>
    </row>
    <row r="446" spans="1:19" hidden="1">
      <c r="A446" s="62" t="s">
        <v>1860</v>
      </c>
      <c r="B446" s="60" t="str">
        <f>IFERROR(VLOOKUP(Proc[[#This Row],[App]],Table2[],3,0),"open")</f>
        <v>ok</v>
      </c>
      <c r="C446" s="62" t="s">
        <v>369</v>
      </c>
      <c r="D446" t="s">
        <v>1878</v>
      </c>
      <c r="E446" t="s">
        <v>1917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69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26</v>
      </c>
      <c r="R446" s="69" t="s">
        <v>858</v>
      </c>
      <c r="S446" s="60"/>
    </row>
    <row r="447" spans="1:19" hidden="1">
      <c r="A447" s="62" t="s">
        <v>1860</v>
      </c>
      <c r="B447" s="60" t="str">
        <f>IFERROR(VLOOKUP(Proc[[#This Row],[App]],Table2[],3,0),"open")</f>
        <v>ok</v>
      </c>
      <c r="C447" s="62" t="s">
        <v>369</v>
      </c>
      <c r="D447" t="s">
        <v>1879</v>
      </c>
      <c r="E447" t="s">
        <v>1917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69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26</v>
      </c>
      <c r="R447" s="69" t="s">
        <v>858</v>
      </c>
      <c r="S447" s="60"/>
    </row>
    <row r="448" spans="1:19" hidden="1">
      <c r="A448" s="62" t="s">
        <v>1860</v>
      </c>
      <c r="B448" s="60" t="str">
        <f>IFERROR(VLOOKUP(Proc[[#This Row],[App]],Table2[],3,0),"open")</f>
        <v>ok</v>
      </c>
      <c r="C448" s="62" t="s">
        <v>369</v>
      </c>
      <c r="D448" t="s">
        <v>1880</v>
      </c>
      <c r="E448" t="s">
        <v>1917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69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26</v>
      </c>
      <c r="R448" s="69" t="s">
        <v>858</v>
      </c>
      <c r="S448" s="60"/>
    </row>
    <row r="449" spans="1:19" hidden="1">
      <c r="A449" s="62" t="s">
        <v>1860</v>
      </c>
      <c r="B449" s="60" t="str">
        <f>IFERROR(VLOOKUP(Proc[[#This Row],[App]],Table2[],3,0),"open")</f>
        <v>ok</v>
      </c>
      <c r="C449" s="62" t="s">
        <v>369</v>
      </c>
      <c r="D449" t="s">
        <v>1881</v>
      </c>
      <c r="E449" t="s">
        <v>1917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69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26</v>
      </c>
      <c r="R449" s="69" t="s">
        <v>858</v>
      </c>
      <c r="S449" s="60"/>
    </row>
    <row r="450" spans="1:19" hidden="1">
      <c r="A450" s="62" t="s">
        <v>1860</v>
      </c>
      <c r="B450" s="60" t="str">
        <f>IFERROR(VLOOKUP(Proc[[#This Row],[App]],Table2[],3,0),"open")</f>
        <v>ok</v>
      </c>
      <c r="C450" s="62" t="s">
        <v>369</v>
      </c>
      <c r="D450" t="s">
        <v>1882</v>
      </c>
      <c r="E450" t="s">
        <v>1917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69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26</v>
      </c>
      <c r="R450" s="69" t="s">
        <v>858</v>
      </c>
      <c r="S450" s="60"/>
    </row>
    <row r="451" spans="1:19" hidden="1">
      <c r="A451" s="62" t="s">
        <v>1860</v>
      </c>
      <c r="B451" s="60" t="str">
        <f>IFERROR(VLOOKUP(Proc[[#This Row],[App]],Table2[],3,0),"open")</f>
        <v>ok</v>
      </c>
      <c r="C451" s="62" t="s">
        <v>369</v>
      </c>
      <c r="D451" t="s">
        <v>1883</v>
      </c>
      <c r="E451" t="s">
        <v>1917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69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26</v>
      </c>
      <c r="R451" s="69" t="s">
        <v>858</v>
      </c>
      <c r="S451" s="60"/>
    </row>
    <row r="452" spans="1:19" hidden="1">
      <c r="A452" s="62" t="s">
        <v>1860</v>
      </c>
      <c r="B452" s="60" t="str">
        <f>IFERROR(VLOOKUP(Proc[[#This Row],[App]],Table2[],3,0),"open")</f>
        <v>ok</v>
      </c>
      <c r="C452" s="62" t="s">
        <v>369</v>
      </c>
      <c r="D452" t="s">
        <v>1884</v>
      </c>
      <c r="E452" t="s">
        <v>1917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69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26</v>
      </c>
      <c r="R452" s="69" t="s">
        <v>858</v>
      </c>
      <c r="S452" s="60"/>
    </row>
    <row r="453" spans="1:19" hidden="1">
      <c r="A453" s="62" t="s">
        <v>1860</v>
      </c>
      <c r="B453" s="60" t="str">
        <f>IFERROR(VLOOKUP(Proc[[#This Row],[App]],Table2[],3,0),"open")</f>
        <v>ok</v>
      </c>
      <c r="C453" s="62" t="s">
        <v>369</v>
      </c>
      <c r="D453" t="s">
        <v>1885</v>
      </c>
      <c r="E453" t="s">
        <v>1917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69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26</v>
      </c>
      <c r="R453" s="69" t="s">
        <v>858</v>
      </c>
      <c r="S453" s="60"/>
    </row>
    <row r="454" spans="1:19" hidden="1">
      <c r="A454" s="62" t="s">
        <v>1860</v>
      </c>
      <c r="B454" s="60" t="str">
        <f>IFERROR(VLOOKUP(Proc[[#This Row],[App]],Table2[],3,0),"open")</f>
        <v>ok</v>
      </c>
      <c r="C454" s="62" t="s">
        <v>369</v>
      </c>
      <c r="D454" t="s">
        <v>1886</v>
      </c>
      <c r="E454" t="s">
        <v>1917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69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26</v>
      </c>
      <c r="R454" s="69" t="s">
        <v>858</v>
      </c>
      <c r="S454" s="60"/>
    </row>
    <row r="455" spans="1:19" hidden="1">
      <c r="A455" s="62" t="s">
        <v>1860</v>
      </c>
      <c r="B455" s="60" t="str">
        <f>IFERROR(VLOOKUP(Proc[[#This Row],[App]],Table2[],3,0),"open")</f>
        <v>ok</v>
      </c>
      <c r="C455" s="62" t="s">
        <v>369</v>
      </c>
      <c r="D455" t="s">
        <v>1887</v>
      </c>
      <c r="E455" t="s">
        <v>1917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69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26</v>
      </c>
      <c r="R455" s="69" t="s">
        <v>858</v>
      </c>
      <c r="S455" s="60"/>
    </row>
    <row r="456" spans="1:19" hidden="1">
      <c r="A456" s="62" t="s">
        <v>1860</v>
      </c>
      <c r="B456" s="60" t="str">
        <f>IFERROR(VLOOKUP(Proc[[#This Row],[App]],Table2[],3,0),"open")</f>
        <v>ok</v>
      </c>
      <c r="C456" s="62" t="s">
        <v>369</v>
      </c>
      <c r="D456" t="s">
        <v>1888</v>
      </c>
      <c r="E456" t="s">
        <v>1917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69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26</v>
      </c>
      <c r="R456" s="69" t="s">
        <v>858</v>
      </c>
      <c r="S456" s="60"/>
    </row>
    <row r="457" spans="1:19" hidden="1">
      <c r="A457" s="62" t="s">
        <v>1860</v>
      </c>
      <c r="B457" s="60" t="str">
        <f>IFERROR(VLOOKUP(Proc[[#This Row],[App]],Table2[],3,0),"open")</f>
        <v>ok</v>
      </c>
      <c r="C457" s="62" t="s">
        <v>369</v>
      </c>
      <c r="D457" t="s">
        <v>1889</v>
      </c>
      <c r="E457" t="s">
        <v>1917</v>
      </c>
      <c r="F457" s="60" t="s">
        <v>1919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69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26</v>
      </c>
      <c r="R457" s="69" t="s">
        <v>858</v>
      </c>
      <c r="S457" s="60"/>
    </row>
    <row r="458" spans="1:19" hidden="1">
      <c r="A458" s="62" t="s">
        <v>1860</v>
      </c>
      <c r="B458" s="60" t="str">
        <f>IFERROR(VLOOKUP(Proc[[#This Row],[App]],Table2[],3,0),"open")</f>
        <v>ok</v>
      </c>
      <c r="C458" s="62" t="s">
        <v>369</v>
      </c>
      <c r="D458" t="s">
        <v>1890</v>
      </c>
      <c r="E458" t="s">
        <v>1917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69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26</v>
      </c>
      <c r="R458" s="69" t="s">
        <v>858</v>
      </c>
      <c r="S458" s="60"/>
    </row>
    <row r="459" spans="1:19" hidden="1">
      <c r="A459" s="62" t="s">
        <v>1860</v>
      </c>
      <c r="B459" s="60" t="str">
        <f>IFERROR(VLOOKUP(Proc[[#This Row],[App]],Table2[],3,0),"open")</f>
        <v>ok</v>
      </c>
      <c r="C459" s="62" t="s">
        <v>369</v>
      </c>
      <c r="D459" t="s">
        <v>1891</v>
      </c>
      <c r="E459" t="s">
        <v>1917</v>
      </c>
      <c r="F459" s="60" t="s">
        <v>1919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69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26</v>
      </c>
      <c r="R459" s="69" t="s">
        <v>858</v>
      </c>
      <c r="S459" s="60"/>
    </row>
    <row r="460" spans="1:19" hidden="1">
      <c r="A460" s="62" t="s">
        <v>1860</v>
      </c>
      <c r="B460" s="60" t="str">
        <f>IFERROR(VLOOKUP(Proc[[#This Row],[App]],Table2[],3,0),"open")</f>
        <v>ok</v>
      </c>
      <c r="C460" s="62" t="s">
        <v>369</v>
      </c>
      <c r="D460" t="s">
        <v>1892</v>
      </c>
      <c r="E460" t="s">
        <v>1917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69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26</v>
      </c>
      <c r="R460" s="69" t="s">
        <v>858</v>
      </c>
      <c r="S460" s="60"/>
    </row>
    <row r="461" spans="1:19" hidden="1">
      <c r="A461" s="62" t="s">
        <v>1860</v>
      </c>
      <c r="B461" s="60" t="str">
        <f>IFERROR(VLOOKUP(Proc[[#This Row],[App]],Table2[],3,0),"open")</f>
        <v>ok</v>
      </c>
      <c r="C461" s="62" t="s">
        <v>369</v>
      </c>
      <c r="D461" t="s">
        <v>1893</v>
      </c>
      <c r="E461" t="s">
        <v>1917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69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26</v>
      </c>
      <c r="R461" s="69" t="s">
        <v>858</v>
      </c>
      <c r="S461" s="60"/>
    </row>
    <row r="462" spans="1:19" hidden="1">
      <c r="A462" s="62" t="s">
        <v>1860</v>
      </c>
      <c r="B462" s="60" t="str">
        <f>IFERROR(VLOOKUP(Proc[[#This Row],[App]],Table2[],3,0),"open")</f>
        <v>ok</v>
      </c>
      <c r="C462" s="62" t="s">
        <v>369</v>
      </c>
      <c r="D462" t="s">
        <v>1894</v>
      </c>
      <c r="E462" t="s">
        <v>1917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69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26</v>
      </c>
      <c r="R462" s="69" t="s">
        <v>858</v>
      </c>
      <c r="S462" s="60"/>
    </row>
    <row r="463" spans="1:19" hidden="1">
      <c r="A463" s="62" t="s">
        <v>1860</v>
      </c>
      <c r="B463" s="60" t="str">
        <f>IFERROR(VLOOKUP(Proc[[#This Row],[App]],Table2[],3,0),"open")</f>
        <v>ok</v>
      </c>
      <c r="C463" s="62" t="s">
        <v>369</v>
      </c>
      <c r="D463" t="s">
        <v>1895</v>
      </c>
      <c r="E463" t="s">
        <v>1917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69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26</v>
      </c>
      <c r="R463" s="69" t="s">
        <v>858</v>
      </c>
      <c r="S463" s="60"/>
    </row>
    <row r="464" spans="1:19" hidden="1">
      <c r="A464" s="62" t="s">
        <v>1860</v>
      </c>
      <c r="B464" s="60" t="str">
        <f>IFERROR(VLOOKUP(Proc[[#This Row],[App]],Table2[],3,0),"open")</f>
        <v>ok</v>
      </c>
      <c r="C464" s="62" t="s">
        <v>369</v>
      </c>
      <c r="D464" t="s">
        <v>1896</v>
      </c>
      <c r="E464" t="s">
        <v>1917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69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26</v>
      </c>
      <c r="R464" s="69" t="s">
        <v>858</v>
      </c>
      <c r="S464" s="60"/>
    </row>
    <row r="465" spans="1:19" hidden="1">
      <c r="A465" s="62" t="s">
        <v>1860</v>
      </c>
      <c r="B465" s="60" t="str">
        <f>IFERROR(VLOOKUP(Proc[[#This Row],[App]],Table2[],3,0),"open")</f>
        <v>ok</v>
      </c>
      <c r="C465" s="62" t="s">
        <v>369</v>
      </c>
      <c r="D465" t="s">
        <v>1897</v>
      </c>
      <c r="E465" t="s">
        <v>1917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69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26</v>
      </c>
      <c r="R465" s="69" t="s">
        <v>858</v>
      </c>
      <c r="S465" s="60"/>
    </row>
    <row r="466" spans="1:19" hidden="1">
      <c r="A466" s="62" t="s">
        <v>1860</v>
      </c>
      <c r="B466" s="60" t="str">
        <f>IFERROR(VLOOKUP(Proc[[#This Row],[App]],Table2[],3,0),"open")</f>
        <v>ok</v>
      </c>
      <c r="C466" s="62" t="s">
        <v>369</v>
      </c>
      <c r="D466" t="s">
        <v>1898</v>
      </c>
      <c r="E466" t="s">
        <v>1917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69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26</v>
      </c>
      <c r="R466" s="69" t="s">
        <v>858</v>
      </c>
      <c r="S466" s="60"/>
    </row>
    <row r="467" spans="1:19" hidden="1">
      <c r="A467" s="62" t="s">
        <v>1860</v>
      </c>
      <c r="B467" s="60" t="str">
        <f>IFERROR(VLOOKUP(Proc[[#This Row],[App]],Table2[],3,0),"open")</f>
        <v>ok</v>
      </c>
      <c r="C467" s="62" t="s">
        <v>369</v>
      </c>
      <c r="D467" t="s">
        <v>1899</v>
      </c>
      <c r="E467" t="s">
        <v>1917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69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26</v>
      </c>
      <c r="R467" s="69" t="s">
        <v>858</v>
      </c>
      <c r="S467" s="60"/>
    </row>
    <row r="468" spans="1:19" hidden="1">
      <c r="A468" s="62" t="s">
        <v>1860</v>
      </c>
      <c r="B468" s="60" t="str">
        <f>IFERROR(VLOOKUP(Proc[[#This Row],[App]],Table2[],3,0),"open")</f>
        <v>ok</v>
      </c>
      <c r="C468" s="62" t="s">
        <v>369</v>
      </c>
      <c r="D468" t="s">
        <v>1900</v>
      </c>
      <c r="E468" t="s">
        <v>1917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69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26</v>
      </c>
      <c r="R468" s="69" t="s">
        <v>858</v>
      </c>
      <c r="S468" s="60"/>
    </row>
    <row r="469" spans="1:19" hidden="1">
      <c r="A469" s="62" t="s">
        <v>1860</v>
      </c>
      <c r="B469" s="60" t="str">
        <f>IFERROR(VLOOKUP(Proc[[#This Row],[App]],Table2[],3,0),"open")</f>
        <v>ok</v>
      </c>
      <c r="C469" s="62" t="s">
        <v>369</v>
      </c>
      <c r="D469" t="s">
        <v>1901</v>
      </c>
      <c r="E469" t="s">
        <v>1917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69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26</v>
      </c>
      <c r="R469" s="69" t="s">
        <v>858</v>
      </c>
      <c r="S469" s="60"/>
    </row>
    <row r="470" spans="1:19" hidden="1">
      <c r="A470" s="62" t="s">
        <v>1860</v>
      </c>
      <c r="B470" s="60" t="str">
        <f>IFERROR(VLOOKUP(Proc[[#This Row],[App]],Table2[],3,0),"open")</f>
        <v>ok</v>
      </c>
      <c r="C470" s="62" t="s">
        <v>369</v>
      </c>
      <c r="D470" t="s">
        <v>1902</v>
      </c>
      <c r="E470" t="s">
        <v>1917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69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26</v>
      </c>
      <c r="R470" s="69" t="s">
        <v>858</v>
      </c>
      <c r="S470" s="60"/>
    </row>
    <row r="471" spans="1:19" hidden="1">
      <c r="A471" s="62" t="s">
        <v>1860</v>
      </c>
      <c r="B471" s="60" t="str">
        <f>IFERROR(VLOOKUP(Proc[[#This Row],[App]],Table2[],3,0),"open")</f>
        <v>ok</v>
      </c>
      <c r="C471" s="62" t="s">
        <v>369</v>
      </c>
      <c r="D471" t="s">
        <v>1903</v>
      </c>
      <c r="E471" t="s">
        <v>1917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69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26</v>
      </c>
      <c r="R471" s="69" t="s">
        <v>858</v>
      </c>
      <c r="S471" s="60"/>
    </row>
    <row r="472" spans="1:19" hidden="1">
      <c r="A472" s="62" t="s">
        <v>1860</v>
      </c>
      <c r="B472" s="60" t="str">
        <f>IFERROR(VLOOKUP(Proc[[#This Row],[App]],Table2[],3,0),"open")</f>
        <v>ok</v>
      </c>
      <c r="C472" s="62" t="s">
        <v>369</v>
      </c>
      <c r="D472" t="s">
        <v>1904</v>
      </c>
      <c r="E472" t="s">
        <v>1917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69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26</v>
      </c>
      <c r="R472" s="69" t="s">
        <v>858</v>
      </c>
      <c r="S472" s="60"/>
    </row>
    <row r="473" spans="1:19" hidden="1">
      <c r="A473" s="62" t="s">
        <v>1860</v>
      </c>
      <c r="B473" s="60" t="str">
        <f>IFERROR(VLOOKUP(Proc[[#This Row],[App]],Table2[],3,0),"open")</f>
        <v>ok</v>
      </c>
      <c r="C473" s="62" t="s">
        <v>369</v>
      </c>
      <c r="D473" t="s">
        <v>1905</v>
      </c>
      <c r="E473" t="s">
        <v>1917</v>
      </c>
      <c r="F473" s="60" t="s">
        <v>1918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69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26</v>
      </c>
      <c r="R473" s="69" t="s">
        <v>858</v>
      </c>
      <c r="S473" s="60"/>
    </row>
    <row r="474" spans="1:19" hidden="1">
      <c r="A474" s="62" t="s">
        <v>1860</v>
      </c>
      <c r="B474" s="60" t="str">
        <f>IFERROR(VLOOKUP(Proc[[#This Row],[App]],Table2[],3,0),"open")</f>
        <v>ok</v>
      </c>
      <c r="C474" s="62" t="s">
        <v>369</v>
      </c>
      <c r="D474" t="s">
        <v>1906</v>
      </c>
      <c r="E474" t="s">
        <v>1917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69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26</v>
      </c>
      <c r="R474" s="69" t="s">
        <v>858</v>
      </c>
      <c r="S474" s="60"/>
    </row>
    <row r="475" spans="1:19" hidden="1">
      <c r="A475" s="62" t="s">
        <v>1860</v>
      </c>
      <c r="B475" s="60" t="str">
        <f>IFERROR(VLOOKUP(Proc[[#This Row],[App]],Table2[],3,0),"open")</f>
        <v>ok</v>
      </c>
      <c r="C475" s="62" t="s">
        <v>369</v>
      </c>
      <c r="D475" t="s">
        <v>1907</v>
      </c>
      <c r="E475" t="s">
        <v>1917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69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26</v>
      </c>
      <c r="R475" s="69" t="s">
        <v>858</v>
      </c>
      <c r="S475" s="60"/>
    </row>
    <row r="476" spans="1:19" hidden="1">
      <c r="A476" s="62" t="s">
        <v>1860</v>
      </c>
      <c r="B476" s="60" t="str">
        <f>IFERROR(VLOOKUP(Proc[[#This Row],[App]],Table2[],3,0),"open")</f>
        <v>ok</v>
      </c>
      <c r="C476" s="62" t="s">
        <v>369</v>
      </c>
      <c r="D476" t="s">
        <v>1908</v>
      </c>
      <c r="E476" t="s">
        <v>1917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69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26</v>
      </c>
      <c r="R476" s="69" t="s">
        <v>858</v>
      </c>
      <c r="S476" s="60"/>
    </row>
    <row r="477" spans="1:19" hidden="1">
      <c r="A477" s="62" t="s">
        <v>1860</v>
      </c>
      <c r="B477" s="60" t="str">
        <f>IFERROR(VLOOKUP(Proc[[#This Row],[App]],Table2[],3,0),"open")</f>
        <v>ok</v>
      </c>
      <c r="C477" s="62" t="s">
        <v>369</v>
      </c>
      <c r="D477" t="s">
        <v>1909</v>
      </c>
      <c r="E477" t="s">
        <v>1917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69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26</v>
      </c>
      <c r="R477" s="69" t="s">
        <v>858</v>
      </c>
      <c r="S477" s="60"/>
    </row>
    <row r="478" spans="1:19" hidden="1">
      <c r="A478" s="62" t="s">
        <v>1860</v>
      </c>
      <c r="B478" s="60" t="str">
        <f>IFERROR(VLOOKUP(Proc[[#This Row],[App]],Table2[],3,0),"open")</f>
        <v>ok</v>
      </c>
      <c r="C478" s="62" t="s">
        <v>369</v>
      </c>
      <c r="D478" t="s">
        <v>1910</v>
      </c>
      <c r="E478" t="s">
        <v>1917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69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26</v>
      </c>
      <c r="R478" s="69" t="s">
        <v>858</v>
      </c>
      <c r="S478" s="60"/>
    </row>
    <row r="479" spans="1:19" hidden="1">
      <c r="A479" s="62" t="s">
        <v>1860</v>
      </c>
      <c r="B479" s="60" t="str">
        <f>IFERROR(VLOOKUP(Proc[[#This Row],[App]],Table2[],3,0),"open")</f>
        <v>ok</v>
      </c>
      <c r="C479" s="62" t="s">
        <v>369</v>
      </c>
      <c r="D479" t="s">
        <v>1911</v>
      </c>
      <c r="E479" t="s">
        <v>1917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69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26</v>
      </c>
      <c r="R479" s="69" t="s">
        <v>858</v>
      </c>
      <c r="S479" s="60"/>
    </row>
    <row r="480" spans="1:19" hidden="1">
      <c r="A480" s="62" t="s">
        <v>1860</v>
      </c>
      <c r="B480" s="60" t="str">
        <f>IFERROR(VLOOKUP(Proc[[#This Row],[App]],Table2[],3,0),"open")</f>
        <v>ok</v>
      </c>
      <c r="C480" s="62" t="s">
        <v>369</v>
      </c>
      <c r="D480" t="s">
        <v>1912</v>
      </c>
      <c r="E480" t="s">
        <v>1917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69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26</v>
      </c>
      <c r="R480" s="69" t="s">
        <v>858</v>
      </c>
      <c r="S480" s="60"/>
    </row>
    <row r="481" spans="1:19" hidden="1">
      <c r="A481" s="62" t="s">
        <v>1860</v>
      </c>
      <c r="B481" s="60" t="str">
        <f>IFERROR(VLOOKUP(Proc[[#This Row],[App]],Table2[],3,0),"open")</f>
        <v>ok</v>
      </c>
      <c r="C481" s="62" t="s">
        <v>369</v>
      </c>
      <c r="D481" t="s">
        <v>1913</v>
      </c>
      <c r="E481" t="s">
        <v>1917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69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26</v>
      </c>
      <c r="R481" s="69" t="s">
        <v>858</v>
      </c>
      <c r="S481" s="60"/>
    </row>
    <row r="482" spans="1:19" hidden="1">
      <c r="A482" s="62" t="s">
        <v>1860</v>
      </c>
      <c r="B482" s="60" t="str">
        <f>IFERROR(VLOOKUP(Proc[[#This Row],[App]],Table2[],3,0),"open")</f>
        <v>ok</v>
      </c>
      <c r="C482" s="62" t="s">
        <v>369</v>
      </c>
      <c r="D482" t="s">
        <v>1914</v>
      </c>
      <c r="E482" t="s">
        <v>1917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69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26</v>
      </c>
      <c r="R482" s="69" t="s">
        <v>858</v>
      </c>
      <c r="S482" s="60"/>
    </row>
    <row r="483" spans="1:19" hidden="1">
      <c r="A483" s="62" t="s">
        <v>1860</v>
      </c>
      <c r="B483" s="60" t="str">
        <f>IFERROR(VLOOKUP(Proc[[#This Row],[App]],Table2[],3,0),"open")</f>
        <v>ok</v>
      </c>
      <c r="C483" s="62" t="s">
        <v>369</v>
      </c>
      <c r="D483" t="s">
        <v>1915</v>
      </c>
      <c r="E483" t="s">
        <v>1917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69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26</v>
      </c>
      <c r="R483" s="69" t="s">
        <v>858</v>
      </c>
      <c r="S483" s="60"/>
    </row>
    <row r="484" spans="1:19" hidden="1">
      <c r="A484" s="62" t="s">
        <v>1860</v>
      </c>
      <c r="B484" s="60" t="str">
        <f>IFERROR(VLOOKUP(Proc[[#This Row],[App]],Table2[],3,0),"open")</f>
        <v>ok</v>
      </c>
      <c r="C484" s="62" t="s">
        <v>369</v>
      </c>
      <c r="D484" t="s">
        <v>1916</v>
      </c>
      <c r="E484" t="s">
        <v>1917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69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26</v>
      </c>
      <c r="R484" s="69" t="s">
        <v>858</v>
      </c>
      <c r="S484" s="60"/>
    </row>
    <row r="485" spans="1:19" hidden="1">
      <c r="A485" t="s">
        <v>1920</v>
      </c>
      <c r="B485" s="60" t="str">
        <f>IFERROR(VLOOKUP(Proc[[#This Row],[App]],Table2[],3,0),"open")</f>
        <v>ok</v>
      </c>
      <c r="C485" s="62" t="s">
        <v>369</v>
      </c>
      <c r="D485" t="s">
        <v>1921</v>
      </c>
      <c r="E485" t="s">
        <v>494</v>
      </c>
      <c r="F485" s="60" t="s">
        <v>1292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69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26</v>
      </c>
      <c r="R485" s="69" t="s">
        <v>538</v>
      </c>
      <c r="S485" s="60"/>
    </row>
    <row r="486" spans="1:19" hidden="1">
      <c r="A486" s="62" t="s">
        <v>1920</v>
      </c>
      <c r="B486" s="60" t="str">
        <f>IFERROR(VLOOKUP(Proc[[#This Row],[App]],Table2[],3,0),"open")</f>
        <v>ok</v>
      </c>
      <c r="C486" s="62" t="s">
        <v>369</v>
      </c>
      <c r="D486" t="s">
        <v>1922</v>
      </c>
      <c r="E486" t="s">
        <v>494</v>
      </c>
      <c r="F486" s="60" t="s">
        <v>1292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69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26</v>
      </c>
      <c r="R486" s="69" t="s">
        <v>538</v>
      </c>
      <c r="S486" s="60"/>
    </row>
    <row r="487" spans="1:19" hidden="1">
      <c r="A487" s="62" t="s">
        <v>1920</v>
      </c>
      <c r="B487" s="60" t="str">
        <f>IFERROR(VLOOKUP(Proc[[#This Row],[App]],Table2[],3,0),"open")</f>
        <v>ok</v>
      </c>
      <c r="C487" s="62" t="s">
        <v>369</v>
      </c>
      <c r="D487" t="s">
        <v>1923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69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26</v>
      </c>
      <c r="R487" s="69" t="s">
        <v>538</v>
      </c>
      <c r="S487" s="60"/>
    </row>
    <row r="488" spans="1:19" hidden="1">
      <c r="A488" t="s">
        <v>1930</v>
      </c>
      <c r="B488" s="60" t="str">
        <f>IFERROR(VLOOKUP(Proc[[#This Row],[App]],Table2[],3,0),"open")</f>
        <v>ok</v>
      </c>
      <c r="C488" t="s">
        <v>369</v>
      </c>
      <c r="D488" t="s">
        <v>1924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69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25</v>
      </c>
      <c r="R488" s="69" t="s">
        <v>1531</v>
      </c>
      <c r="S488" s="60"/>
    </row>
    <row r="489" spans="1:19" hidden="1">
      <c r="A489" s="62" t="s">
        <v>1930</v>
      </c>
      <c r="B489" s="60" t="str">
        <f>IFERROR(VLOOKUP(Proc[[#This Row],[App]],Table2[],3,0),"open")</f>
        <v>ok</v>
      </c>
      <c r="C489" s="62" t="s">
        <v>369</v>
      </c>
      <c r="D489" t="s">
        <v>1925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69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25</v>
      </c>
      <c r="R489" s="69" t="s">
        <v>1531</v>
      </c>
      <c r="S489" s="60"/>
    </row>
    <row r="490" spans="1:19" hidden="1">
      <c r="A490" s="62" t="s">
        <v>1930</v>
      </c>
      <c r="B490" s="60" t="str">
        <f>IFERROR(VLOOKUP(Proc[[#This Row],[App]],Table2[],3,0),"open")</f>
        <v>ok</v>
      </c>
      <c r="C490" s="62" t="s">
        <v>369</v>
      </c>
      <c r="D490" t="s">
        <v>1926</v>
      </c>
      <c r="E490" t="s">
        <v>429</v>
      </c>
      <c r="F490" s="60" t="s">
        <v>1929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69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25</v>
      </c>
      <c r="R490" s="69" t="s">
        <v>1531</v>
      </c>
      <c r="S490" s="60"/>
    </row>
    <row r="491" spans="1:19" hidden="1">
      <c r="A491" s="62" t="s">
        <v>1930</v>
      </c>
      <c r="B491" s="60" t="str">
        <f>IFERROR(VLOOKUP(Proc[[#This Row],[App]],Table2[],3,0),"open")</f>
        <v>ok</v>
      </c>
      <c r="C491" s="62" t="s">
        <v>369</v>
      </c>
      <c r="D491" t="s">
        <v>1927</v>
      </c>
      <c r="E491" t="s">
        <v>445</v>
      </c>
      <c r="F491" s="60" t="s">
        <v>1929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69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25</v>
      </c>
      <c r="R491" s="69" t="s">
        <v>1531</v>
      </c>
      <c r="S491" s="60"/>
    </row>
    <row r="492" spans="1:19" hidden="1">
      <c r="A492" s="62" t="s">
        <v>1930</v>
      </c>
      <c r="B492" s="60" t="str">
        <f>IFERROR(VLOOKUP(Proc[[#This Row],[App]],Table2[],3,0),"open")</f>
        <v>ok</v>
      </c>
      <c r="C492" s="62" t="s">
        <v>369</v>
      </c>
      <c r="D492" t="s">
        <v>1928</v>
      </c>
      <c r="E492" t="s">
        <v>1286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69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25</v>
      </c>
      <c r="R492" s="69" t="s">
        <v>1531</v>
      </c>
      <c r="S492" s="60"/>
    </row>
    <row r="493" spans="1:19" hidden="1">
      <c r="A493" t="s">
        <v>1931</v>
      </c>
      <c r="B493" s="60" t="str">
        <f>IFERROR(VLOOKUP(Proc[[#This Row],[App]],Table2[],3,0),"open")</f>
        <v>ok</v>
      </c>
      <c r="C493" t="s">
        <v>369</v>
      </c>
      <c r="D493" t="s">
        <v>1175</v>
      </c>
      <c r="E493" t="s">
        <v>2225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69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24</v>
      </c>
      <c r="R493" s="69" t="s">
        <v>538</v>
      </c>
      <c r="S493" s="60"/>
    </row>
    <row r="494" spans="1:19" hidden="1">
      <c r="A494" s="62" t="s">
        <v>1931</v>
      </c>
      <c r="B494" s="60" t="str">
        <f>IFERROR(VLOOKUP(Proc[[#This Row],[App]],Table2[],3,0),"open")</f>
        <v>ok</v>
      </c>
      <c r="C494" s="72" t="s">
        <v>377</v>
      </c>
      <c r="D494" t="s">
        <v>1932</v>
      </c>
      <c r="E494" t="s">
        <v>2225</v>
      </c>
      <c r="F494" s="60" t="s">
        <v>1933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69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24</v>
      </c>
      <c r="R494" s="69" t="s">
        <v>538</v>
      </c>
      <c r="S494" s="60"/>
    </row>
    <row r="495" spans="1:19" hidden="1">
      <c r="A495" t="s">
        <v>1935</v>
      </c>
      <c r="B495" s="60" t="str">
        <f>IFERROR(VLOOKUP(Proc[[#This Row],[App]],Table2[],3,0),"open")</f>
        <v>ok</v>
      </c>
      <c r="C495" t="s">
        <v>369</v>
      </c>
      <c r="D495" t="s">
        <v>1934</v>
      </c>
      <c r="E495" s="62" t="s">
        <v>1936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69">
        <v>45698.416030092594</v>
      </c>
      <c r="N495" s="69">
        <v>45701</v>
      </c>
      <c r="O495" s="69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1938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1937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1939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69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22</v>
      </c>
      <c r="R496" s="69" t="s">
        <v>538</v>
      </c>
      <c r="S496" s="60"/>
    </row>
    <row r="497" spans="1:19" hidden="1">
      <c r="A497" s="62" t="s">
        <v>1938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69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22</v>
      </c>
      <c r="R497" s="69" t="s">
        <v>538</v>
      </c>
      <c r="S497" s="60"/>
    </row>
    <row r="498" spans="1:19" hidden="1">
      <c r="A498" t="s">
        <v>1952</v>
      </c>
      <c r="B498" s="60" t="str">
        <f>IFERROR(VLOOKUP(Proc[[#This Row],[App]],Table2[],3,0),"open")</f>
        <v>ok</v>
      </c>
      <c r="C498" s="72" t="s">
        <v>369</v>
      </c>
      <c r="D498" t="s">
        <v>1953</v>
      </c>
      <c r="E498" s="72" t="s">
        <v>1954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69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21</v>
      </c>
      <c r="R498" s="69" t="s">
        <v>1531</v>
      </c>
      <c r="S498" s="60"/>
    </row>
    <row r="499" spans="1:19" hidden="1">
      <c r="A499" t="s">
        <v>1958</v>
      </c>
      <c r="B499" s="73" t="str">
        <f>IFERROR(VLOOKUP(Proc[[#This Row],[App]],Table2[],3,0),"open")</f>
        <v>ok</v>
      </c>
      <c r="C499" s="72" t="s">
        <v>369</v>
      </c>
      <c r="D499" t="s">
        <v>1955</v>
      </c>
      <c r="E499" t="s">
        <v>1956</v>
      </c>
      <c r="F499" s="73" t="s">
        <v>1957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69">
        <v>45701.389467592591</v>
      </c>
      <c r="N499" s="69">
        <v>45712</v>
      </c>
      <c r="O499" s="69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1959</v>
      </c>
      <c r="B500" s="73" t="str">
        <f>IFERROR(VLOOKUP(Proc[[#This Row],[App]],Table2[],3,0),"open")</f>
        <v>ok</v>
      </c>
      <c r="C500" s="72" t="s">
        <v>369</v>
      </c>
      <c r="D500" t="s">
        <v>2144</v>
      </c>
      <c r="E500" t="s">
        <v>2153</v>
      </c>
      <c r="F500" s="73" t="s">
        <v>1960</v>
      </c>
      <c r="G500" t="s">
        <v>400</v>
      </c>
      <c r="H500" s="73" t="str">
        <f>IF(Proc[[#This Row],[type]]="LFF (MDG-F)",MID(Proc[[#This Row],[Obj]],13,10),"")</f>
        <v/>
      </c>
      <c r="I500" t="s">
        <v>1964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69">
        <v>45701.611967592595</v>
      </c>
      <c r="N500" s="69">
        <v>45706</v>
      </c>
      <c r="O500" s="69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1963</v>
      </c>
      <c r="S500" s="73"/>
    </row>
    <row r="501" spans="1:19" hidden="1">
      <c r="A501" s="72" t="s">
        <v>1959</v>
      </c>
      <c r="B501" s="73" t="str">
        <f>IFERROR(VLOOKUP(Proc[[#This Row],[App]],Table2[],3,0),"open")</f>
        <v>ok</v>
      </c>
      <c r="C501" s="72" t="s">
        <v>369</v>
      </c>
      <c r="D501" t="s">
        <v>2145</v>
      </c>
      <c r="E501" s="72" t="s">
        <v>2153</v>
      </c>
      <c r="F501" s="73" t="s">
        <v>1961</v>
      </c>
      <c r="G501" s="72" t="s">
        <v>400</v>
      </c>
      <c r="H501" s="73" t="str">
        <f>IF(Proc[[#This Row],[type]]="LFF (MDG-F)",MID(Proc[[#This Row],[Obj]],13,10),"")</f>
        <v/>
      </c>
      <c r="I501" s="72" t="s">
        <v>1964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69">
        <v>45701.611967592595</v>
      </c>
      <c r="N501" s="69">
        <v>45706</v>
      </c>
      <c r="O501" s="69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1963</v>
      </c>
      <c r="S501" s="73"/>
    </row>
    <row r="502" spans="1:19" hidden="1">
      <c r="A502" s="72" t="s">
        <v>1959</v>
      </c>
      <c r="B502" s="73" t="str">
        <f>IFERROR(VLOOKUP(Proc[[#This Row],[App]],Table2[],3,0),"open")</f>
        <v>ok</v>
      </c>
      <c r="C502" s="72" t="s">
        <v>369</v>
      </c>
      <c r="D502" t="s">
        <v>2146</v>
      </c>
      <c r="E502" s="72" t="s">
        <v>2153</v>
      </c>
      <c r="F502" s="73" t="s">
        <v>1962</v>
      </c>
      <c r="G502" s="72" t="s">
        <v>400</v>
      </c>
      <c r="H502" s="73" t="str">
        <f>IF(Proc[[#This Row],[type]]="LFF (MDG-F)",MID(Proc[[#This Row],[Obj]],13,10),"")</f>
        <v/>
      </c>
      <c r="I502" s="72" t="s">
        <v>1964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69">
        <v>45701.611967592595</v>
      </c>
      <c r="N502" s="69">
        <v>45706</v>
      </c>
      <c r="O502" s="69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1963</v>
      </c>
      <c r="S502" s="73"/>
    </row>
    <row r="503" spans="1:19" hidden="1">
      <c r="A503" s="72" t="s">
        <v>1959</v>
      </c>
      <c r="B503" s="73" t="str">
        <f>IFERROR(VLOOKUP(Proc[[#This Row],[App]],Table2[],3,0),"open")</f>
        <v>ok</v>
      </c>
      <c r="C503" s="72" t="s">
        <v>369</v>
      </c>
      <c r="D503" t="s">
        <v>2147</v>
      </c>
      <c r="E503" t="s">
        <v>2154</v>
      </c>
      <c r="F503" s="73" t="s">
        <v>1960</v>
      </c>
      <c r="G503" s="72" t="s">
        <v>400</v>
      </c>
      <c r="H503" s="73" t="str">
        <f>IF(Proc[[#This Row],[type]]="LFF (MDG-F)",MID(Proc[[#This Row],[Obj]],13,10),"")</f>
        <v/>
      </c>
      <c r="I503" s="72" t="s">
        <v>1964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69">
        <v>45701.611967592595</v>
      </c>
      <c r="N503" s="69">
        <v>45706</v>
      </c>
      <c r="O503" s="69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1963</v>
      </c>
      <c r="S503" s="73"/>
    </row>
    <row r="504" spans="1:19" hidden="1">
      <c r="A504" s="72" t="s">
        <v>1959</v>
      </c>
      <c r="B504" s="73" t="str">
        <f>IFERROR(VLOOKUP(Proc[[#This Row],[App]],Table2[],3,0),"open")</f>
        <v>ok</v>
      </c>
      <c r="C504" s="72" t="s">
        <v>369</v>
      </c>
      <c r="D504" t="s">
        <v>2149</v>
      </c>
      <c r="E504" s="72" t="s">
        <v>2154</v>
      </c>
      <c r="F504" s="73" t="s">
        <v>1960</v>
      </c>
      <c r="G504" s="72" t="s">
        <v>400</v>
      </c>
      <c r="H504" s="73" t="str">
        <f>IF(Proc[[#This Row],[type]]="LFF (MDG-F)",MID(Proc[[#This Row],[Obj]],13,10),"")</f>
        <v/>
      </c>
      <c r="I504" s="72" t="s">
        <v>1964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69">
        <v>45701.611967592595</v>
      </c>
      <c r="N504" s="69">
        <v>45706</v>
      </c>
      <c r="O504" s="69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1963</v>
      </c>
      <c r="S504" s="73"/>
    </row>
    <row r="505" spans="1:19" hidden="1">
      <c r="A505" s="72" t="s">
        <v>1959</v>
      </c>
      <c r="B505" s="73" t="str">
        <f>IFERROR(VLOOKUP(Proc[[#This Row],[App]],Table2[],3,0),"open")</f>
        <v>ok</v>
      </c>
      <c r="C505" s="72" t="s">
        <v>369</v>
      </c>
      <c r="D505" t="s">
        <v>2148</v>
      </c>
      <c r="E505" s="72" t="s">
        <v>2154</v>
      </c>
      <c r="F505" s="73" t="s">
        <v>1962</v>
      </c>
      <c r="G505" s="72" t="s">
        <v>400</v>
      </c>
      <c r="H505" s="73" t="str">
        <f>IF(Proc[[#This Row],[type]]="LFF (MDG-F)",MID(Proc[[#This Row],[Obj]],13,10),"")</f>
        <v/>
      </c>
      <c r="I505" s="72" t="s">
        <v>1964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69">
        <v>45701.611967592595</v>
      </c>
      <c r="N505" s="69">
        <v>45706</v>
      </c>
      <c r="O505" s="69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1963</v>
      </c>
      <c r="S505" s="73"/>
    </row>
    <row r="506" spans="1:19" hidden="1">
      <c r="A506" s="72" t="s">
        <v>1959</v>
      </c>
      <c r="B506" s="73" t="str">
        <f>IFERROR(VLOOKUP(Proc[[#This Row],[App]],Table2[],3,0),"open")</f>
        <v>ok</v>
      </c>
      <c r="C506" s="72" t="s">
        <v>369</v>
      </c>
      <c r="D506" t="s">
        <v>2150</v>
      </c>
      <c r="E506" s="72" t="s">
        <v>2154</v>
      </c>
      <c r="F506" s="73" t="s">
        <v>1962</v>
      </c>
      <c r="G506" s="72" t="s">
        <v>400</v>
      </c>
      <c r="H506" s="73" t="str">
        <f>IF(Proc[[#This Row],[type]]="LFF (MDG-F)",MID(Proc[[#This Row],[Obj]],13,10),"")</f>
        <v/>
      </c>
      <c r="I506" s="72" t="s">
        <v>1964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69">
        <v>45701.611967592595</v>
      </c>
      <c r="N506" s="69">
        <v>45706</v>
      </c>
      <c r="O506" s="69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1963</v>
      </c>
      <c r="S506" s="73"/>
    </row>
    <row r="507" spans="1:19" hidden="1">
      <c r="A507" s="72" t="s">
        <v>1959</v>
      </c>
      <c r="B507" s="73" t="str">
        <f>IFERROR(VLOOKUP(Proc[[#This Row],[App]],Table2[],3,0),"open")</f>
        <v>ok</v>
      </c>
      <c r="C507" s="72" t="s">
        <v>369</v>
      </c>
      <c r="D507" t="s">
        <v>2151</v>
      </c>
      <c r="E507" s="72" t="s">
        <v>2154</v>
      </c>
      <c r="F507" s="73" t="s">
        <v>1962</v>
      </c>
      <c r="G507" s="72" t="s">
        <v>400</v>
      </c>
      <c r="H507" s="73" t="str">
        <f>IF(Proc[[#This Row],[type]]="LFF (MDG-F)",MID(Proc[[#This Row],[Obj]],13,10),"")</f>
        <v/>
      </c>
      <c r="I507" s="72" t="s">
        <v>1964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69">
        <v>45701.611967592595</v>
      </c>
      <c r="N507" s="69">
        <v>45706</v>
      </c>
      <c r="O507" s="69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1963</v>
      </c>
      <c r="S507" s="73"/>
    </row>
    <row r="508" spans="1:19" hidden="1">
      <c r="A508" s="72" t="s">
        <v>1959</v>
      </c>
      <c r="B508" s="73" t="str">
        <f>IFERROR(VLOOKUP(Proc[[#This Row],[App]],Table2[],3,0),"open")</f>
        <v>ok</v>
      </c>
      <c r="C508" s="72" t="s">
        <v>369</v>
      </c>
      <c r="D508" t="s">
        <v>2152</v>
      </c>
      <c r="E508" s="72" t="s">
        <v>2154</v>
      </c>
      <c r="F508" s="73" t="s">
        <v>1962</v>
      </c>
      <c r="G508" s="72" t="s">
        <v>400</v>
      </c>
      <c r="H508" s="73" t="str">
        <f>IF(Proc[[#This Row],[type]]="LFF (MDG-F)",MID(Proc[[#This Row],[Obj]],13,10),"")</f>
        <v/>
      </c>
      <c r="I508" s="72" t="s">
        <v>1964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69">
        <v>45701.611967592595</v>
      </c>
      <c r="N508" s="69">
        <v>45706</v>
      </c>
      <c r="O508" s="69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1963</v>
      </c>
      <c r="S508" s="73"/>
    </row>
    <row r="509" spans="1:19" hidden="1">
      <c r="A509" t="s">
        <v>1973</v>
      </c>
      <c r="B509" s="73" t="str">
        <f>IFERROR(VLOOKUP(Proc[[#This Row],[App]],Table2[],3,0),"open")</f>
        <v>ok</v>
      </c>
      <c r="C509" s="72" t="s">
        <v>369</v>
      </c>
      <c r="D509" t="s">
        <v>1965</v>
      </c>
      <c r="E509" t="s">
        <v>431</v>
      </c>
      <c r="F509" s="73" t="s">
        <v>1969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69">
        <v>45702.505925925929</v>
      </c>
      <c r="N509" s="69">
        <v>45705</v>
      </c>
      <c r="O509" s="69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1531</v>
      </c>
      <c r="S509" s="73"/>
    </row>
    <row r="510" spans="1:19" hidden="1">
      <c r="A510" s="72" t="s">
        <v>1973</v>
      </c>
      <c r="B510" s="73" t="str">
        <f>IFERROR(VLOOKUP(Proc[[#This Row],[App]],Table2[],3,0),"open")</f>
        <v>ok</v>
      </c>
      <c r="C510" s="72" t="s">
        <v>369</v>
      </c>
      <c r="D510" t="s">
        <v>1966</v>
      </c>
      <c r="E510" t="s">
        <v>1286</v>
      </c>
      <c r="F510" s="73" t="s">
        <v>1970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69">
        <v>45702.505925925929</v>
      </c>
      <c r="N510" s="69">
        <v>45705</v>
      </c>
      <c r="O510" s="69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1531</v>
      </c>
      <c r="S510" s="73"/>
    </row>
    <row r="511" spans="1:19" hidden="1">
      <c r="A511" s="72" t="s">
        <v>1973</v>
      </c>
      <c r="B511" s="73" t="str">
        <f>IFERROR(VLOOKUP(Proc[[#This Row],[App]],Table2[],3,0),"open")</f>
        <v>ok</v>
      </c>
      <c r="C511" s="72" t="s">
        <v>369</v>
      </c>
      <c r="D511" t="s">
        <v>1967</v>
      </c>
      <c r="E511" t="s">
        <v>1286</v>
      </c>
      <c r="F511" s="73" t="s">
        <v>1971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69">
        <v>45702.505925925929</v>
      </c>
      <c r="N511" s="69">
        <v>45705</v>
      </c>
      <c r="O511" s="69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1531</v>
      </c>
      <c r="S511" s="73"/>
    </row>
    <row r="512" spans="1:19" hidden="1">
      <c r="A512" s="72" t="s">
        <v>1973</v>
      </c>
      <c r="B512" s="73" t="str">
        <f>IFERROR(VLOOKUP(Proc[[#This Row],[App]],Table2[],3,0),"open")</f>
        <v>ok</v>
      </c>
      <c r="C512" s="72" t="s">
        <v>369</v>
      </c>
      <c r="D512" t="s">
        <v>1968</v>
      </c>
      <c r="E512" t="s">
        <v>1286</v>
      </c>
      <c r="F512" s="73" t="s">
        <v>1972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69">
        <v>45702.505925925929</v>
      </c>
      <c r="N512" s="69">
        <v>45705</v>
      </c>
      <c r="O512" s="69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1531</v>
      </c>
      <c r="S512" s="73"/>
    </row>
    <row r="513" spans="1:19" hidden="1">
      <c r="A513" t="s">
        <v>1975</v>
      </c>
      <c r="B513" s="73" t="str">
        <f>IFERROR(VLOOKUP(Proc[[#This Row],[App]],Table2[],3,0),"open")</f>
        <v>ok</v>
      </c>
      <c r="C513" s="72" t="s">
        <v>369</v>
      </c>
      <c r="D513" t="s">
        <v>1974</v>
      </c>
      <c r="E513" t="s">
        <v>1976</v>
      </c>
      <c r="F513" s="73" t="s">
        <v>1977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69">
        <v>45702.571388888886</v>
      </c>
      <c r="N513" s="69">
        <v>45705</v>
      </c>
      <c r="O513" s="69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1531</v>
      </c>
      <c r="S513" s="73"/>
    </row>
    <row r="514" spans="1:19" hidden="1">
      <c r="A514" t="s">
        <v>1978</v>
      </c>
      <c r="B514" s="73" t="str">
        <f>IFERROR(VLOOKUP(Proc[[#This Row],[App]],Table2[],3,0),"open")</f>
        <v>ok</v>
      </c>
      <c r="C514" t="s">
        <v>369</v>
      </c>
      <c r="D514" t="s">
        <v>1979</v>
      </c>
      <c r="E514" t="s">
        <v>2077</v>
      </c>
      <c r="F514" s="73" t="s">
        <v>2109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69">
        <v>45702.63349537037</v>
      </c>
      <c r="N514" s="69">
        <v>45712</v>
      </c>
      <c r="O514" s="69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1978</v>
      </c>
      <c r="B515" s="73" t="str">
        <f>IFERROR(VLOOKUP(Proc[[#This Row],[App]],Table2[],3,0),"open")</f>
        <v>ok</v>
      </c>
      <c r="C515" s="72" t="s">
        <v>369</v>
      </c>
      <c r="D515" t="s">
        <v>1980</v>
      </c>
      <c r="E515" t="s">
        <v>2078</v>
      </c>
      <c r="F515" s="73" t="s">
        <v>2110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69">
        <v>45702.63349537037</v>
      </c>
      <c r="N515" s="69">
        <v>45712</v>
      </c>
      <c r="O515" s="69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1978</v>
      </c>
      <c r="B516" s="73" t="str">
        <f>IFERROR(VLOOKUP(Proc[[#This Row],[App]],Table2[],3,0),"open")</f>
        <v>ok</v>
      </c>
      <c r="C516" s="72" t="s">
        <v>369</v>
      </c>
      <c r="D516" t="s">
        <v>1981</v>
      </c>
      <c r="E516" t="s">
        <v>2078</v>
      </c>
      <c r="F516" s="73" t="s">
        <v>2110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69">
        <v>45702.63349537037</v>
      </c>
      <c r="N516" s="69">
        <v>45712</v>
      </c>
      <c r="O516" s="69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1978</v>
      </c>
      <c r="B517" s="73" t="str">
        <f>IFERROR(VLOOKUP(Proc[[#This Row],[App]],Table2[],3,0),"open")</f>
        <v>ok</v>
      </c>
      <c r="C517" s="72" t="s">
        <v>369</v>
      </c>
      <c r="D517" t="s">
        <v>1982</v>
      </c>
      <c r="E517" t="s">
        <v>2079</v>
      </c>
      <c r="F517" s="73" t="s">
        <v>2111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69">
        <v>45702.63349537037</v>
      </c>
      <c r="N517" s="69">
        <v>45712</v>
      </c>
      <c r="O517" s="69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1978</v>
      </c>
      <c r="B518" s="73" t="str">
        <f>IFERROR(VLOOKUP(Proc[[#This Row],[App]],Table2[],3,0),"open")</f>
        <v>ok</v>
      </c>
      <c r="C518" s="72" t="s">
        <v>369</v>
      </c>
      <c r="D518" t="s">
        <v>1983</v>
      </c>
      <c r="E518" t="s">
        <v>2079</v>
      </c>
      <c r="F518" s="73" t="s">
        <v>2111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69">
        <v>45702.63349537037</v>
      </c>
      <c r="N518" s="69">
        <v>45712</v>
      </c>
      <c r="O518" s="69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1978</v>
      </c>
      <c r="B519" s="73" t="str">
        <f>IFERROR(VLOOKUP(Proc[[#This Row],[App]],Table2[],3,0),"open")</f>
        <v>ok</v>
      </c>
      <c r="C519" s="72" t="s">
        <v>369</v>
      </c>
      <c r="D519" t="s">
        <v>1984</v>
      </c>
      <c r="E519" t="s">
        <v>2080</v>
      </c>
      <c r="F519" s="73" t="s">
        <v>2112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69">
        <v>45702.63349537037</v>
      </c>
      <c r="N519" s="69">
        <v>45712</v>
      </c>
      <c r="O519" s="69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1978</v>
      </c>
      <c r="B520" s="73" t="str">
        <f>IFERROR(VLOOKUP(Proc[[#This Row],[App]],Table2[],3,0),"open")</f>
        <v>ok</v>
      </c>
      <c r="C520" s="72" t="s">
        <v>369</v>
      </c>
      <c r="D520" t="s">
        <v>1985</v>
      </c>
      <c r="E520" t="s">
        <v>2081</v>
      </c>
      <c r="F520" s="73" t="s">
        <v>2113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69">
        <v>45702.63349537037</v>
      </c>
      <c r="N520" s="69">
        <v>45712</v>
      </c>
      <c r="O520" s="69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1978</v>
      </c>
      <c r="B521" s="73" t="str">
        <f>IFERROR(VLOOKUP(Proc[[#This Row],[App]],Table2[],3,0),"open")</f>
        <v>ok</v>
      </c>
      <c r="C521" s="72" t="s">
        <v>369</v>
      </c>
      <c r="D521" t="s">
        <v>1986</v>
      </c>
      <c r="E521" t="s">
        <v>2081</v>
      </c>
      <c r="F521" s="73" t="s">
        <v>2113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69">
        <v>45702.63349537037</v>
      </c>
      <c r="N521" s="69">
        <v>45712</v>
      </c>
      <c r="O521" s="69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1978</v>
      </c>
      <c r="B522" s="73" t="str">
        <f>IFERROR(VLOOKUP(Proc[[#This Row],[App]],Table2[],3,0),"open")</f>
        <v>ok</v>
      </c>
      <c r="C522" s="72" t="s">
        <v>369</v>
      </c>
      <c r="D522" t="s">
        <v>1987</v>
      </c>
      <c r="E522" t="s">
        <v>2082</v>
      </c>
      <c r="F522" s="73" t="s">
        <v>2113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69">
        <v>45702.63349537037</v>
      </c>
      <c r="N522" s="69">
        <v>45712</v>
      </c>
      <c r="O522" s="69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1978</v>
      </c>
      <c r="B523" s="73" t="str">
        <f>IFERROR(VLOOKUP(Proc[[#This Row],[App]],Table2[],3,0),"open")</f>
        <v>ok</v>
      </c>
      <c r="C523" s="72" t="s">
        <v>369</v>
      </c>
      <c r="D523" t="s">
        <v>1988</v>
      </c>
      <c r="E523" t="s">
        <v>2081</v>
      </c>
      <c r="F523" s="73" t="s">
        <v>2113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69">
        <v>45702.63349537037</v>
      </c>
      <c r="N523" s="69">
        <v>45712</v>
      </c>
      <c r="O523" s="69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1978</v>
      </c>
      <c r="B524" s="73" t="str">
        <f>IFERROR(VLOOKUP(Proc[[#This Row],[App]],Table2[],3,0),"open")</f>
        <v>ok</v>
      </c>
      <c r="C524" s="72" t="s">
        <v>369</v>
      </c>
      <c r="D524" t="s">
        <v>1989</v>
      </c>
      <c r="E524" t="s">
        <v>2081</v>
      </c>
      <c r="F524" s="73" t="s">
        <v>2113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69">
        <v>45702.63349537037</v>
      </c>
      <c r="N524" s="69">
        <v>45712</v>
      </c>
      <c r="O524" s="69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1978</v>
      </c>
      <c r="B525" s="73" t="str">
        <f>IFERROR(VLOOKUP(Proc[[#This Row],[App]],Table2[],3,0),"open")</f>
        <v>ok</v>
      </c>
      <c r="C525" s="72" t="s">
        <v>369</v>
      </c>
      <c r="D525" t="s">
        <v>1990</v>
      </c>
      <c r="E525" t="s">
        <v>2081</v>
      </c>
      <c r="F525" s="73" t="s">
        <v>2113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69">
        <v>45702.63349537037</v>
      </c>
      <c r="N525" s="69">
        <v>45712</v>
      </c>
      <c r="O525" s="69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1978</v>
      </c>
      <c r="B526" s="73" t="str">
        <f>IFERROR(VLOOKUP(Proc[[#This Row],[App]],Table2[],3,0),"open")</f>
        <v>ok</v>
      </c>
      <c r="C526" s="72" t="s">
        <v>369</v>
      </c>
      <c r="D526" t="s">
        <v>1991</v>
      </c>
      <c r="E526" t="s">
        <v>2083</v>
      </c>
      <c r="F526" s="73" t="s">
        <v>2114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69">
        <v>45702.63349537037</v>
      </c>
      <c r="N526" s="69">
        <v>45712</v>
      </c>
      <c r="O526" s="69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1978</v>
      </c>
      <c r="B527" s="73" t="str">
        <f>IFERROR(VLOOKUP(Proc[[#This Row],[App]],Table2[],3,0),"open")</f>
        <v>ok</v>
      </c>
      <c r="C527" s="72" t="s">
        <v>369</v>
      </c>
      <c r="D527" t="s">
        <v>1992</v>
      </c>
      <c r="E527" t="s">
        <v>2083</v>
      </c>
      <c r="F527" s="73" t="s">
        <v>2114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69">
        <v>45702.63349537037</v>
      </c>
      <c r="N527" s="69">
        <v>45712</v>
      </c>
      <c r="O527" s="69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1978</v>
      </c>
      <c r="B528" s="73" t="str">
        <f>IFERROR(VLOOKUP(Proc[[#This Row],[App]],Table2[],3,0),"open")</f>
        <v>ok</v>
      </c>
      <c r="C528" s="72" t="s">
        <v>369</v>
      </c>
      <c r="D528" t="s">
        <v>1993</v>
      </c>
      <c r="E528" t="s">
        <v>2084</v>
      </c>
      <c r="F528" s="73" t="s">
        <v>2114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69">
        <v>45702.63349537037</v>
      </c>
      <c r="N528" s="69">
        <v>45712</v>
      </c>
      <c r="O528" s="69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1978</v>
      </c>
      <c r="B529" s="73" t="str">
        <f>IFERROR(VLOOKUP(Proc[[#This Row],[App]],Table2[],3,0),"open")</f>
        <v>ok</v>
      </c>
      <c r="C529" s="72" t="s">
        <v>369</v>
      </c>
      <c r="D529" t="s">
        <v>1994</v>
      </c>
      <c r="E529" t="s">
        <v>2083</v>
      </c>
      <c r="F529" s="73" t="s">
        <v>2114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69">
        <v>45702.63349537037</v>
      </c>
      <c r="N529" s="69">
        <v>45712</v>
      </c>
      <c r="O529" s="69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1978</v>
      </c>
      <c r="B530" s="73" t="str">
        <f>IFERROR(VLOOKUP(Proc[[#This Row],[App]],Table2[],3,0),"open")</f>
        <v>ok</v>
      </c>
      <c r="C530" s="72" t="s">
        <v>369</v>
      </c>
      <c r="D530" t="s">
        <v>1995</v>
      </c>
      <c r="E530" t="s">
        <v>2085</v>
      </c>
      <c r="F530" s="73" t="s">
        <v>2115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69">
        <v>45702.63349537037</v>
      </c>
      <c r="N530" s="69">
        <v>45712</v>
      </c>
      <c r="O530" s="69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1978</v>
      </c>
      <c r="B531" s="73" t="str">
        <f>IFERROR(VLOOKUP(Proc[[#This Row],[App]],Table2[],3,0),"open")</f>
        <v>ok</v>
      </c>
      <c r="C531" s="72" t="s">
        <v>369</v>
      </c>
      <c r="D531" t="s">
        <v>1996</v>
      </c>
      <c r="E531" t="s">
        <v>2086</v>
      </c>
      <c r="F531" s="73" t="s">
        <v>2116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69">
        <v>45702.63349537037</v>
      </c>
      <c r="N531" s="69">
        <v>45712</v>
      </c>
      <c r="O531" s="69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1978</v>
      </c>
      <c r="B532" s="73" t="str">
        <f>IFERROR(VLOOKUP(Proc[[#This Row],[App]],Table2[],3,0),"open")</f>
        <v>ok</v>
      </c>
      <c r="C532" s="72" t="s">
        <v>369</v>
      </c>
      <c r="D532" t="s">
        <v>1997</v>
      </c>
      <c r="E532" t="s">
        <v>2086</v>
      </c>
      <c r="F532" s="73" t="s">
        <v>2116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69">
        <v>45702.63349537037</v>
      </c>
      <c r="N532" s="69">
        <v>45712</v>
      </c>
      <c r="O532" s="69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1978</v>
      </c>
      <c r="B533" s="73" t="str">
        <f>IFERROR(VLOOKUP(Proc[[#This Row],[App]],Table2[],3,0),"open")</f>
        <v>ok</v>
      </c>
      <c r="C533" s="72" t="s">
        <v>369</v>
      </c>
      <c r="D533" t="s">
        <v>1998</v>
      </c>
      <c r="E533" t="s">
        <v>2086</v>
      </c>
      <c r="F533" s="73" t="s">
        <v>2116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69">
        <v>45702.63349537037</v>
      </c>
      <c r="N533" s="69">
        <v>45712</v>
      </c>
      <c r="O533" s="69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1978</v>
      </c>
      <c r="B534" s="73" t="str">
        <f>IFERROR(VLOOKUP(Proc[[#This Row],[App]],Table2[],3,0),"open")</f>
        <v>ok</v>
      </c>
      <c r="C534" s="72" t="s">
        <v>369</v>
      </c>
      <c r="D534" t="s">
        <v>1999</v>
      </c>
      <c r="E534" t="s">
        <v>2086</v>
      </c>
      <c r="F534" s="73" t="s">
        <v>2116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69">
        <v>45702.63349537037</v>
      </c>
      <c r="N534" s="69">
        <v>45712</v>
      </c>
      <c r="O534" s="69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1978</v>
      </c>
      <c r="B535" s="73" t="str">
        <f>IFERROR(VLOOKUP(Proc[[#This Row],[App]],Table2[],3,0),"open")</f>
        <v>ok</v>
      </c>
      <c r="C535" s="72" t="s">
        <v>369</v>
      </c>
      <c r="D535" t="s">
        <v>2000</v>
      </c>
      <c r="E535" t="s">
        <v>2086</v>
      </c>
      <c r="F535" s="73" t="s">
        <v>2116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69">
        <v>45702.63349537037</v>
      </c>
      <c r="N535" s="69">
        <v>45712</v>
      </c>
      <c r="O535" s="69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1978</v>
      </c>
      <c r="B536" s="73" t="str">
        <f>IFERROR(VLOOKUP(Proc[[#This Row],[App]],Table2[],3,0),"open")</f>
        <v>ok</v>
      </c>
      <c r="C536" s="72" t="s">
        <v>369</v>
      </c>
      <c r="D536" t="s">
        <v>2001</v>
      </c>
      <c r="E536" t="s">
        <v>2087</v>
      </c>
      <c r="F536" s="73" t="s">
        <v>2117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69">
        <v>45702.63349537037</v>
      </c>
      <c r="N536" s="69">
        <v>45712</v>
      </c>
      <c r="O536" s="69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1978</v>
      </c>
      <c r="B537" s="73" t="str">
        <f>IFERROR(VLOOKUP(Proc[[#This Row],[App]],Table2[],3,0),"open")</f>
        <v>ok</v>
      </c>
      <c r="C537" s="72" t="s">
        <v>369</v>
      </c>
      <c r="D537" t="s">
        <v>2002</v>
      </c>
      <c r="E537" t="s">
        <v>2087</v>
      </c>
      <c r="F537" s="73" t="s">
        <v>2117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69">
        <v>45702.63349537037</v>
      </c>
      <c r="N537" s="69">
        <v>45712</v>
      </c>
      <c r="O537" s="69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1978</v>
      </c>
      <c r="B538" s="73" t="str">
        <f>IFERROR(VLOOKUP(Proc[[#This Row],[App]],Table2[],3,0),"open")</f>
        <v>ok</v>
      </c>
      <c r="C538" s="72" t="s">
        <v>369</v>
      </c>
      <c r="D538" t="s">
        <v>2003</v>
      </c>
      <c r="E538" t="s">
        <v>2087</v>
      </c>
      <c r="F538" s="73" t="s">
        <v>2117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69">
        <v>45702.63349537037</v>
      </c>
      <c r="N538" s="69">
        <v>45712</v>
      </c>
      <c r="O538" s="69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1978</v>
      </c>
      <c r="B539" s="73" t="str">
        <f>IFERROR(VLOOKUP(Proc[[#This Row],[App]],Table2[],3,0),"open")</f>
        <v>ok</v>
      </c>
      <c r="C539" s="72" t="s">
        <v>369</v>
      </c>
      <c r="D539" t="s">
        <v>2004</v>
      </c>
      <c r="E539" t="s">
        <v>2087</v>
      </c>
      <c r="F539" s="73" t="s">
        <v>2117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69">
        <v>45702.63349537037</v>
      </c>
      <c r="N539" s="69">
        <v>45712</v>
      </c>
      <c r="O539" s="69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1978</v>
      </c>
      <c r="B540" s="73" t="str">
        <f>IFERROR(VLOOKUP(Proc[[#This Row],[App]],Table2[],3,0),"open")</f>
        <v>ok</v>
      </c>
      <c r="C540" s="72" t="s">
        <v>377</v>
      </c>
      <c r="D540" t="s">
        <v>2005</v>
      </c>
      <c r="E540" t="s">
        <v>2087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2143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69">
        <v>45702.63349537037</v>
      </c>
      <c r="N540" s="69">
        <v>45712</v>
      </c>
      <c r="O540" s="69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1978</v>
      </c>
      <c r="B541" s="73" t="str">
        <f>IFERROR(VLOOKUP(Proc[[#This Row],[App]],Table2[],3,0),"open")</f>
        <v>ok</v>
      </c>
      <c r="C541" s="72" t="s">
        <v>369</v>
      </c>
      <c r="D541" t="s">
        <v>2006</v>
      </c>
      <c r="E541" t="s">
        <v>2087</v>
      </c>
      <c r="F541" s="73" t="s">
        <v>2117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69">
        <v>45702.63349537037</v>
      </c>
      <c r="N541" s="69">
        <v>45712</v>
      </c>
      <c r="O541" s="69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1978</v>
      </c>
      <c r="B542" s="73" t="str">
        <f>IFERROR(VLOOKUP(Proc[[#This Row],[App]],Table2[],3,0),"open")</f>
        <v>ok</v>
      </c>
      <c r="C542" s="72" t="s">
        <v>369</v>
      </c>
      <c r="D542" t="s">
        <v>2007</v>
      </c>
      <c r="E542" t="s">
        <v>2088</v>
      </c>
      <c r="F542" s="73" t="s">
        <v>2118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69">
        <v>45702.63349537037</v>
      </c>
      <c r="N542" s="69">
        <v>45712</v>
      </c>
      <c r="O542" s="69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1978</v>
      </c>
      <c r="B543" s="73" t="str">
        <f>IFERROR(VLOOKUP(Proc[[#This Row],[App]],Table2[],3,0),"open")</f>
        <v>ok</v>
      </c>
      <c r="C543" s="72" t="s">
        <v>369</v>
      </c>
      <c r="D543" t="s">
        <v>2008</v>
      </c>
      <c r="E543" t="s">
        <v>2088</v>
      </c>
      <c r="F543" s="73" t="s">
        <v>2118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69">
        <v>45702.63349537037</v>
      </c>
      <c r="N543" s="69">
        <v>45712</v>
      </c>
      <c r="O543" s="69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1978</v>
      </c>
      <c r="B544" s="73" t="str">
        <f>IFERROR(VLOOKUP(Proc[[#This Row],[App]],Table2[],3,0),"open")</f>
        <v>ok</v>
      </c>
      <c r="C544" s="72" t="s">
        <v>369</v>
      </c>
      <c r="D544" t="s">
        <v>2009</v>
      </c>
      <c r="E544" t="s">
        <v>2088</v>
      </c>
      <c r="F544" s="73" t="s">
        <v>2118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69">
        <v>45702.63349537037</v>
      </c>
      <c r="N544" s="69">
        <v>45712</v>
      </c>
      <c r="O544" s="69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1978</v>
      </c>
      <c r="B545" s="73" t="str">
        <f>IFERROR(VLOOKUP(Proc[[#This Row],[App]],Table2[],3,0),"open")</f>
        <v>ok</v>
      </c>
      <c r="C545" s="72" t="s">
        <v>369</v>
      </c>
      <c r="D545" t="s">
        <v>2010</v>
      </c>
      <c r="E545" t="s">
        <v>2088</v>
      </c>
      <c r="F545" s="73" t="s">
        <v>2118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69">
        <v>45702.63349537037</v>
      </c>
      <c r="N545" s="69">
        <v>45712</v>
      </c>
      <c r="O545" s="69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1978</v>
      </c>
      <c r="B546" s="73" t="str">
        <f>IFERROR(VLOOKUP(Proc[[#This Row],[App]],Table2[],3,0),"open")</f>
        <v>ok</v>
      </c>
      <c r="C546" s="72" t="s">
        <v>369</v>
      </c>
      <c r="D546" t="s">
        <v>2011</v>
      </c>
      <c r="E546" t="s">
        <v>2088</v>
      </c>
      <c r="F546" s="73" t="s">
        <v>2118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69">
        <v>45702.63349537037</v>
      </c>
      <c r="N546" s="69">
        <v>45712</v>
      </c>
      <c r="O546" s="69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1978</v>
      </c>
      <c r="B547" s="73" t="str">
        <f>IFERROR(VLOOKUP(Proc[[#This Row],[App]],Table2[],3,0),"open")</f>
        <v>ok</v>
      </c>
      <c r="C547" s="72" t="s">
        <v>369</v>
      </c>
      <c r="D547" t="s">
        <v>2012</v>
      </c>
      <c r="E547" t="s">
        <v>2088</v>
      </c>
      <c r="F547" s="73" t="s">
        <v>2118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69">
        <v>45702.63349537037</v>
      </c>
      <c r="N547" s="69">
        <v>45712</v>
      </c>
      <c r="O547" s="69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1978</v>
      </c>
      <c r="B548" s="73" t="str">
        <f>IFERROR(VLOOKUP(Proc[[#This Row],[App]],Table2[],3,0),"open")</f>
        <v>ok</v>
      </c>
      <c r="C548" s="72" t="s">
        <v>369</v>
      </c>
      <c r="D548" t="s">
        <v>2013</v>
      </c>
      <c r="E548" t="s">
        <v>2088</v>
      </c>
      <c r="F548" s="73" t="s">
        <v>2118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69">
        <v>45702.63349537037</v>
      </c>
      <c r="N548" s="69">
        <v>45712</v>
      </c>
      <c r="O548" s="69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1978</v>
      </c>
      <c r="B549" s="73" t="str">
        <f>IFERROR(VLOOKUP(Proc[[#This Row],[App]],Table2[],3,0),"open")</f>
        <v>ok</v>
      </c>
      <c r="C549" s="72" t="s">
        <v>369</v>
      </c>
      <c r="D549" t="s">
        <v>2014</v>
      </c>
      <c r="E549" t="s">
        <v>2089</v>
      </c>
      <c r="F549" s="73" t="s">
        <v>2119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69">
        <v>45702.63349537037</v>
      </c>
      <c r="N549" s="69">
        <v>45712</v>
      </c>
      <c r="O549" s="69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1978</v>
      </c>
      <c r="B550" s="73" t="str">
        <f>IFERROR(VLOOKUP(Proc[[#This Row],[App]],Table2[],3,0),"open")</f>
        <v>ok</v>
      </c>
      <c r="C550" s="72" t="s">
        <v>369</v>
      </c>
      <c r="D550" t="s">
        <v>2015</v>
      </c>
      <c r="E550" t="s">
        <v>2089</v>
      </c>
      <c r="F550" s="73" t="s">
        <v>2119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69">
        <v>45702.63349537037</v>
      </c>
      <c r="N550" s="69">
        <v>45712</v>
      </c>
      <c r="O550" s="69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1978</v>
      </c>
      <c r="B551" s="73" t="str">
        <f>IFERROR(VLOOKUP(Proc[[#This Row],[App]],Table2[],3,0),"open")</f>
        <v>ok</v>
      </c>
      <c r="C551" s="72" t="s">
        <v>369</v>
      </c>
      <c r="D551" t="s">
        <v>2016</v>
      </c>
      <c r="E551" t="s">
        <v>2089</v>
      </c>
      <c r="F551" s="73" t="s">
        <v>2119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69">
        <v>45702.63349537037</v>
      </c>
      <c r="N551" s="69">
        <v>45712</v>
      </c>
      <c r="O551" s="69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1978</v>
      </c>
      <c r="B552" s="73" t="str">
        <f>IFERROR(VLOOKUP(Proc[[#This Row],[App]],Table2[],3,0),"open")</f>
        <v>ok</v>
      </c>
      <c r="C552" s="72" t="s">
        <v>369</v>
      </c>
      <c r="D552" t="s">
        <v>2017</v>
      </c>
      <c r="E552" t="s">
        <v>2089</v>
      </c>
      <c r="F552" s="73" t="s">
        <v>2119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69">
        <v>45702.63349537037</v>
      </c>
      <c r="N552" s="69">
        <v>45712</v>
      </c>
      <c r="O552" s="69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1978</v>
      </c>
      <c r="B553" s="73" t="str">
        <f>IFERROR(VLOOKUP(Proc[[#This Row],[App]],Table2[],3,0),"open")</f>
        <v>ok</v>
      </c>
      <c r="C553" s="72" t="s">
        <v>369</v>
      </c>
      <c r="D553" t="s">
        <v>2018</v>
      </c>
      <c r="E553" t="s">
        <v>2089</v>
      </c>
      <c r="F553" s="73" t="s">
        <v>2119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69">
        <v>45702.63349537037</v>
      </c>
      <c r="N553" s="69">
        <v>45712</v>
      </c>
      <c r="O553" s="69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1978</v>
      </c>
      <c r="B554" s="73" t="str">
        <f>IFERROR(VLOOKUP(Proc[[#This Row],[App]],Table2[],3,0),"open")</f>
        <v>ok</v>
      </c>
      <c r="C554" s="72" t="s">
        <v>369</v>
      </c>
      <c r="D554" t="s">
        <v>2019</v>
      </c>
      <c r="E554" t="s">
        <v>2089</v>
      </c>
      <c r="F554" s="73" t="s">
        <v>2119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69">
        <v>45702.63349537037</v>
      </c>
      <c r="N554" s="69">
        <v>45712</v>
      </c>
      <c r="O554" s="69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1978</v>
      </c>
      <c r="B555" s="73" t="str">
        <f>IFERROR(VLOOKUP(Proc[[#This Row],[App]],Table2[],3,0),"open")</f>
        <v>ok</v>
      </c>
      <c r="C555" s="72" t="s">
        <v>369</v>
      </c>
      <c r="D555" t="s">
        <v>2020</v>
      </c>
      <c r="E555" t="s">
        <v>2089</v>
      </c>
      <c r="F555" s="73" t="s">
        <v>2119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69">
        <v>45702.63349537037</v>
      </c>
      <c r="N555" s="69">
        <v>45712</v>
      </c>
      <c r="O555" s="69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1978</v>
      </c>
      <c r="B556" s="73" t="str">
        <f>IFERROR(VLOOKUP(Proc[[#This Row],[App]],Table2[],3,0),"open")</f>
        <v>ok</v>
      </c>
      <c r="C556" s="72" t="s">
        <v>369</v>
      </c>
      <c r="D556" t="s">
        <v>2021</v>
      </c>
      <c r="E556" t="s">
        <v>2089</v>
      </c>
      <c r="F556" s="73" t="s">
        <v>2119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69">
        <v>45702.63349537037</v>
      </c>
      <c r="N556" s="69">
        <v>45712</v>
      </c>
      <c r="O556" s="69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1978</v>
      </c>
      <c r="B557" s="73" t="str">
        <f>IFERROR(VLOOKUP(Proc[[#This Row],[App]],Table2[],3,0),"open")</f>
        <v>ok</v>
      </c>
      <c r="C557" s="72" t="s">
        <v>369</v>
      </c>
      <c r="D557" t="s">
        <v>2022</v>
      </c>
      <c r="E557" t="s">
        <v>2089</v>
      </c>
      <c r="F557" s="73" t="s">
        <v>2119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69">
        <v>45702.63349537037</v>
      </c>
      <c r="N557" s="69">
        <v>45712</v>
      </c>
      <c r="O557" s="69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1978</v>
      </c>
      <c r="B558" s="73" t="str">
        <f>IFERROR(VLOOKUP(Proc[[#This Row],[App]],Table2[],3,0),"open")</f>
        <v>ok</v>
      </c>
      <c r="C558" s="72" t="s">
        <v>369</v>
      </c>
      <c r="D558" t="s">
        <v>2023</v>
      </c>
      <c r="E558" t="s">
        <v>2089</v>
      </c>
      <c r="F558" s="73" t="s">
        <v>2119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69">
        <v>45702.63349537037</v>
      </c>
      <c r="N558" s="69">
        <v>45712</v>
      </c>
      <c r="O558" s="69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1978</v>
      </c>
      <c r="B559" s="73" t="str">
        <f>IFERROR(VLOOKUP(Proc[[#This Row],[App]],Table2[],3,0),"open")</f>
        <v>ok</v>
      </c>
      <c r="C559" s="72" t="s">
        <v>369</v>
      </c>
      <c r="D559" t="s">
        <v>2024</v>
      </c>
      <c r="E559" t="s">
        <v>2089</v>
      </c>
      <c r="F559" s="73" t="s">
        <v>2119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69">
        <v>45702.63349537037</v>
      </c>
      <c r="N559" s="69">
        <v>45712</v>
      </c>
      <c r="O559" s="69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1978</v>
      </c>
      <c r="B560" s="73" t="str">
        <f>IFERROR(VLOOKUP(Proc[[#This Row],[App]],Table2[],3,0),"open")</f>
        <v>ok</v>
      </c>
      <c r="C560" s="72" t="s">
        <v>369</v>
      </c>
      <c r="D560" t="s">
        <v>2025</v>
      </c>
      <c r="E560" t="s">
        <v>2090</v>
      </c>
      <c r="F560" s="73" t="s">
        <v>2120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69">
        <v>45702.63349537037</v>
      </c>
      <c r="N560" s="69">
        <v>45712</v>
      </c>
      <c r="O560" s="69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1978</v>
      </c>
      <c r="B561" s="73" t="str">
        <f>IFERROR(VLOOKUP(Proc[[#This Row],[App]],Table2[],3,0),"open")</f>
        <v>ok</v>
      </c>
      <c r="C561" s="72" t="s">
        <v>369</v>
      </c>
      <c r="D561" t="s">
        <v>2026</v>
      </c>
      <c r="E561" t="s">
        <v>2090</v>
      </c>
      <c r="F561" s="73" t="s">
        <v>2120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69">
        <v>45702.63349537037</v>
      </c>
      <c r="N561" s="69">
        <v>45712</v>
      </c>
      <c r="O561" s="69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1978</v>
      </c>
      <c r="B562" s="73" t="str">
        <f>IFERROR(VLOOKUP(Proc[[#This Row],[App]],Table2[],3,0),"open")</f>
        <v>ok</v>
      </c>
      <c r="C562" s="72" t="s">
        <v>369</v>
      </c>
      <c r="D562" t="s">
        <v>2027</v>
      </c>
      <c r="E562" t="s">
        <v>2090</v>
      </c>
      <c r="F562" s="73" t="s">
        <v>2120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69">
        <v>45702.63349537037</v>
      </c>
      <c r="N562" s="69">
        <v>45712</v>
      </c>
      <c r="O562" s="69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1978</v>
      </c>
      <c r="B563" s="73" t="str">
        <f>IFERROR(VLOOKUP(Proc[[#This Row],[App]],Table2[],3,0),"open")</f>
        <v>ok</v>
      </c>
      <c r="C563" s="72" t="s">
        <v>369</v>
      </c>
      <c r="D563" t="s">
        <v>2028</v>
      </c>
      <c r="E563" t="s">
        <v>2090</v>
      </c>
      <c r="F563" s="73" t="s">
        <v>2120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69">
        <v>45702.63349537037</v>
      </c>
      <c r="N563" s="69">
        <v>45712</v>
      </c>
      <c r="O563" s="69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1978</v>
      </c>
      <c r="B564" s="73" t="str">
        <f>IFERROR(VLOOKUP(Proc[[#This Row],[App]],Table2[],3,0),"open")</f>
        <v>ok</v>
      </c>
      <c r="C564" s="72" t="s">
        <v>369</v>
      </c>
      <c r="D564" t="s">
        <v>2029</v>
      </c>
      <c r="E564" t="s">
        <v>2090</v>
      </c>
      <c r="F564" s="73" t="s">
        <v>2120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69">
        <v>45702.63349537037</v>
      </c>
      <c r="N564" s="69">
        <v>45712</v>
      </c>
      <c r="O564" s="69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1978</v>
      </c>
      <c r="B565" s="73" t="str">
        <f>IFERROR(VLOOKUP(Proc[[#This Row],[App]],Table2[],3,0),"open")</f>
        <v>ok</v>
      </c>
      <c r="C565" s="72" t="s">
        <v>369</v>
      </c>
      <c r="D565" t="s">
        <v>2030</v>
      </c>
      <c r="E565" t="s">
        <v>2091</v>
      </c>
      <c r="F565" s="73" t="s">
        <v>2121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69">
        <v>45702.63349537037</v>
      </c>
      <c r="N565" s="69">
        <v>45712</v>
      </c>
      <c r="O565" s="69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1978</v>
      </c>
      <c r="B566" s="73" t="str">
        <f>IFERROR(VLOOKUP(Proc[[#This Row],[App]],Table2[],3,0),"open")</f>
        <v>ok</v>
      </c>
      <c r="C566" s="72" t="s">
        <v>369</v>
      </c>
      <c r="D566" t="s">
        <v>2031</v>
      </c>
      <c r="E566" t="s">
        <v>2091</v>
      </c>
      <c r="F566" s="73" t="s">
        <v>2121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69">
        <v>45702.63349537037</v>
      </c>
      <c r="N566" s="69">
        <v>45712</v>
      </c>
      <c r="O566" s="69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1978</v>
      </c>
      <c r="B567" s="73" t="str">
        <f>IFERROR(VLOOKUP(Proc[[#This Row],[App]],Table2[],3,0),"open")</f>
        <v>ok</v>
      </c>
      <c r="C567" s="72" t="s">
        <v>369</v>
      </c>
      <c r="D567" t="s">
        <v>2032</v>
      </c>
      <c r="E567" t="s">
        <v>2091</v>
      </c>
      <c r="F567" s="73" t="s">
        <v>2121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69">
        <v>45702.63349537037</v>
      </c>
      <c r="N567" s="69">
        <v>45712</v>
      </c>
      <c r="O567" s="69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1978</v>
      </c>
      <c r="B568" s="73" t="str">
        <f>IFERROR(VLOOKUP(Proc[[#This Row],[App]],Table2[],3,0),"open")</f>
        <v>ok</v>
      </c>
      <c r="C568" s="72" t="s">
        <v>369</v>
      </c>
      <c r="D568" t="s">
        <v>2033</v>
      </c>
      <c r="E568" t="s">
        <v>2091</v>
      </c>
      <c r="F568" s="73" t="s">
        <v>2121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69">
        <v>45702.63349537037</v>
      </c>
      <c r="N568" s="69">
        <v>45712</v>
      </c>
      <c r="O568" s="69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1978</v>
      </c>
      <c r="B569" s="73" t="str">
        <f>IFERROR(VLOOKUP(Proc[[#This Row],[App]],Table2[],3,0),"open")</f>
        <v>ok</v>
      </c>
      <c r="C569" s="72" t="s">
        <v>369</v>
      </c>
      <c r="D569" t="s">
        <v>2034</v>
      </c>
      <c r="E569" t="s">
        <v>2091</v>
      </c>
      <c r="F569" s="73" t="s">
        <v>2121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69">
        <v>45702.63349537037</v>
      </c>
      <c r="N569" s="69">
        <v>45712</v>
      </c>
      <c r="O569" s="69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1978</v>
      </c>
      <c r="B570" s="73" t="str">
        <f>IFERROR(VLOOKUP(Proc[[#This Row],[App]],Table2[],3,0),"open")</f>
        <v>ok</v>
      </c>
      <c r="C570" s="72" t="s">
        <v>369</v>
      </c>
      <c r="D570" t="s">
        <v>2035</v>
      </c>
      <c r="E570" t="s">
        <v>2091</v>
      </c>
      <c r="F570" s="73" t="s">
        <v>2121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69">
        <v>45702.63349537037</v>
      </c>
      <c r="N570" s="69">
        <v>45712</v>
      </c>
      <c r="O570" s="69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1978</v>
      </c>
      <c r="B571" s="73" t="str">
        <f>IFERROR(VLOOKUP(Proc[[#This Row],[App]],Table2[],3,0),"open")</f>
        <v>ok</v>
      </c>
      <c r="C571" s="72" t="s">
        <v>369</v>
      </c>
      <c r="D571" t="s">
        <v>2036</v>
      </c>
      <c r="E571" t="s">
        <v>2091</v>
      </c>
      <c r="F571" s="73" t="s">
        <v>2121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69">
        <v>45702.63349537037</v>
      </c>
      <c r="N571" s="69">
        <v>45712</v>
      </c>
      <c r="O571" s="69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1978</v>
      </c>
      <c r="B572" s="73" t="str">
        <f>IFERROR(VLOOKUP(Proc[[#This Row],[App]],Table2[],3,0),"open")</f>
        <v>ok</v>
      </c>
      <c r="C572" s="72" t="s">
        <v>369</v>
      </c>
      <c r="D572" t="s">
        <v>2037</v>
      </c>
      <c r="E572" t="s">
        <v>2091</v>
      </c>
      <c r="F572" s="73" t="s">
        <v>2121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69">
        <v>45702.63349537037</v>
      </c>
      <c r="N572" s="69">
        <v>45712</v>
      </c>
      <c r="O572" s="69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1978</v>
      </c>
      <c r="B573" s="73" t="str">
        <f>IFERROR(VLOOKUP(Proc[[#This Row],[App]],Table2[],3,0),"open")</f>
        <v>ok</v>
      </c>
      <c r="C573" s="72" t="s">
        <v>369</v>
      </c>
      <c r="D573" t="s">
        <v>2038</v>
      </c>
      <c r="E573" t="s">
        <v>2091</v>
      </c>
      <c r="F573" s="73" t="s">
        <v>2121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69">
        <v>45702.63349537037</v>
      </c>
      <c r="N573" s="69">
        <v>45712</v>
      </c>
      <c r="O573" s="69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1978</v>
      </c>
      <c r="B574" s="73" t="str">
        <f>IFERROR(VLOOKUP(Proc[[#This Row],[App]],Table2[],3,0),"open")</f>
        <v>ok</v>
      </c>
      <c r="C574" s="72" t="s">
        <v>369</v>
      </c>
      <c r="D574" t="s">
        <v>2039</v>
      </c>
      <c r="E574" t="s">
        <v>2091</v>
      </c>
      <c r="F574" s="73" t="s">
        <v>2121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69">
        <v>45702.63349537037</v>
      </c>
      <c r="N574" s="69">
        <v>45712</v>
      </c>
      <c r="O574" s="69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1978</v>
      </c>
      <c r="B575" s="73" t="str">
        <f>IFERROR(VLOOKUP(Proc[[#This Row],[App]],Table2[],3,0),"open")</f>
        <v>ok</v>
      </c>
      <c r="C575" s="72" t="s">
        <v>369</v>
      </c>
      <c r="D575" t="s">
        <v>2040</v>
      </c>
      <c r="E575" t="s">
        <v>2091</v>
      </c>
      <c r="F575" s="73" t="s">
        <v>2121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69">
        <v>45702.63349537037</v>
      </c>
      <c r="N575" s="69">
        <v>45712</v>
      </c>
      <c r="O575" s="69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1978</v>
      </c>
      <c r="B576" s="73" t="str">
        <f>IFERROR(VLOOKUP(Proc[[#This Row],[App]],Table2[],3,0),"open")</f>
        <v>ok</v>
      </c>
      <c r="C576" s="72" t="s">
        <v>369</v>
      </c>
      <c r="D576" t="s">
        <v>2041</v>
      </c>
      <c r="E576" t="s">
        <v>2091</v>
      </c>
      <c r="F576" s="73" t="s">
        <v>2121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69">
        <v>45702.63349537037</v>
      </c>
      <c r="N576" s="69">
        <v>45712</v>
      </c>
      <c r="O576" s="69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1978</v>
      </c>
      <c r="B577" s="73" t="str">
        <f>IFERROR(VLOOKUP(Proc[[#This Row],[App]],Table2[],3,0),"open")</f>
        <v>ok</v>
      </c>
      <c r="C577" s="72" t="s">
        <v>369</v>
      </c>
      <c r="D577" t="s">
        <v>2042</v>
      </c>
      <c r="E577" t="s">
        <v>2091</v>
      </c>
      <c r="F577" s="73" t="s">
        <v>2121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69">
        <v>45702.63349537037</v>
      </c>
      <c r="N577" s="69">
        <v>45712</v>
      </c>
      <c r="O577" s="69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1978</v>
      </c>
      <c r="B578" s="73" t="str">
        <f>IFERROR(VLOOKUP(Proc[[#This Row],[App]],Table2[],3,0),"open")</f>
        <v>ok</v>
      </c>
      <c r="C578" s="72" t="s">
        <v>377</v>
      </c>
      <c r="D578" t="s">
        <v>2043</v>
      </c>
      <c r="E578" t="s">
        <v>2091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2143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69">
        <v>45702.63349537037</v>
      </c>
      <c r="N578" s="69">
        <v>45712</v>
      </c>
      <c r="O578" s="69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1978</v>
      </c>
      <c r="B579" s="73" t="str">
        <f>IFERROR(VLOOKUP(Proc[[#This Row],[App]],Table2[],3,0),"open")</f>
        <v>ok</v>
      </c>
      <c r="C579" s="72" t="s">
        <v>369</v>
      </c>
      <c r="D579" t="s">
        <v>2044</v>
      </c>
      <c r="E579" t="s">
        <v>2091</v>
      </c>
      <c r="F579" s="73" t="s">
        <v>2121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69">
        <v>45702.63349537037</v>
      </c>
      <c r="N579" s="69">
        <v>45712</v>
      </c>
      <c r="O579" s="69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1978</v>
      </c>
      <c r="B580" s="73" t="str">
        <f>IFERROR(VLOOKUP(Proc[[#This Row],[App]],Table2[],3,0),"open")</f>
        <v>ok</v>
      </c>
      <c r="C580" s="72" t="s">
        <v>369</v>
      </c>
      <c r="D580" t="s">
        <v>2045</v>
      </c>
      <c r="E580" t="s">
        <v>2092</v>
      </c>
      <c r="F580" s="73" t="s">
        <v>2122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69">
        <v>45702.63349537037</v>
      </c>
      <c r="N580" s="69">
        <v>45712</v>
      </c>
      <c r="O580" s="69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1978</v>
      </c>
      <c r="B581" s="73" t="str">
        <f>IFERROR(VLOOKUP(Proc[[#This Row],[App]],Table2[],3,0),"open")</f>
        <v>ok</v>
      </c>
      <c r="C581" s="72" t="s">
        <v>369</v>
      </c>
      <c r="D581" t="s">
        <v>2046</v>
      </c>
      <c r="E581" t="s">
        <v>2092</v>
      </c>
      <c r="F581" s="73" t="s">
        <v>2122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69">
        <v>45702.63349537037</v>
      </c>
      <c r="N581" s="69">
        <v>45712</v>
      </c>
      <c r="O581" s="69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1978</v>
      </c>
      <c r="B582" s="73" t="str">
        <f>IFERROR(VLOOKUP(Proc[[#This Row],[App]],Table2[],3,0),"open")</f>
        <v>ok</v>
      </c>
      <c r="C582" s="72" t="s">
        <v>369</v>
      </c>
      <c r="D582" t="s">
        <v>2047</v>
      </c>
      <c r="E582" t="s">
        <v>2092</v>
      </c>
      <c r="F582" s="73" t="s">
        <v>2122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69">
        <v>45702.63349537037</v>
      </c>
      <c r="N582" s="69">
        <v>45712</v>
      </c>
      <c r="O582" s="69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1978</v>
      </c>
      <c r="B583" s="73" t="str">
        <f>IFERROR(VLOOKUP(Proc[[#This Row],[App]],Table2[],3,0),"open")</f>
        <v>ok</v>
      </c>
      <c r="C583" s="72" t="s">
        <v>369</v>
      </c>
      <c r="D583" t="s">
        <v>2048</v>
      </c>
      <c r="E583" t="s">
        <v>2093</v>
      </c>
      <c r="F583" s="73" t="s">
        <v>2123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69">
        <v>45702.63349537037</v>
      </c>
      <c r="N583" s="69">
        <v>45712</v>
      </c>
      <c r="O583" s="69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1978</v>
      </c>
      <c r="B584" s="73" t="str">
        <f>IFERROR(VLOOKUP(Proc[[#This Row],[App]],Table2[],3,0),"open")</f>
        <v>ok</v>
      </c>
      <c r="C584" s="72" t="s">
        <v>369</v>
      </c>
      <c r="D584" t="s">
        <v>2049</v>
      </c>
      <c r="E584" t="s">
        <v>2094</v>
      </c>
      <c r="F584" s="73" t="s">
        <v>2123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69">
        <v>45702.63349537037</v>
      </c>
      <c r="N584" s="69">
        <v>45712</v>
      </c>
      <c r="O584" s="69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1978</v>
      </c>
      <c r="B585" s="73" t="str">
        <f>IFERROR(VLOOKUP(Proc[[#This Row],[App]],Table2[],3,0),"open")</f>
        <v>ok</v>
      </c>
      <c r="C585" s="72" t="s">
        <v>369</v>
      </c>
      <c r="D585" t="s">
        <v>2050</v>
      </c>
      <c r="E585" t="s">
        <v>2095</v>
      </c>
      <c r="F585" s="73" t="s">
        <v>2124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69">
        <v>45702.63349537037</v>
      </c>
      <c r="N585" s="69">
        <v>45712</v>
      </c>
      <c r="O585" s="69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1978</v>
      </c>
      <c r="B586" s="73" t="str">
        <f>IFERROR(VLOOKUP(Proc[[#This Row],[App]],Table2[],3,0),"open")</f>
        <v>ok</v>
      </c>
      <c r="C586" s="72" t="s">
        <v>369</v>
      </c>
      <c r="D586" t="s">
        <v>2051</v>
      </c>
      <c r="E586" t="s">
        <v>2096</v>
      </c>
      <c r="F586" s="73" t="s">
        <v>2124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69">
        <v>45702.63349537037</v>
      </c>
      <c r="N586" s="69">
        <v>45712</v>
      </c>
      <c r="O586" s="69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1978</v>
      </c>
      <c r="B587" s="73" t="str">
        <f>IFERROR(VLOOKUP(Proc[[#This Row],[App]],Table2[],3,0),"open")</f>
        <v>ok</v>
      </c>
      <c r="C587" s="72" t="s">
        <v>369</v>
      </c>
      <c r="D587" t="s">
        <v>2052</v>
      </c>
      <c r="E587" t="s">
        <v>2096</v>
      </c>
      <c r="F587" s="73" t="s">
        <v>2124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69">
        <v>45702.63349537037</v>
      </c>
      <c r="N587" s="69">
        <v>45712</v>
      </c>
      <c r="O587" s="69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1978</v>
      </c>
      <c r="B588" s="73" t="str">
        <f>IFERROR(VLOOKUP(Proc[[#This Row],[App]],Table2[],3,0),"open")</f>
        <v>ok</v>
      </c>
      <c r="C588" s="72" t="s">
        <v>369</v>
      </c>
      <c r="D588" t="s">
        <v>2053</v>
      </c>
      <c r="E588" t="s">
        <v>2095</v>
      </c>
      <c r="F588" s="73" t="s">
        <v>2124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69">
        <v>45702.63349537037</v>
      </c>
      <c r="N588" s="69">
        <v>45712</v>
      </c>
      <c r="O588" s="69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1978</v>
      </c>
      <c r="B589" s="73" t="str">
        <f>IFERROR(VLOOKUP(Proc[[#This Row],[App]],Table2[],3,0),"open")</f>
        <v>ok</v>
      </c>
      <c r="C589" s="72" t="s">
        <v>369</v>
      </c>
      <c r="D589" t="s">
        <v>2054</v>
      </c>
      <c r="E589" t="s">
        <v>2080</v>
      </c>
      <c r="F589" s="73" t="s">
        <v>2125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69">
        <v>45702.63349537037</v>
      </c>
      <c r="N589" s="69">
        <v>45712</v>
      </c>
      <c r="O589" s="69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1978</v>
      </c>
      <c r="B590" s="73" t="str">
        <f>IFERROR(VLOOKUP(Proc[[#This Row],[App]],Table2[],3,0),"open")</f>
        <v>ok</v>
      </c>
      <c r="C590" s="72" t="s">
        <v>369</v>
      </c>
      <c r="D590" t="s">
        <v>2055</v>
      </c>
      <c r="E590" t="s">
        <v>2080</v>
      </c>
      <c r="F590" s="73" t="s">
        <v>2125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69">
        <v>45702.63349537037</v>
      </c>
      <c r="N590" s="69">
        <v>45712</v>
      </c>
      <c r="O590" s="69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1978</v>
      </c>
      <c r="B591" s="73" t="str">
        <f>IFERROR(VLOOKUP(Proc[[#This Row],[App]],Table2[],3,0),"open")</f>
        <v>ok</v>
      </c>
      <c r="C591" s="72" t="s">
        <v>369</v>
      </c>
      <c r="D591" t="s">
        <v>2056</v>
      </c>
      <c r="E591" t="s">
        <v>2097</v>
      </c>
      <c r="F591" s="73" t="s">
        <v>2126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69">
        <v>45702.63349537037</v>
      </c>
      <c r="N591" s="69">
        <v>45712</v>
      </c>
      <c r="O591" s="69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1978</v>
      </c>
      <c r="B592" s="73" t="str">
        <f>IFERROR(VLOOKUP(Proc[[#This Row],[App]],Table2[],3,0),"open")</f>
        <v>ok</v>
      </c>
      <c r="C592" s="72" t="s">
        <v>369</v>
      </c>
      <c r="D592" t="s">
        <v>2057</v>
      </c>
      <c r="E592" t="s">
        <v>2098</v>
      </c>
      <c r="F592" s="73" t="s">
        <v>2126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69">
        <v>45702.63349537037</v>
      </c>
      <c r="N592" s="69">
        <v>45712</v>
      </c>
      <c r="O592" s="69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1978</v>
      </c>
      <c r="B593" s="73" t="str">
        <f>IFERROR(VLOOKUP(Proc[[#This Row],[App]],Table2[],3,0),"open")</f>
        <v>ok</v>
      </c>
      <c r="C593" s="72" t="s">
        <v>369</v>
      </c>
      <c r="D593" t="s">
        <v>2058</v>
      </c>
      <c r="E593" t="s">
        <v>2099</v>
      </c>
      <c r="F593" s="73" t="s">
        <v>2127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69">
        <v>45702.63349537037</v>
      </c>
      <c r="N593" s="69">
        <v>45712</v>
      </c>
      <c r="O593" s="69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1978</v>
      </c>
      <c r="B594" s="73" t="str">
        <f>IFERROR(VLOOKUP(Proc[[#This Row],[App]],Table2[],3,0),"open")</f>
        <v>ok</v>
      </c>
      <c r="C594" s="72" t="s">
        <v>369</v>
      </c>
      <c r="D594" t="s">
        <v>2059</v>
      </c>
      <c r="E594" t="s">
        <v>2099</v>
      </c>
      <c r="F594" s="73" t="s">
        <v>2127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69">
        <v>45702.63349537037</v>
      </c>
      <c r="N594" s="69">
        <v>45712</v>
      </c>
      <c r="O594" s="69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1978</v>
      </c>
      <c r="B595" s="73" t="str">
        <f>IFERROR(VLOOKUP(Proc[[#This Row],[App]],Table2[],3,0),"open")</f>
        <v>ok</v>
      </c>
      <c r="C595" s="72" t="s">
        <v>369</v>
      </c>
      <c r="D595" t="s">
        <v>2060</v>
      </c>
      <c r="E595" t="s">
        <v>2100</v>
      </c>
      <c r="F595" s="73" t="s">
        <v>2128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69">
        <v>45702.63349537037</v>
      </c>
      <c r="N595" s="69">
        <v>45712</v>
      </c>
      <c r="O595" s="69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1978</v>
      </c>
      <c r="B596" s="73" t="str">
        <f>IFERROR(VLOOKUP(Proc[[#This Row],[App]],Table2[],3,0),"open")</f>
        <v>ok</v>
      </c>
      <c r="C596" s="72" t="s">
        <v>369</v>
      </c>
      <c r="D596" t="s">
        <v>2061</v>
      </c>
      <c r="E596" t="s">
        <v>2101</v>
      </c>
      <c r="F596" s="73" t="s">
        <v>2129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69">
        <v>45702.63349537037</v>
      </c>
      <c r="N596" s="69">
        <v>45712</v>
      </c>
      <c r="O596" s="69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1978</v>
      </c>
      <c r="B597" s="73" t="str">
        <f>IFERROR(VLOOKUP(Proc[[#This Row],[App]],Table2[],3,0),"open")</f>
        <v>ok</v>
      </c>
      <c r="C597" s="72" t="s">
        <v>369</v>
      </c>
      <c r="D597" t="s">
        <v>2062</v>
      </c>
      <c r="E597" t="s">
        <v>2102</v>
      </c>
      <c r="F597" s="73" t="s">
        <v>2130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69">
        <v>45702.63349537037</v>
      </c>
      <c r="N597" s="69">
        <v>45712</v>
      </c>
      <c r="O597" s="69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1978</v>
      </c>
      <c r="B598" s="73" t="str">
        <f>IFERROR(VLOOKUP(Proc[[#This Row],[App]],Table2[],3,0),"open")</f>
        <v>ok</v>
      </c>
      <c r="C598" s="72" t="s">
        <v>369</v>
      </c>
      <c r="D598" t="s">
        <v>2063</v>
      </c>
      <c r="E598" t="s">
        <v>2102</v>
      </c>
      <c r="F598" s="73" t="s">
        <v>2131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69">
        <v>45702.63349537037</v>
      </c>
      <c r="N598" s="69">
        <v>45712</v>
      </c>
      <c r="O598" s="69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1978</v>
      </c>
      <c r="B599" s="73" t="str">
        <f>IFERROR(VLOOKUP(Proc[[#This Row],[App]],Table2[],3,0),"open")</f>
        <v>ok</v>
      </c>
      <c r="C599" s="72" t="s">
        <v>369</v>
      </c>
      <c r="D599" t="s">
        <v>2064</v>
      </c>
      <c r="E599" t="s">
        <v>2102</v>
      </c>
      <c r="F599" s="73" t="s">
        <v>2131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69">
        <v>45702.63349537037</v>
      </c>
      <c r="N599" s="69">
        <v>45712</v>
      </c>
      <c r="O599" s="69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1978</v>
      </c>
      <c r="B600" s="73" t="str">
        <f>IFERROR(VLOOKUP(Proc[[#This Row],[App]],Table2[],3,0),"open")</f>
        <v>ok</v>
      </c>
      <c r="C600" s="72" t="s">
        <v>369</v>
      </c>
      <c r="D600" t="s">
        <v>2065</v>
      </c>
      <c r="E600" t="s">
        <v>2103</v>
      </c>
      <c r="F600" s="73" t="s">
        <v>2131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69">
        <v>45702.63349537037</v>
      </c>
      <c r="N600" s="69">
        <v>45712</v>
      </c>
      <c r="O600" s="69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1978</v>
      </c>
      <c r="B601" s="73" t="str">
        <f>IFERROR(VLOOKUP(Proc[[#This Row],[App]],Table2[],3,0),"open")</f>
        <v>ok</v>
      </c>
      <c r="C601" s="72" t="s">
        <v>369</v>
      </c>
      <c r="D601" t="s">
        <v>2066</v>
      </c>
      <c r="E601" t="s">
        <v>2102</v>
      </c>
      <c r="F601" s="73" t="s">
        <v>2132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69">
        <v>45702.63349537037</v>
      </c>
      <c r="N601" s="69">
        <v>45712</v>
      </c>
      <c r="O601" s="69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1978</v>
      </c>
      <c r="B602" s="73" t="str">
        <f>IFERROR(VLOOKUP(Proc[[#This Row],[App]],Table2[],3,0),"open")</f>
        <v>ok</v>
      </c>
      <c r="C602" s="72" t="s">
        <v>369</v>
      </c>
      <c r="D602" t="s">
        <v>2067</v>
      </c>
      <c r="E602" t="s">
        <v>2102</v>
      </c>
      <c r="F602" s="73" t="s">
        <v>2133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69">
        <v>45702.63349537037</v>
      </c>
      <c r="N602" s="69">
        <v>45712</v>
      </c>
      <c r="O602" s="69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1978</v>
      </c>
      <c r="B603" s="73" t="str">
        <f>IFERROR(VLOOKUP(Proc[[#This Row],[App]],Table2[],3,0),"open")</f>
        <v>ok</v>
      </c>
      <c r="C603" s="72" t="s">
        <v>369</v>
      </c>
      <c r="D603" t="s">
        <v>2068</v>
      </c>
      <c r="E603" t="s">
        <v>2104</v>
      </c>
      <c r="F603" s="73" t="s">
        <v>2134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69">
        <v>45702.63349537037</v>
      </c>
      <c r="N603" s="69">
        <v>45712</v>
      </c>
      <c r="O603" s="69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1978</v>
      </c>
      <c r="B604" s="73" t="str">
        <f>IFERROR(VLOOKUP(Proc[[#This Row],[App]],Table2[],3,0),"open")</f>
        <v>ok</v>
      </c>
      <c r="C604" s="72" t="s">
        <v>369</v>
      </c>
      <c r="D604" t="s">
        <v>2069</v>
      </c>
      <c r="E604" t="s">
        <v>2105</v>
      </c>
      <c r="F604" s="73" t="s">
        <v>2135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69">
        <v>45702.63349537037</v>
      </c>
      <c r="N604" s="69">
        <v>45712</v>
      </c>
      <c r="O604" s="69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1978</v>
      </c>
      <c r="B605" s="73" t="str">
        <f>IFERROR(VLOOKUP(Proc[[#This Row],[App]],Table2[],3,0),"open")</f>
        <v>ok</v>
      </c>
      <c r="C605" s="72" t="s">
        <v>369</v>
      </c>
      <c r="D605" t="s">
        <v>2070</v>
      </c>
      <c r="E605" t="s">
        <v>2106</v>
      </c>
      <c r="F605" s="73" t="s">
        <v>2136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69">
        <v>45702.63349537037</v>
      </c>
      <c r="N605" s="69">
        <v>45712</v>
      </c>
      <c r="O605" s="69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1978</v>
      </c>
      <c r="B606" s="73" t="str">
        <f>IFERROR(VLOOKUP(Proc[[#This Row],[App]],Table2[],3,0),"open")</f>
        <v>ok</v>
      </c>
      <c r="C606" s="72" t="s">
        <v>369</v>
      </c>
      <c r="D606" t="s">
        <v>2071</v>
      </c>
      <c r="E606" t="s">
        <v>2107</v>
      </c>
      <c r="F606" s="73" t="s">
        <v>2137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69">
        <v>45702.63349537037</v>
      </c>
      <c r="N606" s="69">
        <v>45712</v>
      </c>
      <c r="O606" s="69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1978</v>
      </c>
      <c r="B607" s="73" t="str">
        <f>IFERROR(VLOOKUP(Proc[[#This Row],[App]],Table2[],3,0),"open")</f>
        <v>ok</v>
      </c>
      <c r="C607" s="72" t="s">
        <v>369</v>
      </c>
      <c r="D607" t="s">
        <v>2072</v>
      </c>
      <c r="E607" t="s">
        <v>2108</v>
      </c>
      <c r="F607" s="73" t="s">
        <v>2138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69">
        <v>45702.63349537037</v>
      </c>
      <c r="N607" s="69">
        <v>45712</v>
      </c>
      <c r="O607" s="69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1978</v>
      </c>
      <c r="B608" s="73" t="str">
        <f>IFERROR(VLOOKUP(Proc[[#This Row],[App]],Table2[],3,0),"open")</f>
        <v>ok</v>
      </c>
      <c r="C608" s="72" t="s">
        <v>369</v>
      </c>
      <c r="D608" t="s">
        <v>2073</v>
      </c>
      <c r="E608" t="s">
        <v>2108</v>
      </c>
      <c r="F608" s="73" t="s">
        <v>2139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69">
        <v>45702.63349537037</v>
      </c>
      <c r="N608" s="69">
        <v>45712</v>
      </c>
      <c r="O608" s="69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1978</v>
      </c>
      <c r="B609" s="73" t="str">
        <f>IFERROR(VLOOKUP(Proc[[#This Row],[App]],Table2[],3,0),"open")</f>
        <v>ok</v>
      </c>
      <c r="C609" s="72" t="s">
        <v>369</v>
      </c>
      <c r="D609" t="s">
        <v>2074</v>
      </c>
      <c r="E609" t="s">
        <v>2108</v>
      </c>
      <c r="F609" s="73" t="s">
        <v>2140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69">
        <v>45702.63349537037</v>
      </c>
      <c r="N609" s="69">
        <v>45712</v>
      </c>
      <c r="O609" s="69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1978</v>
      </c>
      <c r="B610" s="73" t="str">
        <f>IFERROR(VLOOKUP(Proc[[#This Row],[App]],Table2[],3,0),"open")</f>
        <v>ok</v>
      </c>
      <c r="C610" s="72" t="s">
        <v>369</v>
      </c>
      <c r="D610" t="s">
        <v>2075</v>
      </c>
      <c r="E610" t="s">
        <v>2108</v>
      </c>
      <c r="F610" s="73" t="s">
        <v>2141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69">
        <v>45702.63349537037</v>
      </c>
      <c r="N610" s="69">
        <v>45712</v>
      </c>
      <c r="O610" s="69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1978</v>
      </c>
      <c r="B611" s="73" t="str">
        <f>IFERROR(VLOOKUP(Proc[[#This Row],[App]],Table2[],3,0),"open")</f>
        <v>ok</v>
      </c>
      <c r="C611" s="72" t="s">
        <v>369</v>
      </c>
      <c r="D611" t="s">
        <v>2076</v>
      </c>
      <c r="E611" t="s">
        <v>2108</v>
      </c>
      <c r="F611" s="73" t="s">
        <v>2142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69">
        <v>45702.63349537037</v>
      </c>
      <c r="N611" s="69">
        <v>45712</v>
      </c>
      <c r="O611" s="69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2166</v>
      </c>
      <c r="B612" s="73" t="str">
        <f>IFERROR(VLOOKUP(Proc[[#This Row],[App]],Table2[],3,0),"open")</f>
        <v>ok</v>
      </c>
      <c r="C612" s="72" t="s">
        <v>377</v>
      </c>
      <c r="D612" t="s">
        <v>2155</v>
      </c>
      <c r="E612" t="s">
        <v>763</v>
      </c>
      <c r="F612" s="73" t="s">
        <v>1099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69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18</v>
      </c>
      <c r="R612" s="74" t="s">
        <v>1113</v>
      </c>
      <c r="S612" s="73"/>
    </row>
    <row r="613" spans="1:19" hidden="1">
      <c r="A613" s="72" t="s">
        <v>2166</v>
      </c>
      <c r="B613" s="73" t="str">
        <f>IFERROR(VLOOKUP(Proc[[#This Row],[App]],Table2[],3,0),"open")</f>
        <v>ok</v>
      </c>
      <c r="C613" s="72" t="s">
        <v>377</v>
      </c>
      <c r="D613" t="s">
        <v>2156</v>
      </c>
      <c r="E613" t="s">
        <v>763</v>
      </c>
      <c r="F613" s="73" t="s">
        <v>1099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69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18</v>
      </c>
      <c r="R613" s="74" t="s">
        <v>1113</v>
      </c>
      <c r="S613" s="73"/>
    </row>
    <row r="614" spans="1:19" hidden="1">
      <c r="A614" s="72" t="s">
        <v>2166</v>
      </c>
      <c r="B614" s="73" t="str">
        <f>IFERROR(VLOOKUP(Proc[[#This Row],[App]],Table2[],3,0),"open")</f>
        <v>ok</v>
      </c>
      <c r="C614" s="72" t="s">
        <v>377</v>
      </c>
      <c r="D614" t="s">
        <v>2157</v>
      </c>
      <c r="E614" t="s">
        <v>763</v>
      </c>
      <c r="F614" s="73" t="s">
        <v>1099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69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18</v>
      </c>
      <c r="R614" s="74" t="s">
        <v>1113</v>
      </c>
      <c r="S614" s="73"/>
    </row>
    <row r="615" spans="1:19" hidden="1">
      <c r="A615" s="72" t="s">
        <v>2166</v>
      </c>
      <c r="B615" s="73" t="str">
        <f>IFERROR(VLOOKUP(Proc[[#This Row],[App]],Table2[],3,0),"open")</f>
        <v>ok</v>
      </c>
      <c r="C615" s="72" t="s">
        <v>377</v>
      </c>
      <c r="D615" t="s">
        <v>2158</v>
      </c>
      <c r="E615" t="s">
        <v>763</v>
      </c>
      <c r="F615" s="73" t="s">
        <v>1099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69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18</v>
      </c>
      <c r="R615" s="74" t="s">
        <v>1113</v>
      </c>
      <c r="S615" s="73"/>
    </row>
    <row r="616" spans="1:19" hidden="1">
      <c r="A616" s="72" t="s">
        <v>2166</v>
      </c>
      <c r="B616" s="73" t="str">
        <f>IFERROR(VLOOKUP(Proc[[#This Row],[App]],Table2[],3,0),"open")</f>
        <v>ok</v>
      </c>
      <c r="C616" s="72" t="s">
        <v>377</v>
      </c>
      <c r="D616" t="s">
        <v>2159</v>
      </c>
      <c r="E616" t="s">
        <v>2167</v>
      </c>
      <c r="F616" s="73" t="s">
        <v>1099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2447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69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18</v>
      </c>
      <c r="R616" s="74" t="s">
        <v>1113</v>
      </c>
      <c r="S616" s="73"/>
    </row>
    <row r="617" spans="1:19" hidden="1">
      <c r="A617" s="72" t="s">
        <v>2166</v>
      </c>
      <c r="B617" s="73" t="str">
        <f>IFERROR(VLOOKUP(Proc[[#This Row],[App]],Table2[],3,0),"open")</f>
        <v>ok</v>
      </c>
      <c r="C617" s="72" t="s">
        <v>377</v>
      </c>
      <c r="D617" t="s">
        <v>2160</v>
      </c>
      <c r="E617" t="s">
        <v>2167</v>
      </c>
      <c r="F617" s="73" t="s">
        <v>1099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2447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69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18</v>
      </c>
      <c r="R617" s="74" t="s">
        <v>1113</v>
      </c>
      <c r="S617" s="73"/>
    </row>
    <row r="618" spans="1:19" hidden="1">
      <c r="A618" s="72" t="s">
        <v>2166</v>
      </c>
      <c r="B618" s="73" t="str">
        <f>IFERROR(VLOOKUP(Proc[[#This Row],[App]],Table2[],3,0),"open")</f>
        <v>ok</v>
      </c>
      <c r="C618" s="72" t="s">
        <v>377</v>
      </c>
      <c r="D618" t="s">
        <v>2161</v>
      </c>
      <c r="E618" t="s">
        <v>1050</v>
      </c>
      <c r="F618" s="73" t="s">
        <v>1099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2447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69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18</v>
      </c>
      <c r="R618" s="74" t="s">
        <v>1113</v>
      </c>
      <c r="S618" s="73"/>
    </row>
    <row r="619" spans="1:19" hidden="1">
      <c r="A619" s="72" t="s">
        <v>2166</v>
      </c>
      <c r="B619" s="73" t="str">
        <f>IFERROR(VLOOKUP(Proc[[#This Row],[App]],Table2[],3,0),"open")</f>
        <v>ok</v>
      </c>
      <c r="C619" s="72" t="s">
        <v>369</v>
      </c>
      <c r="D619" t="s">
        <v>2162</v>
      </c>
      <c r="E619" t="s">
        <v>2168</v>
      </c>
      <c r="F619" s="73" t="s">
        <v>2171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69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18</v>
      </c>
      <c r="R619" s="74" t="s">
        <v>1113</v>
      </c>
      <c r="S619" s="73"/>
    </row>
    <row r="620" spans="1:19" hidden="1">
      <c r="A620" s="72" t="s">
        <v>2166</v>
      </c>
      <c r="B620" s="73" t="str">
        <f>IFERROR(VLOOKUP(Proc[[#This Row],[App]],Table2[],3,0),"open")</f>
        <v>ok</v>
      </c>
      <c r="C620" s="72" t="s">
        <v>369</v>
      </c>
      <c r="D620" t="s">
        <v>2163</v>
      </c>
      <c r="E620" t="s">
        <v>2168</v>
      </c>
      <c r="F620" s="73" t="s">
        <v>2171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69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18</v>
      </c>
      <c r="R620" s="74" t="s">
        <v>1113</v>
      </c>
      <c r="S620" s="73"/>
    </row>
    <row r="621" spans="1:19" hidden="1">
      <c r="A621" s="72" t="s">
        <v>2166</v>
      </c>
      <c r="B621" s="73" t="str">
        <f>IFERROR(VLOOKUP(Proc[[#This Row],[App]],Table2[],3,0),"open")</f>
        <v>ok</v>
      </c>
      <c r="C621" s="72" t="s">
        <v>369</v>
      </c>
      <c r="D621" t="s">
        <v>2164</v>
      </c>
      <c r="E621" t="s">
        <v>2169</v>
      </c>
      <c r="F621" s="73" t="s">
        <v>2172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69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18</v>
      </c>
      <c r="R621" s="74" t="s">
        <v>1113</v>
      </c>
      <c r="S621" s="73"/>
    </row>
    <row r="622" spans="1:19" hidden="1">
      <c r="A622" s="72" t="s">
        <v>2166</v>
      </c>
      <c r="B622" s="73" t="str">
        <f>IFERROR(VLOOKUP(Proc[[#This Row],[App]],Table2[],3,0),"open")</f>
        <v>ok</v>
      </c>
      <c r="C622" s="72" t="s">
        <v>369</v>
      </c>
      <c r="D622" t="s">
        <v>2165</v>
      </c>
      <c r="E622" t="s">
        <v>2170</v>
      </c>
      <c r="F622" s="73" t="s">
        <v>2173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69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18</v>
      </c>
      <c r="R622" s="74" t="s">
        <v>1113</v>
      </c>
      <c r="S622" s="73"/>
    </row>
    <row r="623" spans="1:19" hidden="1">
      <c r="A623" t="s">
        <v>2174</v>
      </c>
      <c r="B623" s="73" t="str">
        <f>IFERROR(VLOOKUP(Proc[[#This Row],[App]],Table2[],3,0),"open")</f>
        <v>ok</v>
      </c>
      <c r="C623" s="72" t="s">
        <v>369</v>
      </c>
      <c r="D623" t="s">
        <v>2175</v>
      </c>
      <c r="E623" t="s">
        <v>1594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69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17</v>
      </c>
      <c r="R623" s="74" t="s">
        <v>858</v>
      </c>
      <c r="S623" s="73"/>
    </row>
    <row r="624" spans="1:19" hidden="1">
      <c r="A624" s="72" t="s">
        <v>2174</v>
      </c>
      <c r="B624" s="73" t="str">
        <f>IFERROR(VLOOKUP(Proc[[#This Row],[App]],Table2[],3,0),"open")</f>
        <v>ok</v>
      </c>
      <c r="C624" s="72" t="s">
        <v>369</v>
      </c>
      <c r="D624" t="s">
        <v>2176</v>
      </c>
      <c r="E624" t="s">
        <v>1594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69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17</v>
      </c>
      <c r="R624" s="74" t="s">
        <v>858</v>
      </c>
      <c r="S624" s="73"/>
    </row>
    <row r="625" spans="1:19" hidden="1">
      <c r="A625" s="72" t="s">
        <v>2174</v>
      </c>
      <c r="B625" s="73" t="str">
        <f>IFERROR(VLOOKUP(Proc[[#This Row],[App]],Table2[],3,0),"open")</f>
        <v>ok</v>
      </c>
      <c r="C625" s="72" t="s">
        <v>369</v>
      </c>
      <c r="D625" t="s">
        <v>2177</v>
      </c>
      <c r="E625" t="s">
        <v>1594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69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17</v>
      </c>
      <c r="R625" s="74" t="s">
        <v>858</v>
      </c>
      <c r="S625" s="73"/>
    </row>
    <row r="626" spans="1:19" hidden="1">
      <c r="A626" s="72" t="s">
        <v>2174</v>
      </c>
      <c r="B626" s="73" t="str">
        <f>IFERROR(VLOOKUP(Proc[[#This Row],[App]],Table2[],3,0),"open")</f>
        <v>ok</v>
      </c>
      <c r="C626" s="72" t="s">
        <v>369</v>
      </c>
      <c r="D626" t="s">
        <v>2178</v>
      </c>
      <c r="E626" t="s">
        <v>1594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69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17</v>
      </c>
      <c r="R626" s="74" t="s">
        <v>858</v>
      </c>
      <c r="S626" s="73"/>
    </row>
    <row r="627" spans="1:19" hidden="1">
      <c r="A627" s="72" t="s">
        <v>2174</v>
      </c>
      <c r="B627" s="73" t="str">
        <f>IFERROR(VLOOKUP(Proc[[#This Row],[App]],Table2[],3,0),"open")</f>
        <v>ok</v>
      </c>
      <c r="C627" s="72" t="s">
        <v>369</v>
      </c>
      <c r="D627" t="s">
        <v>2179</v>
      </c>
      <c r="E627" t="s">
        <v>1594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69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17</v>
      </c>
      <c r="R627" s="74" t="s">
        <v>858</v>
      </c>
      <c r="S627" s="73"/>
    </row>
    <row r="628" spans="1:19" hidden="1">
      <c r="A628" t="s">
        <v>2180</v>
      </c>
      <c r="B628" s="73" t="str">
        <f>IFERROR(VLOOKUP(Proc[[#This Row],[App]],Table2[],3,0),"open")</f>
        <v>ok</v>
      </c>
      <c r="C628" s="72" t="s">
        <v>369</v>
      </c>
      <c r="D628" t="s">
        <v>2181</v>
      </c>
      <c r="E628" t="s">
        <v>2187</v>
      </c>
      <c r="F628" s="73" t="s">
        <v>1758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69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18</v>
      </c>
      <c r="R628" s="74" t="s">
        <v>1033</v>
      </c>
      <c r="S628" s="73"/>
    </row>
    <row r="629" spans="1:19" hidden="1">
      <c r="A629" s="72" t="s">
        <v>2180</v>
      </c>
      <c r="B629" s="73" t="str">
        <f>IFERROR(VLOOKUP(Proc[[#This Row],[App]],Table2[],3,0),"open")</f>
        <v>ok</v>
      </c>
      <c r="C629" s="72" t="s">
        <v>369</v>
      </c>
      <c r="D629" t="s">
        <v>2182</v>
      </c>
      <c r="E629" t="s">
        <v>1685</v>
      </c>
      <c r="F629" s="73" t="s">
        <v>1758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69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18</v>
      </c>
      <c r="R629" s="74" t="s">
        <v>1033</v>
      </c>
      <c r="S629" s="73"/>
    </row>
    <row r="630" spans="1:19" hidden="1">
      <c r="A630" s="72" t="s">
        <v>2180</v>
      </c>
      <c r="B630" s="73" t="str">
        <f>IFERROR(VLOOKUP(Proc[[#This Row],[App]],Table2[],3,0),"open")</f>
        <v>ok</v>
      </c>
      <c r="C630" s="72" t="s">
        <v>369</v>
      </c>
      <c r="D630" t="s">
        <v>2183</v>
      </c>
      <c r="E630" t="s">
        <v>2188</v>
      </c>
      <c r="F630" s="73" t="s">
        <v>1758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69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18</v>
      </c>
      <c r="R630" s="74" t="s">
        <v>1033</v>
      </c>
      <c r="S630" s="73"/>
    </row>
    <row r="631" spans="1:19" hidden="1">
      <c r="A631" s="72" t="s">
        <v>2180</v>
      </c>
      <c r="B631" s="73" t="str">
        <f>IFERROR(VLOOKUP(Proc[[#This Row],[App]],Table2[],3,0),"open")</f>
        <v>ok</v>
      </c>
      <c r="C631" s="72" t="s">
        <v>369</v>
      </c>
      <c r="D631" t="s">
        <v>2184</v>
      </c>
      <c r="E631" t="s">
        <v>2189</v>
      </c>
      <c r="F631" s="73" t="s">
        <v>1758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69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18</v>
      </c>
      <c r="R631" s="74" t="s">
        <v>1033</v>
      </c>
      <c r="S631" s="73"/>
    </row>
    <row r="632" spans="1:19" hidden="1">
      <c r="A632" s="72" t="s">
        <v>2180</v>
      </c>
      <c r="B632" s="73" t="str">
        <f>IFERROR(VLOOKUP(Proc[[#This Row],[App]],Table2[],3,0),"open")</f>
        <v>ok</v>
      </c>
      <c r="C632" s="72" t="s">
        <v>369</v>
      </c>
      <c r="D632" t="s">
        <v>2185</v>
      </c>
      <c r="E632" t="s">
        <v>2189</v>
      </c>
      <c r="F632" s="73" t="s">
        <v>1758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69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18</v>
      </c>
      <c r="R632" s="74" t="s">
        <v>1033</v>
      </c>
      <c r="S632" s="73"/>
    </row>
    <row r="633" spans="1:19" hidden="1">
      <c r="A633" s="72" t="s">
        <v>2180</v>
      </c>
      <c r="B633" s="73" t="str">
        <f>IFERROR(VLOOKUP(Proc[[#This Row],[App]],Table2[],3,0),"open")</f>
        <v>ok</v>
      </c>
      <c r="C633" s="72" t="s">
        <v>369</v>
      </c>
      <c r="D633" t="s">
        <v>2186</v>
      </c>
      <c r="E633" t="s">
        <v>2189</v>
      </c>
      <c r="F633" s="73" t="s">
        <v>2192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69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18</v>
      </c>
      <c r="R633" s="74" t="s">
        <v>1033</v>
      </c>
      <c r="S633" s="73"/>
    </row>
    <row r="634" spans="1:19" hidden="1">
      <c r="A634" s="72" t="s">
        <v>2180</v>
      </c>
      <c r="B634" s="73" t="str">
        <f>IFERROR(VLOOKUP(Proc[[#This Row],[App]],Table2[],3,0),"open")</f>
        <v>ok</v>
      </c>
      <c r="C634" s="72" t="s">
        <v>369</v>
      </c>
      <c r="D634" t="s">
        <v>1673</v>
      </c>
      <c r="E634" t="s">
        <v>2190</v>
      </c>
      <c r="F634" s="73" t="s">
        <v>1685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69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18</v>
      </c>
      <c r="R634" s="74" t="s">
        <v>1033</v>
      </c>
      <c r="S634" s="73"/>
    </row>
    <row r="635" spans="1:19" hidden="1">
      <c r="A635" s="72" t="s">
        <v>2180</v>
      </c>
      <c r="B635" s="73" t="str">
        <f>IFERROR(VLOOKUP(Proc[[#This Row],[App]],Table2[],3,0),"open")</f>
        <v>ok</v>
      </c>
      <c r="C635" s="72" t="s">
        <v>369</v>
      </c>
      <c r="D635" t="s">
        <v>1679</v>
      </c>
      <c r="E635" t="s">
        <v>2190</v>
      </c>
      <c r="F635" s="73" t="s">
        <v>1685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69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18</v>
      </c>
      <c r="R635" s="74" t="s">
        <v>1033</v>
      </c>
      <c r="S635" s="73"/>
    </row>
    <row r="636" spans="1:19" hidden="1">
      <c r="A636" s="72" t="s">
        <v>2180</v>
      </c>
      <c r="B636" s="73" t="str">
        <f>IFERROR(VLOOKUP(Proc[[#This Row],[App]],Table2[],3,0),"open")</f>
        <v>ok</v>
      </c>
      <c r="C636" s="72" t="s">
        <v>369</v>
      </c>
      <c r="D636" t="s">
        <v>1674</v>
      </c>
      <c r="E636" t="s">
        <v>2191</v>
      </c>
      <c r="F636" s="73" t="s">
        <v>1686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69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18</v>
      </c>
      <c r="R636" s="74" t="s">
        <v>1033</v>
      </c>
      <c r="S636" s="73"/>
    </row>
    <row r="637" spans="1:19" hidden="1">
      <c r="A637" s="72" t="s">
        <v>2180</v>
      </c>
      <c r="B637" s="73" t="str">
        <f>IFERROR(VLOOKUP(Proc[[#This Row],[App]],Table2[],3,0),"open")</f>
        <v>ok</v>
      </c>
      <c r="C637" s="72" t="s">
        <v>369</v>
      </c>
      <c r="D637" t="s">
        <v>1680</v>
      </c>
      <c r="E637" t="s">
        <v>2191</v>
      </c>
      <c r="F637" s="73" t="s">
        <v>1686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69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18</v>
      </c>
      <c r="R637" s="74" t="s">
        <v>1033</v>
      </c>
      <c r="S637" s="73"/>
    </row>
    <row r="638" spans="1:19" hidden="1">
      <c r="A638" t="s">
        <v>2199</v>
      </c>
      <c r="B638" s="73" t="str">
        <f>IFERROR(VLOOKUP(Proc[[#This Row],[App]],Table2[],3,0),"open")</f>
        <v>ok</v>
      </c>
      <c r="C638" s="72" t="s">
        <v>369</v>
      </c>
      <c r="D638" t="s">
        <v>2193</v>
      </c>
      <c r="E638" t="s">
        <v>2195</v>
      </c>
      <c r="F638" s="73" t="s">
        <v>2197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69">
        <v>45705.71533564815</v>
      </c>
      <c r="N638" s="69">
        <v>45706</v>
      </c>
      <c r="O638" s="69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2199</v>
      </c>
      <c r="B639" s="73" t="str">
        <f>IFERROR(VLOOKUP(Proc[[#This Row],[App]],Table2[],3,0),"open")</f>
        <v>ok</v>
      </c>
      <c r="C639" s="72" t="s">
        <v>369</v>
      </c>
      <c r="D639" t="s">
        <v>2194</v>
      </c>
      <c r="E639" t="s">
        <v>2196</v>
      </c>
      <c r="F639" s="73" t="s">
        <v>2198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69">
        <v>45705.71533564815</v>
      </c>
      <c r="N639" s="69">
        <v>45706</v>
      </c>
      <c r="O639" s="69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2200</v>
      </c>
      <c r="B640" s="73" t="str">
        <f>IFERROR(VLOOKUP(Proc[[#This Row],[App]],Table2[],3,0),"open")</f>
        <v>ok</v>
      </c>
      <c r="C640" t="s">
        <v>369</v>
      </c>
      <c r="D640" t="s">
        <v>2201</v>
      </c>
      <c r="E640" t="s">
        <v>2204</v>
      </c>
      <c r="F640" s="73" t="s">
        <v>2203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69">
        <v>45706.507418981484</v>
      </c>
      <c r="N640" s="69">
        <v>45709</v>
      </c>
      <c r="O640" s="69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2200</v>
      </c>
      <c r="B641" s="73" t="str">
        <f>IFERROR(VLOOKUP(Proc[[#This Row],[App]],Table2[],3,0),"open")</f>
        <v>ok</v>
      </c>
      <c r="C641" s="72" t="s">
        <v>369</v>
      </c>
      <c r="D641" t="s">
        <v>2202</v>
      </c>
      <c r="E641" t="s">
        <v>2205</v>
      </c>
      <c r="F641" s="73" t="s">
        <v>2203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69">
        <v>45706.507418981484</v>
      </c>
      <c r="N641" s="69">
        <v>45709</v>
      </c>
      <c r="O641" s="69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2206</v>
      </c>
      <c r="B642" s="73" t="str">
        <f>IFERROR(VLOOKUP(Proc[[#This Row],[App]],Table2[],3,0),"open")</f>
        <v>ok</v>
      </c>
      <c r="C642" t="s">
        <v>369</v>
      </c>
      <c r="D642" s="72" t="s">
        <v>1932</v>
      </c>
      <c r="E642" s="72" t="s">
        <v>2225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69">
        <v>45707.167048611111</v>
      </c>
      <c r="N642" s="69">
        <v>45709</v>
      </c>
      <c r="O642" s="69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2209</v>
      </c>
      <c r="B643" s="73" t="str">
        <f>IFERROR(VLOOKUP(Proc[[#This Row],[App]],Table2[],3,0),"open")</f>
        <v>ok</v>
      </c>
      <c r="C643" t="s">
        <v>369</v>
      </c>
      <c r="D643" t="s">
        <v>2207</v>
      </c>
      <c r="E643" t="s">
        <v>2208</v>
      </c>
      <c r="F643" s="73" t="s">
        <v>1960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69">
        <v>45708.640300925923</v>
      </c>
      <c r="N643" s="69">
        <v>45712</v>
      </c>
      <c r="O643" s="69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1963</v>
      </c>
      <c r="S643" s="73"/>
    </row>
    <row r="644" spans="1:19" hidden="1">
      <c r="A644" t="s">
        <v>2224</v>
      </c>
      <c r="B644" s="73" t="str">
        <f>IFERROR(VLOOKUP(Proc[[#This Row],[App]],Table2[],3,0),"open")</f>
        <v>ok</v>
      </c>
      <c r="C644" s="72" t="s">
        <v>369</v>
      </c>
      <c r="D644" t="s">
        <v>2210</v>
      </c>
      <c r="E644" t="s">
        <v>2216</v>
      </c>
      <c r="F644" s="73" t="s">
        <v>1099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69">
        <v>45708.624907407408</v>
      </c>
      <c r="N644" s="69">
        <v>45712</v>
      </c>
      <c r="O644" s="69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1113</v>
      </c>
      <c r="S644" s="73"/>
    </row>
    <row r="645" spans="1:19" hidden="1">
      <c r="A645" s="72" t="s">
        <v>2224</v>
      </c>
      <c r="B645" s="73" t="str">
        <f>IFERROR(VLOOKUP(Proc[[#This Row],[App]],Table2[],3,0),"open")</f>
        <v>ok</v>
      </c>
      <c r="C645" s="72" t="s">
        <v>369</v>
      </c>
      <c r="D645" t="s">
        <v>1623</v>
      </c>
      <c r="E645" t="s">
        <v>419</v>
      </c>
      <c r="F645" s="73" t="s">
        <v>2220</v>
      </c>
      <c r="G645" s="72" t="s">
        <v>400</v>
      </c>
      <c r="H645" s="73" t="str">
        <f>IF(Proc[[#This Row],[type]]="LFF (MDG-F)",MID(Proc[[#This Row],[Obj]],13,10),"")</f>
        <v/>
      </c>
      <c r="I645" t="s">
        <v>2229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69">
        <v>45708.624907407408</v>
      </c>
      <c r="N645" s="69">
        <v>45712</v>
      </c>
      <c r="O645" s="69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1113</v>
      </c>
      <c r="S645" s="73"/>
    </row>
    <row r="646" spans="1:19" hidden="1">
      <c r="A646" s="72" t="s">
        <v>2224</v>
      </c>
      <c r="B646" s="73" t="str">
        <f>IFERROR(VLOOKUP(Proc[[#This Row],[App]],Table2[],3,0),"open")</f>
        <v>ok</v>
      </c>
      <c r="C646" s="72" t="s">
        <v>369</v>
      </c>
      <c r="D646" t="s">
        <v>2211</v>
      </c>
      <c r="E646" t="s">
        <v>2217</v>
      </c>
      <c r="F646" s="73" t="s">
        <v>2221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69">
        <v>45708.624907407408</v>
      </c>
      <c r="N646" s="69">
        <v>45712</v>
      </c>
      <c r="O646" s="69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1113</v>
      </c>
      <c r="S646" s="73"/>
    </row>
    <row r="647" spans="1:19" hidden="1">
      <c r="A647" s="72" t="s">
        <v>2224</v>
      </c>
      <c r="B647" s="73" t="str">
        <f>IFERROR(VLOOKUP(Proc[[#This Row],[App]],Table2[],3,0),"open")</f>
        <v>ok</v>
      </c>
      <c r="C647" s="72" t="s">
        <v>369</v>
      </c>
      <c r="D647" t="s">
        <v>2212</v>
      </c>
      <c r="E647" t="s">
        <v>2217</v>
      </c>
      <c r="F647" s="73" t="s">
        <v>2222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69">
        <v>45708.624907407408</v>
      </c>
      <c r="N647" s="69">
        <v>45712</v>
      </c>
      <c r="O647" s="69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1113</v>
      </c>
      <c r="S647" s="73"/>
    </row>
    <row r="648" spans="1:19" hidden="1">
      <c r="A648" s="72" t="s">
        <v>2224</v>
      </c>
      <c r="B648" s="73" t="str">
        <f>IFERROR(VLOOKUP(Proc[[#This Row],[App]],Table2[],3,0),"open")</f>
        <v>ok</v>
      </c>
      <c r="C648" s="72" t="s">
        <v>369</v>
      </c>
      <c r="D648" t="s">
        <v>2213</v>
      </c>
      <c r="E648" t="s">
        <v>2218</v>
      </c>
      <c r="F648" s="73" t="s">
        <v>2223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69">
        <v>45708.624907407408</v>
      </c>
      <c r="N648" s="69">
        <v>45712</v>
      </c>
      <c r="O648" s="69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1113</v>
      </c>
      <c r="S648" s="73"/>
    </row>
    <row r="649" spans="1:19" hidden="1">
      <c r="A649" s="72" t="s">
        <v>2224</v>
      </c>
      <c r="B649" s="73" t="str">
        <f>IFERROR(VLOOKUP(Proc[[#This Row],[App]],Table2[],3,0),"open")</f>
        <v>ok</v>
      </c>
      <c r="C649" s="72" t="s">
        <v>369</v>
      </c>
      <c r="D649" t="s">
        <v>2214</v>
      </c>
      <c r="E649" t="s">
        <v>2218</v>
      </c>
      <c r="F649" s="73" t="s">
        <v>2223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69">
        <v>45708.624907407408</v>
      </c>
      <c r="N649" s="69">
        <v>45712</v>
      </c>
      <c r="O649" s="69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1113</v>
      </c>
      <c r="S649" s="73"/>
    </row>
    <row r="650" spans="1:19" hidden="1">
      <c r="A650" s="72" t="s">
        <v>2224</v>
      </c>
      <c r="B650" s="73" t="str">
        <f>IFERROR(VLOOKUP(Proc[[#This Row],[App]],Table2[],3,0),"open")</f>
        <v>ok</v>
      </c>
      <c r="C650" s="72" t="s">
        <v>369</v>
      </c>
      <c r="D650" t="s">
        <v>2215</v>
      </c>
      <c r="E650" t="s">
        <v>2219</v>
      </c>
      <c r="F650" s="73" t="s">
        <v>2223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69">
        <v>45708.624907407408</v>
      </c>
      <c r="N650" s="69">
        <v>45712</v>
      </c>
      <c r="O650" s="69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1113</v>
      </c>
      <c r="S650" s="73"/>
    </row>
    <row r="651" spans="1:19" hidden="1">
      <c r="A651" t="s">
        <v>2227</v>
      </c>
      <c r="B651" s="73" t="str">
        <f>IFERROR(VLOOKUP(Proc[[#This Row],[App]],Table2[],3,0),"open")</f>
        <v>ok</v>
      </c>
      <c r="C651" s="72" t="s">
        <v>369</v>
      </c>
      <c r="D651" t="s">
        <v>2226</v>
      </c>
      <c r="E651" t="s">
        <v>2228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69">
        <v>45708.455127314817</v>
      </c>
      <c r="N651" s="69">
        <v>45712</v>
      </c>
      <c r="O651" s="69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2231</v>
      </c>
      <c r="B652" s="73" t="str">
        <f>IFERROR(VLOOKUP(Proc[[#This Row],[App]],Table2[],3,0),"open")</f>
        <v>ok</v>
      </c>
      <c r="C652" t="s">
        <v>369</v>
      </c>
      <c r="D652" t="s">
        <v>2232</v>
      </c>
      <c r="E652" t="s">
        <v>484</v>
      </c>
      <c r="F652" s="73" t="s">
        <v>2230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69">
        <v>45709.554386574076</v>
      </c>
      <c r="N652" s="69">
        <v>45713</v>
      </c>
      <c r="O652" s="69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2242</v>
      </c>
      <c r="B653" s="73" t="str">
        <f>IFERROR(VLOOKUP(Proc[[#This Row],[App]],Table2[],3,0),"open")</f>
        <v>ok</v>
      </c>
      <c r="C653" s="72" t="s">
        <v>369</v>
      </c>
      <c r="D653" t="s">
        <v>2233</v>
      </c>
      <c r="E653" t="s">
        <v>2698</v>
      </c>
      <c r="F653" s="73" t="s">
        <v>2244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69">
        <v>45712.326793981483</v>
      </c>
      <c r="N653" s="69">
        <v>45713</v>
      </c>
      <c r="O653" s="69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2242</v>
      </c>
      <c r="B654" s="73" t="str">
        <f>IFERROR(VLOOKUP(Proc[[#This Row],[App]],Table2[],3,0),"open")</f>
        <v>ok</v>
      </c>
      <c r="C654" s="72" t="s">
        <v>369</v>
      </c>
      <c r="D654" t="s">
        <v>2234</v>
      </c>
      <c r="E654" t="s">
        <v>2698</v>
      </c>
      <c r="F654" s="73" t="s">
        <v>2244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69">
        <v>45712.326793981483</v>
      </c>
      <c r="N654" s="69">
        <v>45713</v>
      </c>
      <c r="O654" s="69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2242</v>
      </c>
      <c r="B655" s="73" t="str">
        <f>IFERROR(VLOOKUP(Proc[[#This Row],[App]],Table2[],3,0),"open")</f>
        <v>ok</v>
      </c>
      <c r="C655" s="72" t="s">
        <v>369</v>
      </c>
      <c r="D655" t="s">
        <v>2235</v>
      </c>
      <c r="E655" t="s">
        <v>1287</v>
      </c>
      <c r="F655" s="73" t="s">
        <v>1288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69">
        <v>45712.326793981483</v>
      </c>
      <c r="N655" s="69">
        <v>45713</v>
      </c>
      <c r="O655" s="69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2242</v>
      </c>
      <c r="B656" s="73" t="str">
        <f>IFERROR(VLOOKUP(Proc[[#This Row],[App]],Table2[],3,0),"open")</f>
        <v>ok</v>
      </c>
      <c r="C656" s="72" t="s">
        <v>369</v>
      </c>
      <c r="D656" t="s">
        <v>2236</v>
      </c>
      <c r="E656" t="s">
        <v>2243</v>
      </c>
      <c r="F656" s="73" t="s">
        <v>2244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69">
        <v>45712.326793981483</v>
      </c>
      <c r="N656" s="69">
        <v>45713</v>
      </c>
      <c r="O656" s="69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2242</v>
      </c>
      <c r="B657" s="73" t="str">
        <f>IFERROR(VLOOKUP(Proc[[#This Row],[App]],Table2[],3,0),"open")</f>
        <v>ok</v>
      </c>
      <c r="C657" s="72" t="s">
        <v>369</v>
      </c>
      <c r="D657" t="s">
        <v>2237</v>
      </c>
      <c r="E657" t="s">
        <v>2243</v>
      </c>
      <c r="F657" s="73" t="s">
        <v>2244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69">
        <v>45712.326793981483</v>
      </c>
      <c r="N657" s="69">
        <v>45713</v>
      </c>
      <c r="O657" s="69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2242</v>
      </c>
      <c r="B658" s="73" t="str">
        <f>IFERROR(VLOOKUP(Proc[[#This Row],[App]],Table2[],3,0),"open")</f>
        <v>ok</v>
      </c>
      <c r="C658" s="72" t="s">
        <v>369</v>
      </c>
      <c r="D658" t="s">
        <v>2238</v>
      </c>
      <c r="E658" t="s">
        <v>2243</v>
      </c>
      <c r="F658" s="73" t="s">
        <v>2244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69">
        <v>45712.326793981483</v>
      </c>
      <c r="N658" s="69">
        <v>45713</v>
      </c>
      <c r="O658" s="69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2242</v>
      </c>
      <c r="B659" s="73" t="str">
        <f>IFERROR(VLOOKUP(Proc[[#This Row],[App]],Table2[],3,0),"open")</f>
        <v>ok</v>
      </c>
      <c r="C659" s="72" t="s">
        <v>369</v>
      </c>
      <c r="D659" t="s">
        <v>2239</v>
      </c>
      <c r="E659" t="s">
        <v>2243</v>
      </c>
      <c r="F659" s="73" t="s">
        <v>2244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69">
        <v>45712.326793981483</v>
      </c>
      <c r="N659" s="69">
        <v>45713</v>
      </c>
      <c r="O659" s="69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2242</v>
      </c>
      <c r="B660" s="73" t="str">
        <f>IFERROR(VLOOKUP(Proc[[#This Row],[App]],Table2[],3,0),"open")</f>
        <v>ok</v>
      </c>
      <c r="C660" s="72" t="s">
        <v>369</v>
      </c>
      <c r="D660" t="s">
        <v>2240</v>
      </c>
      <c r="E660" t="s">
        <v>2243</v>
      </c>
      <c r="F660" s="73" t="s">
        <v>2244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69">
        <v>45712.326793981483</v>
      </c>
      <c r="N660" s="69">
        <v>45713</v>
      </c>
      <c r="O660" s="69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2242</v>
      </c>
      <c r="B661" s="73" t="str">
        <f>IFERROR(VLOOKUP(Proc[[#This Row],[App]],Table2[],3,0),"open")</f>
        <v>ok</v>
      </c>
      <c r="C661" s="72" t="s">
        <v>369</v>
      </c>
      <c r="D661" t="s">
        <v>2241</v>
      </c>
      <c r="E661" t="s">
        <v>2243</v>
      </c>
      <c r="F661" s="73" t="s">
        <v>2244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69">
        <v>45712.326793981483</v>
      </c>
      <c r="N661" s="69">
        <v>45713</v>
      </c>
      <c r="O661" s="69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2245</v>
      </c>
      <c r="B662" s="73" t="str">
        <f>IFERROR(VLOOKUP(Proc[[#This Row],[App]],Table2[],3,0),"open")</f>
        <v>ok</v>
      </c>
      <c r="C662" s="72" t="s">
        <v>369</v>
      </c>
      <c r="D662" t="s">
        <v>2246</v>
      </c>
      <c r="E662" t="s">
        <v>2257</v>
      </c>
      <c r="F662" s="73" t="s">
        <v>2256</v>
      </c>
      <c r="G662" t="s">
        <v>406</v>
      </c>
      <c r="H662" s="73" t="str">
        <f>IF(Proc[[#This Row],[type]]="LFF (MDG-F)",MID(Proc[[#This Row],[Obj]],13,10),"")</f>
        <v>DE10GIN006</v>
      </c>
      <c r="I662" t="s">
        <v>2258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69">
        <v>45712.411909722221</v>
      </c>
      <c r="N662" s="69">
        <v>45715</v>
      </c>
      <c r="O662" s="69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2245</v>
      </c>
      <c r="B663" s="73" t="str">
        <f>IFERROR(VLOOKUP(Proc[[#This Row],[App]],Table2[],3,0),"open")</f>
        <v>ok</v>
      </c>
      <c r="C663" s="72" t="s">
        <v>369</v>
      </c>
      <c r="D663" t="s">
        <v>2247</v>
      </c>
      <c r="E663" t="s">
        <v>2257</v>
      </c>
      <c r="F663" s="73" t="s">
        <v>2256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2259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69">
        <v>45712.411909722221</v>
      </c>
      <c r="N663" s="69">
        <v>45715</v>
      </c>
      <c r="O663" s="69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2245</v>
      </c>
      <c r="B664" s="73" t="str">
        <f>IFERROR(VLOOKUP(Proc[[#This Row],[App]],Table2[],3,0),"open")</f>
        <v>ok</v>
      </c>
      <c r="C664" s="72" t="s">
        <v>369</v>
      </c>
      <c r="D664" t="s">
        <v>2248</v>
      </c>
      <c r="E664" t="s">
        <v>2257</v>
      </c>
      <c r="F664" s="73" t="s">
        <v>2256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2271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69">
        <v>45712.411909722221</v>
      </c>
      <c r="N664" s="69">
        <v>45716</v>
      </c>
      <c r="O664" s="69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2245</v>
      </c>
      <c r="B665" s="73" t="str">
        <f>IFERROR(VLOOKUP(Proc[[#This Row],[App]],Table2[],3,0),"open")</f>
        <v>ok</v>
      </c>
      <c r="C665" s="72" t="s">
        <v>369</v>
      </c>
      <c r="D665" t="s">
        <v>2249</v>
      </c>
      <c r="E665" t="s">
        <v>2257</v>
      </c>
      <c r="F665" s="73" t="s">
        <v>2256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2260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69">
        <v>45712.411909722221</v>
      </c>
      <c r="N665" s="69">
        <v>45715</v>
      </c>
      <c r="O665" s="69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2245</v>
      </c>
      <c r="B666" s="73" t="str">
        <f>IFERROR(VLOOKUP(Proc[[#This Row],[App]],Table2[],3,0),"open")</f>
        <v>ok</v>
      </c>
      <c r="C666" s="72" t="s">
        <v>369</v>
      </c>
      <c r="D666" t="s">
        <v>2250</v>
      </c>
      <c r="E666" t="s">
        <v>2257</v>
      </c>
      <c r="F666" s="73" t="s">
        <v>2256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2261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69">
        <v>45712.411909722221</v>
      </c>
      <c r="N666" s="69">
        <v>45715</v>
      </c>
      <c r="O666" s="69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2245</v>
      </c>
      <c r="B667" s="73" t="str">
        <f>IFERROR(VLOOKUP(Proc[[#This Row],[App]],Table2[],3,0),"open")</f>
        <v>ok</v>
      </c>
      <c r="C667" s="72" t="s">
        <v>369</v>
      </c>
      <c r="D667" t="s">
        <v>2251</v>
      </c>
      <c r="E667" t="s">
        <v>2257</v>
      </c>
      <c r="F667" s="73" t="s">
        <v>2256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69">
        <v>45712.411909722221</v>
      </c>
      <c r="N667" s="69">
        <v>45715</v>
      </c>
      <c r="O667" s="69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2245</v>
      </c>
      <c r="B668" s="73" t="str">
        <f>IFERROR(VLOOKUP(Proc[[#This Row],[App]],Table2[],3,0),"open")</f>
        <v>ok</v>
      </c>
      <c r="C668" s="72" t="s">
        <v>369</v>
      </c>
      <c r="D668" t="s">
        <v>2252</v>
      </c>
      <c r="E668" t="s">
        <v>2257</v>
      </c>
      <c r="F668" s="73" t="s">
        <v>2256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69">
        <v>45712.411909722221</v>
      </c>
      <c r="N668" s="69">
        <v>45715</v>
      </c>
      <c r="O668" s="69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2245</v>
      </c>
      <c r="B669" s="73" t="str">
        <f>IFERROR(VLOOKUP(Proc[[#This Row],[App]],Table2[],3,0),"open")</f>
        <v>ok</v>
      </c>
      <c r="C669" s="72" t="s">
        <v>369</v>
      </c>
      <c r="D669" t="s">
        <v>2253</v>
      </c>
      <c r="E669" t="s">
        <v>2257</v>
      </c>
      <c r="F669" s="73" t="s">
        <v>2256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69">
        <v>45712.411909722221</v>
      </c>
      <c r="N669" s="69">
        <v>45715</v>
      </c>
      <c r="O669" s="69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2245</v>
      </c>
      <c r="B670" s="73" t="str">
        <f>IFERROR(VLOOKUP(Proc[[#This Row],[App]],Table2[],3,0),"open")</f>
        <v>ok</v>
      </c>
      <c r="C670" s="72" t="s">
        <v>369</v>
      </c>
      <c r="D670" t="s">
        <v>2254</v>
      </c>
      <c r="E670" t="s">
        <v>2257</v>
      </c>
      <c r="F670" s="73" t="s">
        <v>2256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69">
        <v>45712.411909722221</v>
      </c>
      <c r="N670" s="69">
        <v>45715</v>
      </c>
      <c r="O670" s="69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2245</v>
      </c>
      <c r="B671" s="73" t="str">
        <f>IFERROR(VLOOKUP(Proc[[#This Row],[App]],Table2[],3,0),"open")</f>
        <v>ok</v>
      </c>
      <c r="C671" s="72" t="s">
        <v>369</v>
      </c>
      <c r="D671" t="s">
        <v>2255</v>
      </c>
      <c r="E671" t="s">
        <v>2257</v>
      </c>
      <c r="F671" s="73" t="s">
        <v>2256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69">
        <v>45712.411909722221</v>
      </c>
      <c r="N671" s="69">
        <v>45715</v>
      </c>
      <c r="O671" s="69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2262</v>
      </c>
      <c r="B672" s="73" t="str">
        <f>IFERROR(VLOOKUP(Proc[[#This Row],[App]],Table2[],3,0),"open")</f>
        <v>ok</v>
      </c>
      <c r="C672" s="72" t="s">
        <v>369</v>
      </c>
      <c r="D672" t="s">
        <v>2263</v>
      </c>
      <c r="E672" t="s">
        <v>2267</v>
      </c>
      <c r="F672" s="73" t="s">
        <v>2269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69">
        <v>45712.395381944443</v>
      </c>
      <c r="N672" s="69">
        <v>45713</v>
      </c>
      <c r="O672" s="69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2262</v>
      </c>
      <c r="B673" s="73" t="str">
        <f>IFERROR(VLOOKUP(Proc[[#This Row],[App]],Table2[],3,0),"open")</f>
        <v>ok</v>
      </c>
      <c r="C673" s="72" t="s">
        <v>369</v>
      </c>
      <c r="D673" t="s">
        <v>2264</v>
      </c>
      <c r="E673" t="s">
        <v>2268</v>
      </c>
      <c r="F673" s="73" t="s">
        <v>2270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69">
        <v>45712.395381944443</v>
      </c>
      <c r="N673" s="69">
        <v>45713</v>
      </c>
      <c r="O673" s="69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2262</v>
      </c>
      <c r="B674" s="73" t="str">
        <f>IFERROR(VLOOKUP(Proc[[#This Row],[App]],Table2[],3,0),"open")</f>
        <v>ok</v>
      </c>
      <c r="C674" s="72" t="s">
        <v>369</v>
      </c>
      <c r="D674" t="s">
        <v>2265</v>
      </c>
      <c r="E674" t="s">
        <v>2268</v>
      </c>
      <c r="F674" s="73" t="s">
        <v>2270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69">
        <v>45712.395381944443</v>
      </c>
      <c r="N674" s="69">
        <v>45713</v>
      </c>
      <c r="O674" s="69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2262</v>
      </c>
      <c r="B675" s="73" t="str">
        <f>IFERROR(VLOOKUP(Proc[[#This Row],[App]],Table2[],3,0),"open")</f>
        <v>ok</v>
      </c>
      <c r="C675" s="72" t="s">
        <v>369</v>
      </c>
      <c r="D675" t="s">
        <v>2266</v>
      </c>
      <c r="E675" t="s">
        <v>2268</v>
      </c>
      <c r="F675" s="73" t="s">
        <v>2270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69">
        <v>45712.395381944443</v>
      </c>
      <c r="N675" s="69">
        <v>45713</v>
      </c>
      <c r="O675" s="69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2272</v>
      </c>
      <c r="B676" s="73" t="str">
        <f>IFERROR(VLOOKUP(Proc[[#This Row],[App]],Table2[],3,0),"open")</f>
        <v>ok</v>
      </c>
      <c r="C676" t="s">
        <v>369</v>
      </c>
      <c r="D676" t="s">
        <v>2273</v>
      </c>
      <c r="E676" t="s">
        <v>2276</v>
      </c>
      <c r="F676" s="73" t="s">
        <v>2279</v>
      </c>
      <c r="G676" t="s">
        <v>400</v>
      </c>
      <c r="H676" s="73" t="str">
        <f>IF(Proc[[#This Row],[type]]="LFF (MDG-F)",MID(Proc[[#This Row],[Obj]],13,10),"")</f>
        <v/>
      </c>
      <c r="I676" t="s">
        <v>2282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69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12</v>
      </c>
      <c r="R676" s="74" t="s">
        <v>502</v>
      </c>
      <c r="S676" s="73"/>
    </row>
    <row r="677" spans="1:19" hidden="1">
      <c r="A677" s="72" t="s">
        <v>2272</v>
      </c>
      <c r="B677" s="73" t="str">
        <f>IFERROR(VLOOKUP(Proc[[#This Row],[App]],Table2[],3,0),"open")</f>
        <v>ok</v>
      </c>
      <c r="C677" s="72" t="s">
        <v>369</v>
      </c>
      <c r="D677" t="s">
        <v>2274</v>
      </c>
      <c r="E677" t="s">
        <v>2277</v>
      </c>
      <c r="F677" s="73" t="s">
        <v>2280</v>
      </c>
      <c r="G677" s="72" t="s">
        <v>400</v>
      </c>
      <c r="H677" s="73" t="str">
        <f>IF(Proc[[#This Row],[type]]="LFF (MDG-F)",MID(Proc[[#This Row],[Obj]],13,10),"")</f>
        <v/>
      </c>
      <c r="I677" s="72" t="s">
        <v>2282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69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12</v>
      </c>
      <c r="R677" s="74" t="s">
        <v>502</v>
      </c>
      <c r="S677" s="73"/>
    </row>
    <row r="678" spans="1:19" hidden="1">
      <c r="A678" s="72" t="s">
        <v>2272</v>
      </c>
      <c r="B678" s="73" t="str">
        <f>IFERROR(VLOOKUP(Proc[[#This Row],[App]],Table2[],3,0),"open")</f>
        <v>ok</v>
      </c>
      <c r="C678" s="72" t="s">
        <v>369</v>
      </c>
      <c r="D678" t="s">
        <v>2275</v>
      </c>
      <c r="E678" t="s">
        <v>2278</v>
      </c>
      <c r="F678" s="73" t="s">
        <v>2281</v>
      </c>
      <c r="G678" s="72" t="s">
        <v>400</v>
      </c>
      <c r="H678" s="73" t="str">
        <f>IF(Proc[[#This Row],[type]]="LFF (MDG-F)",MID(Proc[[#This Row],[Obj]],13,10),"")</f>
        <v/>
      </c>
      <c r="I678" s="72" t="s">
        <v>2282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69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12</v>
      </c>
      <c r="R678" s="74" t="s">
        <v>502</v>
      </c>
      <c r="S678" s="73"/>
    </row>
    <row r="679" spans="1:19" hidden="1">
      <c r="A679" t="s">
        <v>2283</v>
      </c>
      <c r="B679" s="73" t="str">
        <f>IFERROR(VLOOKUP(Proc[[#This Row],[App]],Table2[],3,0),"open")</f>
        <v>ok</v>
      </c>
      <c r="C679" t="s">
        <v>369</v>
      </c>
      <c r="D679" t="s">
        <v>2284</v>
      </c>
      <c r="E679" t="s">
        <v>2285</v>
      </c>
      <c r="F679" s="73" t="s">
        <v>2286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69">
        <v>45713.229062500002</v>
      </c>
      <c r="N679" s="69">
        <v>45715</v>
      </c>
      <c r="O679" s="69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2283</v>
      </c>
      <c r="B680" s="73" t="str">
        <f>IFERROR(VLOOKUP(Proc[[#This Row],[App]],Table2[],3,0),"open")</f>
        <v>ok</v>
      </c>
      <c r="C680" s="72" t="s">
        <v>369</v>
      </c>
      <c r="D680" t="s">
        <v>2287</v>
      </c>
      <c r="E680" t="s">
        <v>2288</v>
      </c>
      <c r="F680" s="73" t="s">
        <v>2289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69">
        <v>45713.229062500002</v>
      </c>
      <c r="N680" s="69">
        <v>45715</v>
      </c>
      <c r="O680" s="69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2283</v>
      </c>
      <c r="B681" s="73" t="str">
        <f>IFERROR(VLOOKUP(Proc[[#This Row],[App]],Table2[],3,0),"open")</f>
        <v>ok</v>
      </c>
      <c r="C681" s="72" t="s">
        <v>369</v>
      </c>
      <c r="D681" t="s">
        <v>2290</v>
      </c>
      <c r="E681" t="s">
        <v>2288</v>
      </c>
      <c r="F681" s="73" t="s">
        <v>2289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69">
        <v>45713.229062500002</v>
      </c>
      <c r="N681" s="69">
        <v>45715</v>
      </c>
      <c r="O681" s="69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2283</v>
      </c>
      <c r="B682" s="73" t="str">
        <f>IFERROR(VLOOKUP(Proc[[#This Row],[App]],Table2[],3,0),"open")</f>
        <v>ok</v>
      </c>
      <c r="C682" s="72" t="s">
        <v>369</v>
      </c>
      <c r="D682" t="s">
        <v>2291</v>
      </c>
      <c r="E682" t="s">
        <v>2292</v>
      </c>
      <c r="F682" s="73" t="s">
        <v>2293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69">
        <v>45713.229062500002</v>
      </c>
      <c r="N682" s="69">
        <v>45715</v>
      </c>
      <c r="O682" s="69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2283</v>
      </c>
      <c r="B683" s="73" t="str">
        <f>IFERROR(VLOOKUP(Proc[[#This Row],[App]],Table2[],3,0),"open")</f>
        <v>ok</v>
      </c>
      <c r="C683" s="72" t="s">
        <v>369</v>
      </c>
      <c r="D683" t="s">
        <v>2294</v>
      </c>
      <c r="E683" t="s">
        <v>2295</v>
      </c>
      <c r="F683" s="73" t="s">
        <v>2296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69">
        <v>45713.229062500002</v>
      </c>
      <c r="N683" s="69">
        <v>45715</v>
      </c>
      <c r="O683" s="69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2283</v>
      </c>
      <c r="B684" s="73" t="str">
        <f>IFERROR(VLOOKUP(Proc[[#This Row],[App]],Table2[],3,0),"open")</f>
        <v>ok</v>
      </c>
      <c r="C684" s="72" t="s">
        <v>369</v>
      </c>
      <c r="D684" t="s">
        <v>2297</v>
      </c>
      <c r="E684" t="s">
        <v>2295</v>
      </c>
      <c r="F684" s="73" t="s">
        <v>2296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69">
        <v>45713.229062500002</v>
      </c>
      <c r="N684" s="69">
        <v>45715</v>
      </c>
      <c r="O684" s="69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2283</v>
      </c>
      <c r="B685" s="73" t="str">
        <f>IFERROR(VLOOKUP(Proc[[#This Row],[App]],Table2[],3,0),"open")</f>
        <v>ok</v>
      </c>
      <c r="C685" s="72" t="s">
        <v>369</v>
      </c>
      <c r="D685" t="s">
        <v>2298</v>
      </c>
      <c r="E685" t="s">
        <v>2292</v>
      </c>
      <c r="F685" s="73" t="s">
        <v>2293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69">
        <v>45713.229062500002</v>
      </c>
      <c r="N685" s="69">
        <v>45715</v>
      </c>
      <c r="O685" s="69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2283</v>
      </c>
      <c r="B686" s="73" t="str">
        <f>IFERROR(VLOOKUP(Proc[[#This Row],[App]],Table2[],3,0),"open")</f>
        <v>ok</v>
      </c>
      <c r="C686" s="72" t="s">
        <v>369</v>
      </c>
      <c r="D686" t="s">
        <v>2299</v>
      </c>
      <c r="E686" t="s">
        <v>2300</v>
      </c>
      <c r="F686" s="73" t="s">
        <v>2301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69">
        <v>45713.229062500002</v>
      </c>
      <c r="N686" s="69">
        <v>45715</v>
      </c>
      <c r="O686" s="69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2283</v>
      </c>
      <c r="B687" s="73" t="str">
        <f>IFERROR(VLOOKUP(Proc[[#This Row],[App]],Table2[],3,0),"open")</f>
        <v>ok</v>
      </c>
      <c r="C687" s="72" t="s">
        <v>369</v>
      </c>
      <c r="D687" t="s">
        <v>2302</v>
      </c>
      <c r="E687" t="s">
        <v>2300</v>
      </c>
      <c r="F687" s="73" t="s">
        <v>2301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69">
        <v>45713.229062500002</v>
      </c>
      <c r="N687" s="69">
        <v>45715</v>
      </c>
      <c r="O687" s="69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2283</v>
      </c>
      <c r="B688" s="73" t="str">
        <f>IFERROR(VLOOKUP(Proc[[#This Row],[App]],Table2[],3,0),"open")</f>
        <v>ok</v>
      </c>
      <c r="C688" s="72" t="s">
        <v>369</v>
      </c>
      <c r="D688" t="s">
        <v>2303</v>
      </c>
      <c r="E688" t="s">
        <v>2300</v>
      </c>
      <c r="F688" s="73" t="s">
        <v>2301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69">
        <v>45713.229062500002</v>
      </c>
      <c r="N688" s="69">
        <v>45715</v>
      </c>
      <c r="O688" s="69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2283</v>
      </c>
      <c r="B689" s="73" t="str">
        <f>IFERROR(VLOOKUP(Proc[[#This Row],[App]],Table2[],3,0),"open")</f>
        <v>ok</v>
      </c>
      <c r="C689" s="72" t="s">
        <v>369</v>
      </c>
      <c r="D689" t="s">
        <v>2304</v>
      </c>
      <c r="E689" t="s">
        <v>2300</v>
      </c>
      <c r="F689" s="73" t="s">
        <v>2301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69">
        <v>45713.229062500002</v>
      </c>
      <c r="N689" s="69">
        <v>45715</v>
      </c>
      <c r="O689" s="69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2283</v>
      </c>
      <c r="B690" s="73" t="str">
        <f>IFERROR(VLOOKUP(Proc[[#This Row],[App]],Table2[],3,0),"open")</f>
        <v>ok</v>
      </c>
      <c r="C690" s="72" t="s">
        <v>369</v>
      </c>
      <c r="D690" t="s">
        <v>2305</v>
      </c>
      <c r="E690" t="s">
        <v>2300</v>
      </c>
      <c r="F690" s="73" t="s">
        <v>2301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69">
        <v>45713.229062500002</v>
      </c>
      <c r="N690" s="69">
        <v>45715</v>
      </c>
      <c r="O690" s="69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2283</v>
      </c>
      <c r="B691" s="73" t="str">
        <f>IFERROR(VLOOKUP(Proc[[#This Row],[App]],Table2[],3,0),"open")</f>
        <v>ok</v>
      </c>
      <c r="C691" s="72" t="s">
        <v>369</v>
      </c>
      <c r="D691" t="s">
        <v>2306</v>
      </c>
      <c r="E691" t="s">
        <v>2300</v>
      </c>
      <c r="F691" s="73" t="s">
        <v>2301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69">
        <v>45713.229062500002</v>
      </c>
      <c r="N691" s="69">
        <v>45715</v>
      </c>
      <c r="O691" s="69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2283</v>
      </c>
      <c r="B692" s="73" t="str">
        <f>IFERROR(VLOOKUP(Proc[[#This Row],[App]],Table2[],3,0),"open")</f>
        <v>ok</v>
      </c>
      <c r="C692" s="72" t="s">
        <v>369</v>
      </c>
      <c r="D692" t="s">
        <v>2307</v>
      </c>
      <c r="E692" t="s">
        <v>2300</v>
      </c>
      <c r="F692" s="73" t="s">
        <v>2301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69">
        <v>45713.229062500002</v>
      </c>
      <c r="N692" s="69">
        <v>45715</v>
      </c>
      <c r="O692" s="69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2283</v>
      </c>
      <c r="B693" s="73" t="str">
        <f>IFERROR(VLOOKUP(Proc[[#This Row],[App]],Table2[],3,0),"open")</f>
        <v>ok</v>
      </c>
      <c r="C693" s="72" t="s">
        <v>369</v>
      </c>
      <c r="D693" t="s">
        <v>2308</v>
      </c>
      <c r="E693" t="s">
        <v>2309</v>
      </c>
      <c r="F693" s="73" t="s">
        <v>2310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69">
        <v>45713.229062500002</v>
      </c>
      <c r="N693" s="69">
        <v>45715</v>
      </c>
      <c r="O693" s="69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2283</v>
      </c>
      <c r="B694" s="73" t="str">
        <f>IFERROR(VLOOKUP(Proc[[#This Row],[App]],Table2[],3,0),"open")</f>
        <v>ok</v>
      </c>
      <c r="C694" s="72" t="s">
        <v>369</v>
      </c>
      <c r="D694" t="s">
        <v>2311</v>
      </c>
      <c r="E694" t="s">
        <v>2312</v>
      </c>
      <c r="F694" s="73" t="s">
        <v>2313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69">
        <v>45713.229062500002</v>
      </c>
      <c r="N694" s="69">
        <v>45715</v>
      </c>
      <c r="O694" s="69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2283</v>
      </c>
      <c r="B695" s="73" t="str">
        <f>IFERROR(VLOOKUP(Proc[[#This Row],[App]],Table2[],3,0),"open")</f>
        <v>ok</v>
      </c>
      <c r="C695" s="72" t="s">
        <v>369</v>
      </c>
      <c r="D695" t="s">
        <v>2314</v>
      </c>
      <c r="E695" t="s">
        <v>2315</v>
      </c>
      <c r="F695" s="73" t="s">
        <v>2316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69">
        <v>45713.229062500002</v>
      </c>
      <c r="N695" s="69">
        <v>45715</v>
      </c>
      <c r="O695" s="69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2283</v>
      </c>
      <c r="B696" s="73" t="str">
        <f>IFERROR(VLOOKUP(Proc[[#This Row],[App]],Table2[],3,0),"open")</f>
        <v>ok</v>
      </c>
      <c r="C696" s="72" t="s">
        <v>369</v>
      </c>
      <c r="D696" t="s">
        <v>2317</v>
      </c>
      <c r="E696" t="s">
        <v>2318</v>
      </c>
      <c r="F696" s="73" t="s">
        <v>2319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69">
        <v>45713.229062500002</v>
      </c>
      <c r="N696" s="69">
        <v>45715</v>
      </c>
      <c r="O696" s="69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2283</v>
      </c>
      <c r="B697" s="73" t="str">
        <f>IFERROR(VLOOKUP(Proc[[#This Row],[App]],Table2[],3,0),"open")</f>
        <v>ok</v>
      </c>
      <c r="C697" s="72" t="s">
        <v>369</v>
      </c>
      <c r="D697" t="s">
        <v>2320</v>
      </c>
      <c r="E697" t="s">
        <v>2318</v>
      </c>
      <c r="F697" s="73" t="s">
        <v>2319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69">
        <v>45713.229062500002</v>
      </c>
      <c r="N697" s="69">
        <v>45715</v>
      </c>
      <c r="O697" s="69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2283</v>
      </c>
      <c r="B698" s="73" t="str">
        <f>IFERROR(VLOOKUP(Proc[[#This Row],[App]],Table2[],3,0),"open")</f>
        <v>ok</v>
      </c>
      <c r="C698" s="72" t="s">
        <v>369</v>
      </c>
      <c r="D698" t="s">
        <v>2321</v>
      </c>
      <c r="E698" t="s">
        <v>2312</v>
      </c>
      <c r="F698" s="73" t="s">
        <v>2319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69">
        <v>45713.229062500002</v>
      </c>
      <c r="N698" s="69">
        <v>45715</v>
      </c>
      <c r="O698" s="69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2283</v>
      </c>
      <c r="B699" s="73" t="str">
        <f>IFERROR(VLOOKUP(Proc[[#This Row],[App]],Table2[],3,0),"open")</f>
        <v>ok</v>
      </c>
      <c r="C699" s="72" t="s">
        <v>369</v>
      </c>
      <c r="D699" t="s">
        <v>2322</v>
      </c>
      <c r="E699" t="s">
        <v>2312</v>
      </c>
      <c r="F699" s="73" t="s">
        <v>2319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69">
        <v>45713.229062500002</v>
      </c>
      <c r="N699" s="69">
        <v>45715</v>
      </c>
      <c r="O699" s="69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2283</v>
      </c>
      <c r="B700" s="73" t="str">
        <f>IFERROR(VLOOKUP(Proc[[#This Row],[App]],Table2[],3,0),"open")</f>
        <v>ok</v>
      </c>
      <c r="C700" s="72" t="s">
        <v>369</v>
      </c>
      <c r="D700" t="s">
        <v>2323</v>
      </c>
      <c r="E700" t="s">
        <v>2312</v>
      </c>
      <c r="F700" s="73" t="s">
        <v>2319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69">
        <v>45713.229062500002</v>
      </c>
      <c r="N700" s="69">
        <v>45715</v>
      </c>
      <c r="O700" s="69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2283</v>
      </c>
      <c r="B701" s="73" t="str">
        <f>IFERROR(VLOOKUP(Proc[[#This Row],[App]],Table2[],3,0),"open")</f>
        <v>ok</v>
      </c>
      <c r="C701" s="72" t="s">
        <v>369</v>
      </c>
      <c r="D701" t="s">
        <v>2324</v>
      </c>
      <c r="E701" t="s">
        <v>2292</v>
      </c>
      <c r="F701" s="73" t="s">
        <v>2293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69">
        <v>45713.229062500002</v>
      </c>
      <c r="N701" s="69">
        <v>45715</v>
      </c>
      <c r="O701" s="69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2283</v>
      </c>
      <c r="B702" s="73" t="str">
        <f>IFERROR(VLOOKUP(Proc[[#This Row],[App]],Table2[],3,0),"open")</f>
        <v>ok</v>
      </c>
      <c r="C702" s="72" t="s">
        <v>369</v>
      </c>
      <c r="D702" t="s">
        <v>2325</v>
      </c>
      <c r="E702" t="s">
        <v>2326</v>
      </c>
      <c r="F702" s="73" t="s">
        <v>2327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69">
        <v>45713.229062500002</v>
      </c>
      <c r="N702" s="69">
        <v>45715</v>
      </c>
      <c r="O702" s="69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2283</v>
      </c>
      <c r="B703" s="73" t="str">
        <f>IFERROR(VLOOKUP(Proc[[#This Row],[App]],Table2[],3,0),"open")</f>
        <v>ok</v>
      </c>
      <c r="C703" s="72" t="s">
        <v>369</v>
      </c>
      <c r="D703" t="s">
        <v>2328</v>
      </c>
      <c r="E703" t="s">
        <v>2329</v>
      </c>
      <c r="F703" s="73" t="s">
        <v>2327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69">
        <v>45713.229062500002</v>
      </c>
      <c r="N703" s="69">
        <v>45715</v>
      </c>
      <c r="O703" s="69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2283</v>
      </c>
      <c r="B704" s="73" t="str">
        <f>IFERROR(VLOOKUP(Proc[[#This Row],[App]],Table2[],3,0),"open")</f>
        <v>ok</v>
      </c>
      <c r="C704" s="72" t="s">
        <v>369</v>
      </c>
      <c r="D704" t="s">
        <v>2330</v>
      </c>
      <c r="E704" t="s">
        <v>2329</v>
      </c>
      <c r="F704" s="73" t="s">
        <v>2327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69">
        <v>45713.229062500002</v>
      </c>
      <c r="N704" s="69">
        <v>45715</v>
      </c>
      <c r="O704" s="69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2283</v>
      </c>
      <c r="B705" s="73" t="str">
        <f>IFERROR(VLOOKUP(Proc[[#This Row],[App]],Table2[],3,0),"open")</f>
        <v>ok</v>
      </c>
      <c r="C705" s="72" t="s">
        <v>369</v>
      </c>
      <c r="D705" t="s">
        <v>2331</v>
      </c>
      <c r="E705" t="s">
        <v>2329</v>
      </c>
      <c r="F705" s="73" t="s">
        <v>2327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69">
        <v>45713.229062500002</v>
      </c>
      <c r="N705" s="69">
        <v>45715</v>
      </c>
      <c r="O705" s="69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2283</v>
      </c>
      <c r="B706" s="73" t="str">
        <f>IFERROR(VLOOKUP(Proc[[#This Row],[App]],Table2[],3,0),"open")</f>
        <v>ok</v>
      </c>
      <c r="C706" s="72" t="s">
        <v>369</v>
      </c>
      <c r="D706" t="s">
        <v>2332</v>
      </c>
      <c r="E706" t="s">
        <v>2329</v>
      </c>
      <c r="F706" s="73" t="s">
        <v>2327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69">
        <v>45713.229062500002</v>
      </c>
      <c r="N706" s="69">
        <v>45715</v>
      </c>
      <c r="O706" s="69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2283</v>
      </c>
      <c r="B707" s="73" t="str">
        <f>IFERROR(VLOOKUP(Proc[[#This Row],[App]],Table2[],3,0),"open")</f>
        <v>ok</v>
      </c>
      <c r="C707" s="72" t="s">
        <v>369</v>
      </c>
      <c r="D707" t="s">
        <v>2333</v>
      </c>
      <c r="E707" t="s">
        <v>2329</v>
      </c>
      <c r="F707" s="73" t="s">
        <v>2327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69">
        <v>45713.229062500002</v>
      </c>
      <c r="N707" s="69">
        <v>45715</v>
      </c>
      <c r="O707" s="69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2283</v>
      </c>
      <c r="B708" s="73" t="str">
        <f>IFERROR(VLOOKUP(Proc[[#This Row],[App]],Table2[],3,0),"open")</f>
        <v>ok</v>
      </c>
      <c r="C708" s="72" t="s">
        <v>369</v>
      </c>
      <c r="D708" t="s">
        <v>2334</v>
      </c>
      <c r="E708" t="s">
        <v>2329</v>
      </c>
      <c r="F708" s="73" t="s">
        <v>2327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69">
        <v>45713.229062500002</v>
      </c>
      <c r="N708" s="69">
        <v>45715</v>
      </c>
      <c r="O708" s="69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2283</v>
      </c>
      <c r="B709" s="73" t="str">
        <f>IFERROR(VLOOKUP(Proc[[#This Row],[App]],Table2[],3,0),"open")</f>
        <v>ok</v>
      </c>
      <c r="C709" s="72" t="s">
        <v>369</v>
      </c>
      <c r="D709" t="s">
        <v>2335</v>
      </c>
      <c r="E709" t="s">
        <v>2336</v>
      </c>
      <c r="F709" s="73" t="s">
        <v>2337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69">
        <v>45713.229062500002</v>
      </c>
      <c r="N709" s="69">
        <v>45715</v>
      </c>
      <c r="O709" s="69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2283</v>
      </c>
      <c r="B710" s="73" t="str">
        <f>IFERROR(VLOOKUP(Proc[[#This Row],[App]],Table2[],3,0),"open")</f>
        <v>ok</v>
      </c>
      <c r="C710" s="72" t="s">
        <v>369</v>
      </c>
      <c r="D710" t="s">
        <v>2338</v>
      </c>
      <c r="E710" t="s">
        <v>2336</v>
      </c>
      <c r="F710" s="73" t="s">
        <v>2337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69">
        <v>45713.229062500002</v>
      </c>
      <c r="N710" s="69">
        <v>45715</v>
      </c>
      <c r="O710" s="69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2283</v>
      </c>
      <c r="B711" s="73" t="str">
        <f>IFERROR(VLOOKUP(Proc[[#This Row],[App]],Table2[],3,0),"open")</f>
        <v>ok</v>
      </c>
      <c r="C711" s="72" t="s">
        <v>369</v>
      </c>
      <c r="D711" t="s">
        <v>2339</v>
      </c>
      <c r="E711" t="s">
        <v>2340</v>
      </c>
      <c r="F711" s="73" t="s">
        <v>2341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69">
        <v>45713.229062500002</v>
      </c>
      <c r="N711" s="69">
        <v>45715</v>
      </c>
      <c r="O711" s="69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2283</v>
      </c>
      <c r="B712" s="73" t="str">
        <f>IFERROR(VLOOKUP(Proc[[#This Row],[App]],Table2[],3,0),"open")</f>
        <v>ok</v>
      </c>
      <c r="C712" s="72" t="s">
        <v>369</v>
      </c>
      <c r="D712" t="s">
        <v>2342</v>
      </c>
      <c r="E712" t="s">
        <v>2343</v>
      </c>
      <c r="F712" s="73" t="s">
        <v>2344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69">
        <v>45713.229062500002</v>
      </c>
      <c r="N712" s="69">
        <v>45715</v>
      </c>
      <c r="O712" s="69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2283</v>
      </c>
      <c r="B713" s="73" t="str">
        <f>IFERROR(VLOOKUP(Proc[[#This Row],[App]],Table2[],3,0),"open")</f>
        <v>ok</v>
      </c>
      <c r="C713" s="72" t="s">
        <v>369</v>
      </c>
      <c r="D713" t="s">
        <v>2345</v>
      </c>
      <c r="E713" t="s">
        <v>2343</v>
      </c>
      <c r="F713" s="73" t="s">
        <v>2344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69">
        <v>45713.229062500002</v>
      </c>
      <c r="N713" s="69">
        <v>45715</v>
      </c>
      <c r="O713" s="69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2283</v>
      </c>
      <c r="B714" s="73" t="str">
        <f>IFERROR(VLOOKUP(Proc[[#This Row],[App]],Table2[],3,0),"open")</f>
        <v>ok</v>
      </c>
      <c r="C714" s="72" t="s">
        <v>369</v>
      </c>
      <c r="D714" t="s">
        <v>2346</v>
      </c>
      <c r="E714" t="s">
        <v>2343</v>
      </c>
      <c r="F714" s="73" t="s">
        <v>2344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69">
        <v>45713.229062500002</v>
      </c>
      <c r="N714" s="69">
        <v>45715</v>
      </c>
      <c r="O714" s="69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2283</v>
      </c>
      <c r="B715" s="73" t="str">
        <f>IFERROR(VLOOKUP(Proc[[#This Row],[App]],Table2[],3,0),"open")</f>
        <v>ok</v>
      </c>
      <c r="C715" s="72" t="s">
        <v>369</v>
      </c>
      <c r="D715" t="s">
        <v>2347</v>
      </c>
      <c r="E715" t="s">
        <v>2343</v>
      </c>
      <c r="F715" s="73" t="s">
        <v>2344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69">
        <v>45713.229062500002</v>
      </c>
      <c r="N715" s="69">
        <v>45715</v>
      </c>
      <c r="O715" s="69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2283</v>
      </c>
      <c r="B716" s="73" t="str">
        <f>IFERROR(VLOOKUP(Proc[[#This Row],[App]],Table2[],3,0),"open")</f>
        <v>ok</v>
      </c>
      <c r="C716" s="72" t="s">
        <v>369</v>
      </c>
      <c r="D716" t="s">
        <v>2348</v>
      </c>
      <c r="E716" t="s">
        <v>2349</v>
      </c>
      <c r="F716" s="73" t="s">
        <v>2350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69">
        <v>45713.229062500002</v>
      </c>
      <c r="N716" s="69">
        <v>45715</v>
      </c>
      <c r="O716" s="69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2283</v>
      </c>
      <c r="B717" s="73" t="str">
        <f>IFERROR(VLOOKUP(Proc[[#This Row],[App]],Table2[],3,0),"open")</f>
        <v>ok</v>
      </c>
      <c r="C717" s="72" t="s">
        <v>369</v>
      </c>
      <c r="D717" t="s">
        <v>2351</v>
      </c>
      <c r="E717" t="s">
        <v>2343</v>
      </c>
      <c r="F717" s="73" t="s">
        <v>2352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69">
        <v>45713.229062500002</v>
      </c>
      <c r="N717" s="69">
        <v>45715</v>
      </c>
      <c r="O717" s="69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2283</v>
      </c>
      <c r="B718" s="73" t="str">
        <f>IFERROR(VLOOKUP(Proc[[#This Row],[App]],Table2[],3,0),"open")</f>
        <v>ok</v>
      </c>
      <c r="C718" s="72" t="s">
        <v>369</v>
      </c>
      <c r="D718" t="s">
        <v>2353</v>
      </c>
      <c r="E718" t="s">
        <v>2343</v>
      </c>
      <c r="F718" s="73" t="s">
        <v>2352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69">
        <v>45713.229062500002</v>
      </c>
      <c r="N718" s="69">
        <v>45715</v>
      </c>
      <c r="O718" s="69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2283</v>
      </c>
      <c r="B719" s="73" t="str">
        <f>IFERROR(VLOOKUP(Proc[[#This Row],[App]],Table2[],3,0),"open")</f>
        <v>ok</v>
      </c>
      <c r="C719" s="72" t="s">
        <v>369</v>
      </c>
      <c r="D719" t="s">
        <v>2354</v>
      </c>
      <c r="E719" t="s">
        <v>2343</v>
      </c>
      <c r="F719" s="73" t="s">
        <v>2352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69">
        <v>45713.229062500002</v>
      </c>
      <c r="N719" s="69">
        <v>45715</v>
      </c>
      <c r="O719" s="69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2283</v>
      </c>
      <c r="B720" s="73" t="str">
        <f>IFERROR(VLOOKUP(Proc[[#This Row],[App]],Table2[],3,0),"open")</f>
        <v>ok</v>
      </c>
      <c r="C720" s="72" t="s">
        <v>369</v>
      </c>
      <c r="D720" t="s">
        <v>2355</v>
      </c>
      <c r="E720" t="s">
        <v>2292</v>
      </c>
      <c r="F720" s="73" t="s">
        <v>2293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69">
        <v>45713.229062500002</v>
      </c>
      <c r="N720" s="69">
        <v>45715</v>
      </c>
      <c r="O720" s="69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2283</v>
      </c>
      <c r="B721" s="73" t="str">
        <f>IFERROR(VLOOKUP(Proc[[#This Row],[App]],Table2[],3,0),"open")</f>
        <v>ok</v>
      </c>
      <c r="C721" s="72" t="s">
        <v>369</v>
      </c>
      <c r="D721" t="s">
        <v>2356</v>
      </c>
      <c r="E721" t="s">
        <v>2357</v>
      </c>
      <c r="F721" s="73" t="s">
        <v>2358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69">
        <v>45713.229062500002</v>
      </c>
      <c r="N721" s="69">
        <v>45715</v>
      </c>
      <c r="O721" s="69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2283</v>
      </c>
      <c r="B722" s="73" t="str">
        <f>IFERROR(VLOOKUP(Proc[[#This Row],[App]],Table2[],3,0),"open")</f>
        <v>ok</v>
      </c>
      <c r="C722" s="72" t="s">
        <v>369</v>
      </c>
      <c r="D722" t="s">
        <v>2359</v>
      </c>
      <c r="E722" t="s">
        <v>2343</v>
      </c>
      <c r="F722" s="73" t="s">
        <v>2360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69">
        <v>45713.229062500002</v>
      </c>
      <c r="N722" s="69">
        <v>45715</v>
      </c>
      <c r="O722" s="69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2283</v>
      </c>
      <c r="B723" s="73" t="str">
        <f>IFERROR(VLOOKUP(Proc[[#This Row],[App]],Table2[],3,0),"open")</f>
        <v>ok</v>
      </c>
      <c r="C723" s="72" t="s">
        <v>369</v>
      </c>
      <c r="D723" t="s">
        <v>2361</v>
      </c>
      <c r="E723" t="s">
        <v>2343</v>
      </c>
      <c r="F723" s="73" t="s">
        <v>2360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69">
        <v>45713.229062500002</v>
      </c>
      <c r="N723" s="69">
        <v>45715</v>
      </c>
      <c r="O723" s="69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2283</v>
      </c>
      <c r="B724" s="73" t="str">
        <f>IFERROR(VLOOKUP(Proc[[#This Row],[App]],Table2[],3,0),"open")</f>
        <v>ok</v>
      </c>
      <c r="C724" s="72" t="s">
        <v>369</v>
      </c>
      <c r="D724" t="s">
        <v>2362</v>
      </c>
      <c r="E724" t="s">
        <v>2363</v>
      </c>
      <c r="F724" s="73" t="s">
        <v>2364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69">
        <v>45713.229062500002</v>
      </c>
      <c r="N724" s="69">
        <v>45715</v>
      </c>
      <c r="O724" s="69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2391</v>
      </c>
      <c r="B725" s="73" t="str">
        <f>IFERROR(VLOOKUP(Proc[[#This Row],[App]],Table2[],3,0),"open")</f>
        <v>ok</v>
      </c>
      <c r="C725" s="72" t="s">
        <v>369</v>
      </c>
      <c r="D725" t="s">
        <v>2365</v>
      </c>
      <c r="E725" t="s">
        <v>2366</v>
      </c>
      <c r="F725" s="73" t="s">
        <v>2367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69">
        <v>45713.21603009259</v>
      </c>
      <c r="N725" s="69">
        <v>45715</v>
      </c>
      <c r="O725" s="69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2391</v>
      </c>
      <c r="B726" s="73" t="str">
        <f>IFERROR(VLOOKUP(Proc[[#This Row],[App]],Table2[],3,0),"open")</f>
        <v>ok</v>
      </c>
      <c r="C726" s="72" t="s">
        <v>369</v>
      </c>
      <c r="D726" t="s">
        <v>2368</v>
      </c>
      <c r="E726" t="s">
        <v>2366</v>
      </c>
      <c r="F726" s="73" t="s">
        <v>2367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69">
        <v>45713.21603009259</v>
      </c>
      <c r="N726" s="69">
        <v>45715</v>
      </c>
      <c r="O726" s="69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2391</v>
      </c>
      <c r="B727" s="73" t="str">
        <f>IFERROR(VLOOKUP(Proc[[#This Row],[App]],Table2[],3,0),"open")</f>
        <v>ok</v>
      </c>
      <c r="C727" s="72" t="s">
        <v>369</v>
      </c>
      <c r="D727" t="s">
        <v>2369</v>
      </c>
      <c r="E727" t="s">
        <v>2366</v>
      </c>
      <c r="F727" s="73" t="s">
        <v>2370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69">
        <v>45713.21603009259</v>
      </c>
      <c r="N727" s="69">
        <v>45715</v>
      </c>
      <c r="O727" s="69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2391</v>
      </c>
      <c r="B728" s="73" t="str">
        <f>IFERROR(VLOOKUP(Proc[[#This Row],[App]],Table2[],3,0),"open")</f>
        <v>ok</v>
      </c>
      <c r="C728" s="72" t="s">
        <v>369</v>
      </c>
      <c r="D728" t="s">
        <v>2371</v>
      </c>
      <c r="E728" t="s">
        <v>2366</v>
      </c>
      <c r="F728" s="73" t="s">
        <v>2372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69">
        <v>45713.21603009259</v>
      </c>
      <c r="N728" s="69">
        <v>45715</v>
      </c>
      <c r="O728" s="69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2391</v>
      </c>
      <c r="B729" s="73" t="str">
        <f>IFERROR(VLOOKUP(Proc[[#This Row],[App]],Table2[],3,0),"open")</f>
        <v>ok</v>
      </c>
      <c r="C729" s="72" t="s">
        <v>369</v>
      </c>
      <c r="D729" t="s">
        <v>2373</v>
      </c>
      <c r="E729" t="s">
        <v>2366</v>
      </c>
      <c r="F729" s="73" t="s">
        <v>2374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69">
        <v>45713.21603009259</v>
      </c>
      <c r="N729" s="69">
        <v>45715</v>
      </c>
      <c r="O729" s="69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2391</v>
      </c>
      <c r="B730" s="73" t="str">
        <f>IFERROR(VLOOKUP(Proc[[#This Row],[App]],Table2[],3,0),"open")</f>
        <v>ok</v>
      </c>
      <c r="C730" s="72" t="s">
        <v>369</v>
      </c>
      <c r="D730" t="s">
        <v>2375</v>
      </c>
      <c r="E730" t="s">
        <v>2366</v>
      </c>
      <c r="F730" s="73" t="s">
        <v>2376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69">
        <v>45713.21603009259</v>
      </c>
      <c r="N730" s="69">
        <v>45715</v>
      </c>
      <c r="O730" s="69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2391</v>
      </c>
      <c r="B731" s="73" t="str">
        <f>IFERROR(VLOOKUP(Proc[[#This Row],[App]],Table2[],3,0),"open")</f>
        <v>ok</v>
      </c>
      <c r="C731" s="72" t="s">
        <v>369</v>
      </c>
      <c r="D731" t="s">
        <v>2377</v>
      </c>
      <c r="E731" t="s">
        <v>2366</v>
      </c>
      <c r="F731" s="73" t="s">
        <v>2378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69">
        <v>45713.21603009259</v>
      </c>
      <c r="N731" s="69">
        <v>45715</v>
      </c>
      <c r="O731" s="69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2391</v>
      </c>
      <c r="B732" s="73" t="str">
        <f>IFERROR(VLOOKUP(Proc[[#This Row],[App]],Table2[],3,0),"open")</f>
        <v>ok</v>
      </c>
      <c r="C732" s="72" t="s">
        <v>369</v>
      </c>
      <c r="D732" t="s">
        <v>2379</v>
      </c>
      <c r="E732" t="s">
        <v>2366</v>
      </c>
      <c r="F732" s="73" t="s">
        <v>2380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69">
        <v>45713.21603009259</v>
      </c>
      <c r="N732" s="69">
        <v>45715</v>
      </c>
      <c r="O732" s="69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2391</v>
      </c>
      <c r="B733" s="73" t="str">
        <f>IFERROR(VLOOKUP(Proc[[#This Row],[App]],Table2[],3,0),"open")</f>
        <v>ok</v>
      </c>
      <c r="C733" s="72" t="s">
        <v>369</v>
      </c>
      <c r="D733" t="s">
        <v>2381</v>
      </c>
      <c r="E733" t="s">
        <v>2366</v>
      </c>
      <c r="F733" s="73" t="s">
        <v>2382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69">
        <v>45713.21603009259</v>
      </c>
      <c r="N733" s="69">
        <v>45715</v>
      </c>
      <c r="O733" s="69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2391</v>
      </c>
      <c r="B734" s="73" t="str">
        <f>IFERROR(VLOOKUP(Proc[[#This Row],[App]],Table2[],3,0),"open")</f>
        <v>ok</v>
      </c>
      <c r="C734" s="72" t="s">
        <v>369</v>
      </c>
      <c r="D734" t="s">
        <v>2383</v>
      </c>
      <c r="E734" t="s">
        <v>2366</v>
      </c>
      <c r="F734" s="73" t="s">
        <v>2384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69">
        <v>45713.21603009259</v>
      </c>
      <c r="N734" s="69">
        <v>45715</v>
      </c>
      <c r="O734" s="69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2391</v>
      </c>
      <c r="B735" s="73" t="str">
        <f>IFERROR(VLOOKUP(Proc[[#This Row],[App]],Table2[],3,0),"open")</f>
        <v>ok</v>
      </c>
      <c r="C735" s="72" t="s">
        <v>369</v>
      </c>
      <c r="D735" t="s">
        <v>2385</v>
      </c>
      <c r="E735" t="s">
        <v>2366</v>
      </c>
      <c r="F735" s="73" t="s">
        <v>2376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69">
        <v>45713.21603009259</v>
      </c>
      <c r="N735" s="69">
        <v>45715</v>
      </c>
      <c r="O735" s="69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2391</v>
      </c>
      <c r="B736" s="73" t="str">
        <f>IFERROR(VLOOKUP(Proc[[#This Row],[App]],Table2[],3,0),"open")</f>
        <v>ok</v>
      </c>
      <c r="C736" s="72" t="s">
        <v>369</v>
      </c>
      <c r="D736" t="s">
        <v>2386</v>
      </c>
      <c r="E736" t="s">
        <v>2366</v>
      </c>
      <c r="F736" s="73" t="s">
        <v>2376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69">
        <v>45713.21603009259</v>
      </c>
      <c r="N736" s="69">
        <v>45715</v>
      </c>
      <c r="O736" s="69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2391</v>
      </c>
      <c r="B737" s="73" t="str">
        <f>IFERROR(VLOOKUP(Proc[[#This Row],[App]],Table2[],3,0),"open")</f>
        <v>ok</v>
      </c>
      <c r="C737" s="72" t="s">
        <v>369</v>
      </c>
      <c r="D737" t="s">
        <v>2387</v>
      </c>
      <c r="E737" t="s">
        <v>2388</v>
      </c>
      <c r="F737" s="73" t="s">
        <v>2389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69">
        <v>45713.21603009259</v>
      </c>
      <c r="N737" s="69">
        <v>45715</v>
      </c>
      <c r="O737" s="69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2391</v>
      </c>
      <c r="B738" s="73" t="str">
        <f>IFERROR(VLOOKUP(Proc[[#This Row],[App]],Table2[],3,0),"open")</f>
        <v>ok</v>
      </c>
      <c r="C738" s="72" t="s">
        <v>369</v>
      </c>
      <c r="D738" t="s">
        <v>2390</v>
      </c>
      <c r="E738" t="s">
        <v>2388</v>
      </c>
      <c r="F738" s="73" t="s">
        <v>2389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69">
        <v>45713.21603009259</v>
      </c>
      <c r="N738" s="69">
        <v>45715</v>
      </c>
      <c r="O738" s="69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2412</v>
      </c>
      <c r="B739" s="73" t="str">
        <f>IFERROR(VLOOKUP(Proc[[#This Row],[App]],Table2[],3,0),"open")</f>
        <v>ok</v>
      </c>
      <c r="C739" t="s">
        <v>369</v>
      </c>
      <c r="D739" t="s">
        <v>2392</v>
      </c>
      <c r="E739" t="s">
        <v>2393</v>
      </c>
      <c r="F739" s="73" t="s">
        <v>2413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69">
        <v>45713.460798611108</v>
      </c>
      <c r="N739" s="69">
        <v>45715</v>
      </c>
      <c r="O739" s="69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1004</v>
      </c>
      <c r="S739" s="73"/>
    </row>
    <row r="740" spans="1:19" hidden="1">
      <c r="A740" s="72" t="s">
        <v>2412</v>
      </c>
      <c r="B740" s="73" t="str">
        <f>IFERROR(VLOOKUP(Proc[[#This Row],[App]],Table2[],3,0),"open")</f>
        <v>ok</v>
      </c>
      <c r="C740" s="72" t="s">
        <v>369</v>
      </c>
      <c r="D740" t="s">
        <v>2394</v>
      </c>
      <c r="E740" t="s">
        <v>2393</v>
      </c>
      <c r="F740" s="73" t="s">
        <v>2413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69">
        <v>45713.460798611108</v>
      </c>
      <c r="N740" s="69">
        <v>45715</v>
      </c>
      <c r="O740" s="69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1004</v>
      </c>
      <c r="S740" s="73"/>
    </row>
    <row r="741" spans="1:19" hidden="1">
      <c r="A741" s="72" t="s">
        <v>2412</v>
      </c>
      <c r="B741" s="73" t="str">
        <f>IFERROR(VLOOKUP(Proc[[#This Row],[App]],Table2[],3,0),"open")</f>
        <v>ok</v>
      </c>
      <c r="C741" s="72" t="s">
        <v>369</v>
      </c>
      <c r="D741" t="s">
        <v>2394</v>
      </c>
      <c r="E741" t="s">
        <v>2393</v>
      </c>
      <c r="F741" s="73" t="s">
        <v>2413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69">
        <v>45713.460798611108</v>
      </c>
      <c r="N741" s="69">
        <v>45715</v>
      </c>
      <c r="O741" s="69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1004</v>
      </c>
      <c r="S741" s="73"/>
    </row>
    <row r="742" spans="1:19" hidden="1">
      <c r="A742" s="72" t="s">
        <v>2412</v>
      </c>
      <c r="B742" s="73" t="str">
        <f>IFERROR(VLOOKUP(Proc[[#This Row],[App]],Table2[],3,0),"open")</f>
        <v>ok</v>
      </c>
      <c r="C742" t="s">
        <v>369</v>
      </c>
      <c r="D742" t="s">
        <v>2395</v>
      </c>
      <c r="E742" t="s">
        <v>1286</v>
      </c>
      <c r="F742" s="73" t="s">
        <v>1088</v>
      </c>
      <c r="G742" s="72" t="s">
        <v>400</v>
      </c>
      <c r="H742" s="73" t="str">
        <f>IF(Proc[[#This Row],[type]]="LFF (MDG-F)",MID(Proc[[#This Row],[Obj]],13,10),"")</f>
        <v/>
      </c>
      <c r="I742" t="s">
        <v>1251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69">
        <v>45713.460798611108</v>
      </c>
      <c r="N742" s="69">
        <v>45715</v>
      </c>
      <c r="O742" s="69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1004</v>
      </c>
      <c r="S742" s="73"/>
    </row>
    <row r="743" spans="1:19" hidden="1">
      <c r="A743" s="72" t="s">
        <v>2412</v>
      </c>
      <c r="B743" s="73" t="str">
        <f>IFERROR(VLOOKUP(Proc[[#This Row],[App]],Table2[],3,0),"open")</f>
        <v>ok</v>
      </c>
      <c r="C743" s="72" t="s">
        <v>369</v>
      </c>
      <c r="D743" t="s">
        <v>2396</v>
      </c>
      <c r="E743" t="s">
        <v>1286</v>
      </c>
      <c r="F743" s="73" t="s">
        <v>1317</v>
      </c>
      <c r="G743" s="72" t="s">
        <v>400</v>
      </c>
      <c r="H743" s="73" t="str">
        <f>IF(Proc[[#This Row],[type]]="LFF (MDG-F)",MID(Proc[[#This Row],[Obj]],13,10),"")</f>
        <v/>
      </c>
      <c r="I743" s="72" t="s">
        <v>1251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69">
        <v>45713.460798611108</v>
      </c>
      <c r="N743" s="69">
        <v>45715</v>
      </c>
      <c r="O743" s="69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1004</v>
      </c>
      <c r="S743" s="73"/>
    </row>
    <row r="744" spans="1:19" hidden="1">
      <c r="A744" s="72" t="s">
        <v>2412</v>
      </c>
      <c r="B744" s="73" t="str">
        <f>IFERROR(VLOOKUP(Proc[[#This Row],[App]],Table2[],3,0),"open")</f>
        <v>ok</v>
      </c>
      <c r="C744" s="72" t="s">
        <v>369</v>
      </c>
      <c r="D744" t="s">
        <v>2397</v>
      </c>
      <c r="E744" t="s">
        <v>1286</v>
      </c>
      <c r="F744" s="73" t="s">
        <v>2414</v>
      </c>
      <c r="G744" s="72" t="s">
        <v>400</v>
      </c>
      <c r="H744" s="73" t="str">
        <f>IF(Proc[[#This Row],[type]]="LFF (MDG-F)",MID(Proc[[#This Row],[Obj]],13,10),"")</f>
        <v/>
      </c>
      <c r="I744" s="72" t="s">
        <v>1251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69">
        <v>45713.460798611108</v>
      </c>
      <c r="N744" s="69">
        <v>45715</v>
      </c>
      <c r="O744" s="69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1004</v>
      </c>
      <c r="S744" s="73"/>
    </row>
    <row r="745" spans="1:19" hidden="1">
      <c r="A745" s="72" t="s">
        <v>2412</v>
      </c>
      <c r="B745" s="73" t="str">
        <f>IFERROR(VLOOKUP(Proc[[#This Row],[App]],Table2[],3,0),"open")</f>
        <v>ok</v>
      </c>
      <c r="C745" t="s">
        <v>369</v>
      </c>
      <c r="D745" t="s">
        <v>2398</v>
      </c>
      <c r="E745" t="s">
        <v>2399</v>
      </c>
      <c r="F745" s="73" t="s">
        <v>1317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69">
        <v>45713.460798611108</v>
      </c>
      <c r="N745" s="69">
        <v>45715</v>
      </c>
      <c r="O745" s="69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1004</v>
      </c>
      <c r="S745" s="73"/>
    </row>
    <row r="746" spans="1:19" hidden="1">
      <c r="A746" s="72" t="s">
        <v>2412</v>
      </c>
      <c r="B746" s="73" t="str">
        <f>IFERROR(VLOOKUP(Proc[[#This Row],[App]],Table2[],3,0),"open")</f>
        <v>ok</v>
      </c>
      <c r="C746" s="72" t="s">
        <v>369</v>
      </c>
      <c r="D746" t="s">
        <v>2400</v>
      </c>
      <c r="E746" t="s">
        <v>2401</v>
      </c>
      <c r="F746" s="73" t="s">
        <v>2415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69">
        <v>45713.460798611108</v>
      </c>
      <c r="N746" s="69">
        <v>45715</v>
      </c>
      <c r="O746" s="69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1004</v>
      </c>
      <c r="S746" s="73"/>
    </row>
    <row r="747" spans="1:19" hidden="1">
      <c r="A747" s="72" t="s">
        <v>2412</v>
      </c>
      <c r="B747" s="73" t="str">
        <f>IFERROR(VLOOKUP(Proc[[#This Row],[App]],Table2[],3,0),"open")</f>
        <v>ok</v>
      </c>
      <c r="C747" s="72" t="s">
        <v>369</v>
      </c>
      <c r="D747" t="s">
        <v>2402</v>
      </c>
      <c r="E747" t="s">
        <v>680</v>
      </c>
      <c r="F747" s="73" t="s">
        <v>1317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69">
        <v>45713.460798611108</v>
      </c>
      <c r="N747" s="69">
        <v>45715</v>
      </c>
      <c r="O747" s="69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1004</v>
      </c>
      <c r="S747" s="73"/>
    </row>
    <row r="748" spans="1:19" hidden="1">
      <c r="A748" s="72" t="s">
        <v>2412</v>
      </c>
      <c r="B748" s="73" t="str">
        <f>IFERROR(VLOOKUP(Proc[[#This Row],[App]],Table2[],3,0),"open")</f>
        <v>ok</v>
      </c>
      <c r="C748" s="72" t="s">
        <v>369</v>
      </c>
      <c r="D748" t="s">
        <v>2403</v>
      </c>
      <c r="E748" t="s">
        <v>680</v>
      </c>
      <c r="F748" s="73" t="s">
        <v>2416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69">
        <v>45713.460798611108</v>
      </c>
      <c r="N748" s="69">
        <v>45715</v>
      </c>
      <c r="O748" s="69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1004</v>
      </c>
      <c r="S748" s="73"/>
    </row>
    <row r="749" spans="1:19" hidden="1">
      <c r="A749" s="72" t="s">
        <v>2412</v>
      </c>
      <c r="B749" s="73" t="str">
        <f>IFERROR(VLOOKUP(Proc[[#This Row],[App]],Table2[],3,0),"open")</f>
        <v>ok</v>
      </c>
      <c r="C749" s="72" t="s">
        <v>369</v>
      </c>
      <c r="D749" t="s">
        <v>2404</v>
      </c>
      <c r="E749" t="s">
        <v>680</v>
      </c>
      <c r="F749" s="73" t="s">
        <v>1317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69">
        <v>45713.460798611108</v>
      </c>
      <c r="N749" s="69">
        <v>45715</v>
      </c>
      <c r="O749" s="69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1004</v>
      </c>
      <c r="S749" s="73"/>
    </row>
    <row r="750" spans="1:19" hidden="1">
      <c r="A750" s="72" t="s">
        <v>2412</v>
      </c>
      <c r="B750" s="73" t="str">
        <f>IFERROR(VLOOKUP(Proc[[#This Row],[App]],Table2[],3,0),"open")</f>
        <v>ok</v>
      </c>
      <c r="C750" s="72" t="s">
        <v>369</v>
      </c>
      <c r="D750" t="s">
        <v>2405</v>
      </c>
      <c r="E750" t="s">
        <v>2406</v>
      </c>
      <c r="F750" s="73" t="s">
        <v>2417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69">
        <v>45713.460798611108</v>
      </c>
      <c r="N750" s="69">
        <v>45715</v>
      </c>
      <c r="O750" s="69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1004</v>
      </c>
      <c r="S750" s="73"/>
    </row>
    <row r="751" spans="1:19" hidden="1">
      <c r="A751" s="72" t="s">
        <v>2412</v>
      </c>
      <c r="B751" s="73" t="str">
        <f>IFERROR(VLOOKUP(Proc[[#This Row],[App]],Table2[],3,0),"open")</f>
        <v>ok</v>
      </c>
      <c r="C751" s="72" t="s">
        <v>369</v>
      </c>
      <c r="D751" t="s">
        <v>2407</v>
      </c>
      <c r="E751" t="s">
        <v>2408</v>
      </c>
      <c r="F751" s="73" t="s">
        <v>1317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69">
        <v>45713.460798611108</v>
      </c>
      <c r="N751" s="69">
        <v>45715</v>
      </c>
      <c r="O751" s="69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1004</v>
      </c>
      <c r="S751" s="73"/>
    </row>
    <row r="752" spans="1:19" hidden="1">
      <c r="A752" s="72" t="s">
        <v>2412</v>
      </c>
      <c r="B752" s="73" t="str">
        <f>IFERROR(VLOOKUP(Proc[[#This Row],[App]],Table2[],3,0),"open")</f>
        <v>ok</v>
      </c>
      <c r="C752" s="72" t="s">
        <v>369</v>
      </c>
      <c r="D752" t="s">
        <v>2409</v>
      </c>
      <c r="E752" t="s">
        <v>2408</v>
      </c>
      <c r="F752" s="73" t="s">
        <v>2418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69">
        <v>45713.460798611108</v>
      </c>
      <c r="N752" s="69">
        <v>45715</v>
      </c>
      <c r="O752" s="69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1004</v>
      </c>
      <c r="S752" s="73"/>
    </row>
    <row r="753" spans="1:19" hidden="1">
      <c r="A753" s="72" t="s">
        <v>2412</v>
      </c>
      <c r="B753" s="73" t="str">
        <f>IFERROR(VLOOKUP(Proc[[#This Row],[App]],Table2[],3,0),"open")</f>
        <v>ok</v>
      </c>
      <c r="C753" s="72" t="s">
        <v>369</v>
      </c>
      <c r="D753" t="s">
        <v>2410</v>
      </c>
      <c r="E753" t="s">
        <v>2411</v>
      </c>
      <c r="F753" s="73" t="s">
        <v>1317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69">
        <v>45713.460798611108</v>
      </c>
      <c r="N753" s="69">
        <v>45715</v>
      </c>
      <c r="O753" s="69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1004</v>
      </c>
      <c r="S753" s="73"/>
    </row>
    <row r="754" spans="1:19" hidden="1">
      <c r="A754" t="s">
        <v>2419</v>
      </c>
      <c r="B754" s="73" t="str">
        <f>IFERROR(VLOOKUP(Proc[[#This Row],[App]],Table2[],3,0),"open")</f>
        <v>ok</v>
      </c>
      <c r="C754" t="s">
        <v>369</v>
      </c>
      <c r="D754" t="s">
        <v>2420</v>
      </c>
      <c r="E754" t="s">
        <v>2421</v>
      </c>
      <c r="F754" s="73" t="s">
        <v>2413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69">
        <v>45714.601423611108</v>
      </c>
      <c r="N754" s="69">
        <v>45716</v>
      </c>
      <c r="O754" s="69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1004</v>
      </c>
      <c r="S754" s="73"/>
    </row>
    <row r="755" spans="1:19" hidden="1">
      <c r="A755" t="s">
        <v>2422</v>
      </c>
      <c r="B755" s="73" t="str">
        <f>IFERROR(VLOOKUP(Proc[[#This Row],[App]],Table2[],3,0),"open")</f>
        <v>ok</v>
      </c>
      <c r="C755" s="72" t="s">
        <v>369</v>
      </c>
      <c r="D755" t="s">
        <v>2438</v>
      </c>
      <c r="E755" t="s">
        <v>547</v>
      </c>
      <c r="F755" s="73" t="s">
        <v>1758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69">
        <v>45714.490324074075</v>
      </c>
      <c r="N755" s="69">
        <v>45716</v>
      </c>
      <c r="O755" s="69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1004</v>
      </c>
      <c r="S755" s="73"/>
    </row>
    <row r="756" spans="1:19" hidden="1">
      <c r="A756" s="72" t="s">
        <v>2422</v>
      </c>
      <c r="B756" s="73" t="str">
        <f>IFERROR(VLOOKUP(Proc[[#This Row],[App]],Table2[],3,0),"open")</f>
        <v>ok</v>
      </c>
      <c r="C756" s="72" t="s">
        <v>369</v>
      </c>
      <c r="D756" t="s">
        <v>2424</v>
      </c>
      <c r="E756" t="s">
        <v>2426</v>
      </c>
      <c r="F756" s="73" t="s">
        <v>2428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69">
        <v>45714.490324074075</v>
      </c>
      <c r="N756" s="69">
        <v>45716</v>
      </c>
      <c r="O756" s="69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1004</v>
      </c>
      <c r="S756" s="73"/>
    </row>
    <row r="757" spans="1:19" hidden="1">
      <c r="A757" s="72" t="s">
        <v>2422</v>
      </c>
      <c r="B757" s="73" t="str">
        <f>IFERROR(VLOOKUP(Proc[[#This Row],[App]],Table2[],3,0),"open")</f>
        <v>ok</v>
      </c>
      <c r="C757" s="72" t="s">
        <v>369</v>
      </c>
      <c r="D757" t="s">
        <v>2425</v>
      </c>
      <c r="E757" t="s">
        <v>2427</v>
      </c>
      <c r="F757" s="73" t="s">
        <v>2428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69">
        <v>45714.490324074075</v>
      </c>
      <c r="N757" s="69">
        <v>45716</v>
      </c>
      <c r="O757" s="69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1004</v>
      </c>
      <c r="S757" s="73"/>
    </row>
    <row r="758" spans="1:19" hidden="1">
      <c r="A758" s="72" t="s">
        <v>2422</v>
      </c>
      <c r="B758" s="73" t="str">
        <f>IFERROR(VLOOKUP(Proc[[#This Row],[App]],Table2[],3,0),"open")</f>
        <v>ok</v>
      </c>
      <c r="C758" s="72" t="s">
        <v>369</v>
      </c>
      <c r="D758" t="s">
        <v>2423</v>
      </c>
      <c r="E758" t="s">
        <v>2426</v>
      </c>
      <c r="F758" s="73" t="s">
        <v>2429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69">
        <v>45714.490324074075</v>
      </c>
      <c r="N758" s="69">
        <v>45716</v>
      </c>
      <c r="O758" s="69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1004</v>
      </c>
      <c r="S758" s="73"/>
    </row>
    <row r="759" spans="1:19" hidden="1">
      <c r="A759" t="s">
        <v>2433</v>
      </c>
      <c r="B759" s="73" t="str">
        <f>IFERROR(VLOOKUP(Proc[[#This Row],[App]],Table2[],3,0),"open")</f>
        <v>ok</v>
      </c>
      <c r="C759" s="72" t="s">
        <v>369</v>
      </c>
      <c r="D759" s="72" t="s">
        <v>2430</v>
      </c>
      <c r="E759" t="s">
        <v>2431</v>
      </c>
      <c r="F759" s="73" t="s">
        <v>2432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69">
        <v>45714.355810185189</v>
      </c>
      <c r="N759" s="69">
        <v>45716</v>
      </c>
      <c r="O759" s="69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2434</v>
      </c>
      <c r="B760" s="73" t="str">
        <f>IFERROR(VLOOKUP(Proc[[#This Row],[App]],Table2[],3,0),"open")</f>
        <v>ok</v>
      </c>
      <c r="C760" s="72" t="s">
        <v>369</v>
      </c>
      <c r="D760" t="s">
        <v>2435</v>
      </c>
      <c r="E760" t="s">
        <v>2437</v>
      </c>
      <c r="F760" s="73" t="s">
        <v>2436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69">
        <v>45714.387881944444</v>
      </c>
      <c r="N760" s="69">
        <v>45716</v>
      </c>
      <c r="O760" s="69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1113</v>
      </c>
      <c r="S760" s="73"/>
    </row>
    <row r="761" spans="1:19" hidden="1">
      <c r="A761" t="s">
        <v>2442</v>
      </c>
      <c r="B761" s="73" t="str">
        <f>IFERROR(VLOOKUP(Proc[[#This Row],[App]],Table2[],3,0),"open")</f>
        <v>ok</v>
      </c>
      <c r="C761" s="72" t="s">
        <v>369</v>
      </c>
      <c r="D761" t="s">
        <v>2439</v>
      </c>
      <c r="E761" t="s">
        <v>414</v>
      </c>
      <c r="F761" s="73" t="s">
        <v>2441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69">
        <v>45715.634722222225</v>
      </c>
      <c r="N761" s="69">
        <v>45716</v>
      </c>
      <c r="O761" s="69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2442</v>
      </c>
      <c r="B762" s="73" t="str">
        <f>IFERROR(VLOOKUP(Proc[[#This Row],[App]],Table2[],3,0),"open")</f>
        <v>ok</v>
      </c>
      <c r="C762" s="72" t="s">
        <v>369</v>
      </c>
      <c r="D762" t="s">
        <v>2440</v>
      </c>
      <c r="E762" t="s">
        <v>414</v>
      </c>
      <c r="F762" s="73" t="s">
        <v>2441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69">
        <v>45715.634722222225</v>
      </c>
      <c r="N762" s="69">
        <v>45716</v>
      </c>
      <c r="O762" s="69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2443</v>
      </c>
      <c r="B763" s="73" t="str">
        <f>IFERROR(VLOOKUP(Proc[[#This Row],[App]],Table2[],3,0),"open")</f>
        <v>ok</v>
      </c>
      <c r="C763" t="s">
        <v>369</v>
      </c>
      <c r="D763" t="s">
        <v>2444</v>
      </c>
      <c r="E763" t="s">
        <v>2446</v>
      </c>
      <c r="F763" s="73" t="s">
        <v>2445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69">
        <v>45715.620972222219</v>
      </c>
      <c r="N763" s="69">
        <v>45719</v>
      </c>
      <c r="O763" s="69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1113</v>
      </c>
      <c r="S763" s="73"/>
    </row>
    <row r="764" spans="1:19" hidden="1">
      <c r="A764" t="s">
        <v>2471</v>
      </c>
      <c r="B764" s="73" t="str">
        <f>IFERROR(VLOOKUP(Proc[[#This Row],[App]],Table2[],3,0),"open")</f>
        <v>ok</v>
      </c>
      <c r="C764" t="s">
        <v>369</v>
      </c>
      <c r="D764" t="s">
        <v>2448</v>
      </c>
      <c r="E764" t="s">
        <v>2449</v>
      </c>
      <c r="F764" s="73" t="s">
        <v>2472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69">
        <v>45716.734988425924</v>
      </c>
      <c r="N764" s="69">
        <v>45721</v>
      </c>
      <c r="O764" s="69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1045</v>
      </c>
      <c r="S764" s="73"/>
    </row>
    <row r="765" spans="1:19" hidden="1">
      <c r="A765" s="72" t="s">
        <v>2471</v>
      </c>
      <c r="B765" s="73" t="str">
        <f>IFERROR(VLOOKUP(Proc[[#This Row],[App]],Table2[],3,0),"open")</f>
        <v>ok</v>
      </c>
      <c r="C765" s="72" t="s">
        <v>369</v>
      </c>
      <c r="D765" t="s">
        <v>2450</v>
      </c>
      <c r="E765" t="s">
        <v>2451</v>
      </c>
      <c r="F765" s="73" t="s">
        <v>2473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69">
        <v>45716.734988425924</v>
      </c>
      <c r="N765" s="69">
        <v>45721</v>
      </c>
      <c r="O765" s="69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1045</v>
      </c>
      <c r="S765" s="73"/>
    </row>
    <row r="766" spans="1:19" hidden="1">
      <c r="A766" s="72" t="s">
        <v>2471</v>
      </c>
      <c r="B766" s="73" t="str">
        <f>IFERROR(VLOOKUP(Proc[[#This Row],[App]],Table2[],3,0),"open")</f>
        <v>ok</v>
      </c>
      <c r="C766" s="72" t="s">
        <v>369</v>
      </c>
      <c r="D766" t="s">
        <v>2452</v>
      </c>
      <c r="E766" t="s">
        <v>2451</v>
      </c>
      <c r="F766" s="73" t="s">
        <v>2473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69">
        <v>45716.734988425924</v>
      </c>
      <c r="N766" s="69">
        <v>45721</v>
      </c>
      <c r="O766" s="69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1045</v>
      </c>
      <c r="S766" s="73"/>
    </row>
    <row r="767" spans="1:19" hidden="1">
      <c r="A767" s="72" t="s">
        <v>2471</v>
      </c>
      <c r="B767" s="73" t="str">
        <f>IFERROR(VLOOKUP(Proc[[#This Row],[App]],Table2[],3,0),"open")</f>
        <v>ok</v>
      </c>
      <c r="C767" s="72" t="s">
        <v>369</v>
      </c>
      <c r="D767" t="s">
        <v>2453</v>
      </c>
      <c r="E767" t="s">
        <v>2451</v>
      </c>
      <c r="F767" s="73" t="s">
        <v>2473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69">
        <v>45716.734988425924</v>
      </c>
      <c r="N767" s="69">
        <v>45721</v>
      </c>
      <c r="O767" s="69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1045</v>
      </c>
      <c r="S767" s="73"/>
    </row>
    <row r="768" spans="1:19" hidden="1">
      <c r="A768" s="72" t="s">
        <v>2471</v>
      </c>
      <c r="B768" s="73" t="str">
        <f>IFERROR(VLOOKUP(Proc[[#This Row],[App]],Table2[],3,0),"open")</f>
        <v>ok</v>
      </c>
      <c r="C768" s="72" t="s">
        <v>369</v>
      </c>
      <c r="D768" t="s">
        <v>2454</v>
      </c>
      <c r="E768" t="s">
        <v>2451</v>
      </c>
      <c r="F768" s="73" t="s">
        <v>2473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69">
        <v>45716.734988425924</v>
      </c>
      <c r="N768" s="69">
        <v>45721</v>
      </c>
      <c r="O768" s="69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1045</v>
      </c>
      <c r="S768" s="73"/>
    </row>
    <row r="769" spans="1:19" hidden="1">
      <c r="A769" s="72" t="s">
        <v>2471</v>
      </c>
      <c r="B769" s="73" t="str">
        <f>IFERROR(VLOOKUP(Proc[[#This Row],[App]],Table2[],3,0),"open")</f>
        <v>ok</v>
      </c>
      <c r="C769" s="72" t="s">
        <v>369</v>
      </c>
      <c r="D769" t="s">
        <v>2455</v>
      </c>
      <c r="E769" t="s">
        <v>2451</v>
      </c>
      <c r="F769" s="73" t="s">
        <v>2473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69">
        <v>45716.734988425924</v>
      </c>
      <c r="N769" s="69">
        <v>45721</v>
      </c>
      <c r="O769" s="69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1045</v>
      </c>
      <c r="S769" s="73"/>
    </row>
    <row r="770" spans="1:19" hidden="1">
      <c r="A770" s="72" t="s">
        <v>2471</v>
      </c>
      <c r="B770" s="73" t="str">
        <f>IFERROR(VLOOKUP(Proc[[#This Row],[App]],Table2[],3,0),"open")</f>
        <v>ok</v>
      </c>
      <c r="C770" s="72" t="s">
        <v>369</v>
      </c>
      <c r="D770" t="s">
        <v>2456</v>
      </c>
      <c r="E770" t="s">
        <v>2451</v>
      </c>
      <c r="F770" s="73" t="s">
        <v>2473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69">
        <v>45716.734988425924</v>
      </c>
      <c r="N770" s="69">
        <v>45721</v>
      </c>
      <c r="O770" s="69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1045</v>
      </c>
      <c r="S770" s="73"/>
    </row>
    <row r="771" spans="1:19" hidden="1">
      <c r="A771" s="72" t="s">
        <v>2471</v>
      </c>
      <c r="B771" s="73" t="str">
        <f>IFERROR(VLOOKUP(Proc[[#This Row],[App]],Table2[],3,0),"open")</f>
        <v>ok</v>
      </c>
      <c r="C771" s="72" t="s">
        <v>369</v>
      </c>
      <c r="D771" t="s">
        <v>2457</v>
      </c>
      <c r="E771" t="s">
        <v>2451</v>
      </c>
      <c r="F771" s="73" t="s">
        <v>2473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69">
        <v>45716.734988425924</v>
      </c>
      <c r="N771" s="69">
        <v>45721</v>
      </c>
      <c r="O771" s="69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1045</v>
      </c>
      <c r="S771" s="73"/>
    </row>
    <row r="772" spans="1:19" hidden="1">
      <c r="A772" s="72" t="s">
        <v>2471</v>
      </c>
      <c r="B772" s="73" t="str">
        <f>IFERROR(VLOOKUP(Proc[[#This Row],[App]],Table2[],3,0),"open")</f>
        <v>ok</v>
      </c>
      <c r="C772" s="72" t="s">
        <v>369</v>
      </c>
      <c r="D772" t="s">
        <v>2458</v>
      </c>
      <c r="E772" t="s">
        <v>2451</v>
      </c>
      <c r="F772" s="73" t="s">
        <v>2473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69">
        <v>45716.734988425924</v>
      </c>
      <c r="N772" s="69">
        <v>45721</v>
      </c>
      <c r="O772" s="69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1045</v>
      </c>
      <c r="S772" s="73"/>
    </row>
    <row r="773" spans="1:19" hidden="1">
      <c r="A773" s="72" t="s">
        <v>2471</v>
      </c>
      <c r="B773" s="73" t="str">
        <f>IFERROR(VLOOKUP(Proc[[#This Row],[App]],Table2[],3,0),"open")</f>
        <v>ok</v>
      </c>
      <c r="C773" s="72" t="s">
        <v>369</v>
      </c>
      <c r="D773" t="s">
        <v>2459</v>
      </c>
      <c r="E773" t="s">
        <v>2451</v>
      </c>
      <c r="F773" s="73" t="s">
        <v>2473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69">
        <v>45716.734988425924</v>
      </c>
      <c r="N773" s="69">
        <v>45721</v>
      </c>
      <c r="O773" s="69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1045</v>
      </c>
      <c r="S773" s="73"/>
    </row>
    <row r="774" spans="1:19" hidden="1">
      <c r="A774" s="72" t="s">
        <v>2471</v>
      </c>
      <c r="B774" s="73" t="str">
        <f>IFERROR(VLOOKUP(Proc[[#This Row],[App]],Table2[],3,0),"open")</f>
        <v>ok</v>
      </c>
      <c r="C774" s="72" t="s">
        <v>369</v>
      </c>
      <c r="D774" t="s">
        <v>2460</v>
      </c>
      <c r="E774" t="s">
        <v>2451</v>
      </c>
      <c r="F774" s="73" t="s">
        <v>2473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69">
        <v>45716.734988425924</v>
      </c>
      <c r="N774" s="69">
        <v>45721</v>
      </c>
      <c r="O774" s="69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1045</v>
      </c>
      <c r="S774" s="73"/>
    </row>
    <row r="775" spans="1:19" hidden="1">
      <c r="A775" s="72" t="s">
        <v>2471</v>
      </c>
      <c r="B775" s="73" t="str">
        <f>IFERROR(VLOOKUP(Proc[[#This Row],[App]],Table2[],3,0),"open")</f>
        <v>ok</v>
      </c>
      <c r="C775" s="72" t="s">
        <v>369</v>
      </c>
      <c r="D775" t="s">
        <v>2461</v>
      </c>
      <c r="E775" t="s">
        <v>2451</v>
      </c>
      <c r="F775" s="73" t="s">
        <v>2473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69">
        <v>45716.734988425924</v>
      </c>
      <c r="N775" s="69">
        <v>45721</v>
      </c>
      <c r="O775" s="69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1045</v>
      </c>
      <c r="S775" s="73"/>
    </row>
    <row r="776" spans="1:19" hidden="1">
      <c r="A776" s="72" t="s">
        <v>2471</v>
      </c>
      <c r="B776" s="73" t="str">
        <f>IFERROR(VLOOKUP(Proc[[#This Row],[App]],Table2[],3,0),"open")</f>
        <v>ok</v>
      </c>
      <c r="C776" s="72" t="s">
        <v>369</v>
      </c>
      <c r="D776" t="s">
        <v>2462</v>
      </c>
      <c r="E776" t="s">
        <v>2451</v>
      </c>
      <c r="F776" s="73" t="s">
        <v>2473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69">
        <v>45716.734988425924</v>
      </c>
      <c r="N776" s="69">
        <v>45721</v>
      </c>
      <c r="O776" s="69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1045</v>
      </c>
      <c r="S776" s="73"/>
    </row>
    <row r="777" spans="1:19" hidden="1">
      <c r="A777" s="72" t="s">
        <v>2471</v>
      </c>
      <c r="B777" s="73" t="str">
        <f>IFERROR(VLOOKUP(Proc[[#This Row],[App]],Table2[],3,0),"open")</f>
        <v>ok</v>
      </c>
      <c r="C777" s="72" t="s">
        <v>369</v>
      </c>
      <c r="D777" t="s">
        <v>2463</v>
      </c>
      <c r="E777" t="s">
        <v>2451</v>
      </c>
      <c r="F777" s="73" t="s">
        <v>2473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69">
        <v>45716.734988425924</v>
      </c>
      <c r="N777" s="69">
        <v>45721</v>
      </c>
      <c r="O777" s="69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1045</v>
      </c>
      <c r="S777" s="73"/>
    </row>
    <row r="778" spans="1:19" hidden="1">
      <c r="A778" s="72" t="s">
        <v>2471</v>
      </c>
      <c r="B778" s="73" t="str">
        <f>IFERROR(VLOOKUP(Proc[[#This Row],[App]],Table2[],3,0),"open")</f>
        <v>ok</v>
      </c>
      <c r="C778" s="72" t="s">
        <v>369</v>
      </c>
      <c r="D778" t="s">
        <v>2464</v>
      </c>
      <c r="E778" t="s">
        <v>2451</v>
      </c>
      <c r="F778" s="73" t="s">
        <v>2473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69">
        <v>45716.734988425924</v>
      </c>
      <c r="N778" s="69">
        <v>45721</v>
      </c>
      <c r="O778" s="69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1045</v>
      </c>
      <c r="S778" s="73"/>
    </row>
    <row r="779" spans="1:19" hidden="1">
      <c r="A779" s="72" t="s">
        <v>2471</v>
      </c>
      <c r="B779" s="73" t="str">
        <f>IFERROR(VLOOKUP(Proc[[#This Row],[App]],Table2[],3,0),"open")</f>
        <v>ok</v>
      </c>
      <c r="C779" s="72" t="s">
        <v>369</v>
      </c>
      <c r="D779" t="s">
        <v>2465</v>
      </c>
      <c r="E779" t="s">
        <v>2451</v>
      </c>
      <c r="F779" s="73" t="s">
        <v>2473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69">
        <v>45716.734988425924</v>
      </c>
      <c r="N779" s="69">
        <v>45721</v>
      </c>
      <c r="O779" s="69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1045</v>
      </c>
      <c r="S779" s="73"/>
    </row>
    <row r="780" spans="1:19" hidden="1">
      <c r="A780" s="72" t="s">
        <v>2471</v>
      </c>
      <c r="B780" s="73" t="str">
        <f>IFERROR(VLOOKUP(Proc[[#This Row],[App]],Table2[],3,0),"open")</f>
        <v>ok</v>
      </c>
      <c r="C780" s="72" t="s">
        <v>369</v>
      </c>
      <c r="D780" t="s">
        <v>2466</v>
      </c>
      <c r="E780" t="s">
        <v>2451</v>
      </c>
      <c r="F780" s="73" t="s">
        <v>2473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69">
        <v>45716.734988425924</v>
      </c>
      <c r="N780" s="69">
        <v>45721</v>
      </c>
      <c r="O780" s="69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1045</v>
      </c>
      <c r="S780" s="73"/>
    </row>
    <row r="781" spans="1:19" hidden="1">
      <c r="A781" s="72" t="s">
        <v>2471</v>
      </c>
      <c r="B781" s="73" t="str">
        <f>IFERROR(VLOOKUP(Proc[[#This Row],[App]],Table2[],3,0),"open")</f>
        <v>ok</v>
      </c>
      <c r="C781" s="72" t="s">
        <v>369</v>
      </c>
      <c r="D781" t="s">
        <v>2307</v>
      </c>
      <c r="E781" t="s">
        <v>2449</v>
      </c>
      <c r="F781" s="73" t="s">
        <v>2301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69">
        <v>45716.734988425924</v>
      </c>
      <c r="N781" s="69">
        <v>45721</v>
      </c>
      <c r="O781" s="69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1045</v>
      </c>
      <c r="S781" s="73"/>
    </row>
    <row r="782" spans="1:19" hidden="1">
      <c r="A782" s="72" t="s">
        <v>2471</v>
      </c>
      <c r="B782" s="73" t="str">
        <f>IFERROR(VLOOKUP(Proc[[#This Row],[App]],Table2[],3,0),"open")</f>
        <v>ok</v>
      </c>
      <c r="C782" s="72" t="s">
        <v>369</v>
      </c>
      <c r="D782" t="s">
        <v>2467</v>
      </c>
      <c r="E782" t="s">
        <v>2451</v>
      </c>
      <c r="F782" s="73" t="s">
        <v>2474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69">
        <v>45716.734988425924</v>
      </c>
      <c r="N782" s="69">
        <v>45721</v>
      </c>
      <c r="O782" s="69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1045</v>
      </c>
      <c r="S782" s="73"/>
    </row>
    <row r="783" spans="1:19" hidden="1">
      <c r="A783" s="72" t="s">
        <v>2471</v>
      </c>
      <c r="B783" s="73" t="str">
        <f>IFERROR(VLOOKUP(Proc[[#This Row],[App]],Table2[],3,0),"open")</f>
        <v>ok</v>
      </c>
      <c r="C783" s="72" t="s">
        <v>369</v>
      </c>
      <c r="D783" t="s">
        <v>2468</v>
      </c>
      <c r="E783" t="s">
        <v>2451</v>
      </c>
      <c r="F783" s="73" t="s">
        <v>2475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69">
        <v>45716.734988425924</v>
      </c>
      <c r="N783" s="69">
        <v>45721</v>
      </c>
      <c r="O783" s="69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1045</v>
      </c>
      <c r="S783" s="73"/>
    </row>
    <row r="784" spans="1:19" hidden="1">
      <c r="A784" s="72" t="s">
        <v>2471</v>
      </c>
      <c r="B784" s="73" t="str">
        <f>IFERROR(VLOOKUP(Proc[[#This Row],[App]],Table2[],3,0),"open")</f>
        <v>ok</v>
      </c>
      <c r="C784" s="72" t="s">
        <v>369</v>
      </c>
      <c r="D784" t="s">
        <v>2469</v>
      </c>
      <c r="E784" t="s">
        <v>2451</v>
      </c>
      <c r="F784" s="73" t="s">
        <v>2476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69">
        <v>45716.734988425924</v>
      </c>
      <c r="N784" s="69">
        <v>45721</v>
      </c>
      <c r="O784" s="69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1045</v>
      </c>
      <c r="S784" s="73"/>
    </row>
    <row r="785" spans="1:19" hidden="1">
      <c r="A785" s="72" t="s">
        <v>2471</v>
      </c>
      <c r="B785" s="73" t="str">
        <f>IFERROR(VLOOKUP(Proc[[#This Row],[App]],Table2[],3,0),"open")</f>
        <v>ok</v>
      </c>
      <c r="C785" s="72" t="s">
        <v>369</v>
      </c>
      <c r="D785" t="s">
        <v>2470</v>
      </c>
      <c r="E785" t="s">
        <v>2451</v>
      </c>
      <c r="F785" s="73" t="s">
        <v>2477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69">
        <v>45716.734988425924</v>
      </c>
      <c r="N785" s="69">
        <v>45721</v>
      </c>
      <c r="O785" s="69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1045</v>
      </c>
      <c r="S785" s="73"/>
    </row>
    <row r="786" spans="1:19" hidden="1">
      <c r="A786" t="s">
        <v>2504</v>
      </c>
      <c r="B786" s="73" t="str">
        <f>IFERROR(VLOOKUP(Proc[[#This Row],[App]],Table2[],3,0),"open")</f>
        <v>ok</v>
      </c>
      <c r="C786" s="72" t="s">
        <v>369</v>
      </c>
      <c r="D786" t="s">
        <v>2478</v>
      </c>
      <c r="E786" t="s">
        <v>2479</v>
      </c>
      <c r="F786" s="73" t="s">
        <v>990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69">
        <v>45716.548854166664</v>
      </c>
      <c r="N786" s="69">
        <v>45721</v>
      </c>
      <c r="O786" s="69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1045</v>
      </c>
      <c r="S786" s="73"/>
    </row>
    <row r="787" spans="1:19" hidden="1">
      <c r="A787" s="72" t="s">
        <v>2504</v>
      </c>
      <c r="B787" s="73" t="str">
        <f>IFERROR(VLOOKUP(Proc[[#This Row],[App]],Table2[],3,0),"open")</f>
        <v>ok</v>
      </c>
      <c r="C787" s="72" t="s">
        <v>369</v>
      </c>
      <c r="D787" t="s">
        <v>2480</v>
      </c>
      <c r="E787" t="s">
        <v>2481</v>
      </c>
      <c r="F787" s="73" t="s">
        <v>2482</v>
      </c>
      <c r="G787" s="72" t="s">
        <v>400</v>
      </c>
      <c r="H787" s="73" t="str">
        <f>IF(Proc[[#This Row],[type]]="LFF (MDG-F)",MID(Proc[[#This Row],[Obj]],13,10),"")</f>
        <v/>
      </c>
      <c r="I787" t="s">
        <v>2528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69">
        <v>45716.548854166664</v>
      </c>
      <c r="N787" s="69">
        <v>45721</v>
      </c>
      <c r="O787" s="69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1045</v>
      </c>
      <c r="S787" s="73"/>
    </row>
    <row r="788" spans="1:19" hidden="1">
      <c r="A788" s="72" t="s">
        <v>2504</v>
      </c>
      <c r="B788" s="73" t="str">
        <f>IFERROR(VLOOKUP(Proc[[#This Row],[App]],Table2[],3,0),"open")</f>
        <v>ok</v>
      </c>
      <c r="C788" s="72" t="s">
        <v>369</v>
      </c>
      <c r="D788" t="s">
        <v>2483</v>
      </c>
      <c r="E788" t="s">
        <v>2484</v>
      </c>
      <c r="F788" s="73" t="s">
        <v>2485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69">
        <v>45716.548854166664</v>
      </c>
      <c r="N788" s="69">
        <v>45721</v>
      </c>
      <c r="O788" s="69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1045</v>
      </c>
      <c r="S788" s="73"/>
    </row>
    <row r="789" spans="1:19" hidden="1">
      <c r="A789" s="72" t="s">
        <v>2504</v>
      </c>
      <c r="B789" s="73" t="str">
        <f>IFERROR(VLOOKUP(Proc[[#This Row],[App]],Table2[],3,0),"open")</f>
        <v>ok</v>
      </c>
      <c r="C789" s="72" t="s">
        <v>369</v>
      </c>
      <c r="D789" t="s">
        <v>2486</v>
      </c>
      <c r="E789" t="s">
        <v>2484</v>
      </c>
      <c r="F789" s="73" t="s">
        <v>2487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69">
        <v>45716.548854166664</v>
      </c>
      <c r="N789" s="69">
        <v>45721</v>
      </c>
      <c r="O789" s="69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1045</v>
      </c>
      <c r="S789" s="73"/>
    </row>
    <row r="790" spans="1:19" hidden="1">
      <c r="A790" s="72" t="s">
        <v>2504</v>
      </c>
      <c r="B790" s="73" t="str">
        <f>IFERROR(VLOOKUP(Proc[[#This Row],[App]],Table2[],3,0),"open")</f>
        <v>ok</v>
      </c>
      <c r="C790" s="72" t="s">
        <v>369</v>
      </c>
      <c r="D790" t="s">
        <v>2488</v>
      </c>
      <c r="E790" t="s">
        <v>2484</v>
      </c>
      <c r="F790" s="73" t="s">
        <v>2489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69">
        <v>45716.548854166664</v>
      </c>
      <c r="N790" s="69">
        <v>45721</v>
      </c>
      <c r="O790" s="69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1045</v>
      </c>
      <c r="S790" s="73"/>
    </row>
    <row r="791" spans="1:19" hidden="1">
      <c r="A791" s="72" t="s">
        <v>2504</v>
      </c>
      <c r="B791" s="73" t="str">
        <f>IFERROR(VLOOKUP(Proc[[#This Row],[App]],Table2[],3,0),"open")</f>
        <v>ok</v>
      </c>
      <c r="C791" s="72" t="s">
        <v>369</v>
      </c>
      <c r="D791" t="s">
        <v>2490</v>
      </c>
      <c r="E791" t="s">
        <v>2484</v>
      </c>
      <c r="F791" s="73" t="s">
        <v>2491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69">
        <v>45716.548854166664</v>
      </c>
      <c r="N791" s="69">
        <v>45721</v>
      </c>
      <c r="O791" s="69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1045</v>
      </c>
      <c r="S791" s="73"/>
    </row>
    <row r="792" spans="1:19" hidden="1">
      <c r="A792" s="72" t="s">
        <v>2504</v>
      </c>
      <c r="B792" s="73" t="str">
        <f>IFERROR(VLOOKUP(Proc[[#This Row],[App]],Table2[],3,0),"open")</f>
        <v>ok</v>
      </c>
      <c r="C792" s="72" t="s">
        <v>369</v>
      </c>
      <c r="D792" t="s">
        <v>2492</v>
      </c>
      <c r="E792" t="s">
        <v>2493</v>
      </c>
      <c r="F792" s="73" t="s">
        <v>2494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69">
        <v>45716.548854166664</v>
      </c>
      <c r="N792" s="69">
        <v>45721</v>
      </c>
      <c r="O792" s="69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1045</v>
      </c>
      <c r="S792" s="73"/>
    </row>
    <row r="793" spans="1:19" hidden="1">
      <c r="A793" s="72" t="s">
        <v>2504</v>
      </c>
      <c r="B793" s="73" t="str">
        <f>IFERROR(VLOOKUP(Proc[[#This Row],[App]],Table2[],3,0),"open")</f>
        <v>ok</v>
      </c>
      <c r="C793" s="72" t="s">
        <v>369</v>
      </c>
      <c r="D793" t="s">
        <v>2495</v>
      </c>
      <c r="E793" t="s">
        <v>2496</v>
      </c>
      <c r="F793" s="73" t="s">
        <v>2497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69">
        <v>45716.548854166664</v>
      </c>
      <c r="N793" s="69">
        <v>45721</v>
      </c>
      <c r="O793" s="69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1045</v>
      </c>
      <c r="S793" s="73"/>
    </row>
    <row r="794" spans="1:19" hidden="1">
      <c r="A794" s="72" t="s">
        <v>2504</v>
      </c>
      <c r="B794" s="73" t="str">
        <f>IFERROR(VLOOKUP(Proc[[#This Row],[App]],Table2[],3,0),"open")</f>
        <v>ok</v>
      </c>
      <c r="C794" s="72" t="s">
        <v>369</v>
      </c>
      <c r="D794" t="s">
        <v>2498</v>
      </c>
      <c r="E794" t="s">
        <v>2481</v>
      </c>
      <c r="F794" s="73" t="s">
        <v>2499</v>
      </c>
      <c r="G794" s="72" t="s">
        <v>400</v>
      </c>
      <c r="H794" s="73" t="str">
        <f>IF(Proc[[#This Row],[type]]="LFF (MDG-F)",MID(Proc[[#This Row],[Obj]],13,10),"")</f>
        <v/>
      </c>
      <c r="I794" s="72" t="s">
        <v>2528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69">
        <v>45716.548854166664</v>
      </c>
      <c r="N794" s="69">
        <v>45721</v>
      </c>
      <c r="O794" s="69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1045</v>
      </c>
      <c r="S794" s="73"/>
    </row>
    <row r="795" spans="1:19" hidden="1">
      <c r="A795" s="72" t="s">
        <v>2504</v>
      </c>
      <c r="B795" s="73" t="str">
        <f>IFERROR(VLOOKUP(Proc[[#This Row],[App]],Table2[],3,0),"open")</f>
        <v>ok</v>
      </c>
      <c r="C795" s="72" t="s">
        <v>369</v>
      </c>
      <c r="D795" t="s">
        <v>2500</v>
      </c>
      <c r="E795" t="s">
        <v>2484</v>
      </c>
      <c r="F795" s="73" t="s">
        <v>2501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69">
        <v>45716.548854166664</v>
      </c>
      <c r="N795" s="69">
        <v>45721</v>
      </c>
      <c r="O795" s="69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1045</v>
      </c>
      <c r="S795" s="73"/>
    </row>
    <row r="796" spans="1:19" hidden="1">
      <c r="A796" s="72" t="s">
        <v>2504</v>
      </c>
      <c r="B796" s="73" t="str">
        <f>IFERROR(VLOOKUP(Proc[[#This Row],[App]],Table2[],3,0),"open")</f>
        <v>ok</v>
      </c>
      <c r="C796" s="72" t="s">
        <v>369</v>
      </c>
      <c r="D796" t="s">
        <v>2502</v>
      </c>
      <c r="E796" t="s">
        <v>2484</v>
      </c>
      <c r="F796" s="73" t="s">
        <v>2503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69">
        <v>45716.548854166664</v>
      </c>
      <c r="N796" s="69">
        <v>45721</v>
      </c>
      <c r="O796" s="69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1045</v>
      </c>
      <c r="S796" s="73"/>
    </row>
    <row r="797" spans="1:19" hidden="1">
      <c r="A797" t="s">
        <v>2507</v>
      </c>
      <c r="B797" s="73" t="str">
        <f>IFERROR(VLOOKUP(Proc[[#This Row],[App]],Table2[],3,0),"open")</f>
        <v>ok</v>
      </c>
      <c r="C797" s="72" t="s">
        <v>369</v>
      </c>
      <c r="D797" t="s">
        <v>2505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69">
        <v>45716.515300925923</v>
      </c>
      <c r="N797" s="69">
        <v>45721</v>
      </c>
      <c r="O797" s="69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2506</v>
      </c>
      <c r="S797" s="73"/>
    </row>
    <row r="798" spans="1:19" hidden="1">
      <c r="A798" t="s">
        <v>2509</v>
      </c>
      <c r="B798" s="73" t="str">
        <f>IFERROR(VLOOKUP(Proc[[#This Row],[App]],Table2[],3,0),"open")</f>
        <v>ok</v>
      </c>
      <c r="C798" s="72" t="s">
        <v>369</v>
      </c>
      <c r="D798" t="s">
        <v>1851</v>
      </c>
      <c r="E798" t="s">
        <v>513</v>
      </c>
      <c r="F798" s="73" t="s">
        <v>1852</v>
      </c>
      <c r="G798" s="72" t="s">
        <v>400</v>
      </c>
      <c r="H798" s="73" t="str">
        <f>IF(Proc[[#This Row],[type]]="LFF (MDG-F)",MID(Proc[[#This Row],[Obj]],13,10),"")</f>
        <v/>
      </c>
      <c r="I798" t="s">
        <v>1251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69">
        <v>45716.407511574071</v>
      </c>
      <c r="N798" s="69">
        <v>45721</v>
      </c>
      <c r="O798" s="69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2509</v>
      </c>
      <c r="B799" s="73" t="str">
        <f>IFERROR(VLOOKUP(Proc[[#This Row],[App]],Table2[],3,0),"open")</f>
        <v>ok</v>
      </c>
      <c r="C799" s="72" t="s">
        <v>369</v>
      </c>
      <c r="D799" t="s">
        <v>2508</v>
      </c>
      <c r="E799" t="s">
        <v>2510</v>
      </c>
      <c r="F799" s="73" t="s">
        <v>2511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69">
        <v>45716.407511574071</v>
      </c>
      <c r="N799" s="69">
        <v>45721</v>
      </c>
      <c r="O799" s="69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2527</v>
      </c>
      <c r="B800" s="73" t="str">
        <f>IFERROR(VLOOKUP(Proc[[#This Row],[App]],Table2[],3,0),"open")</f>
        <v>ok</v>
      </c>
      <c r="C800" s="72" t="s">
        <v>369</v>
      </c>
      <c r="D800" t="s">
        <v>2512</v>
      </c>
      <c r="E800" t="s">
        <v>2513</v>
      </c>
      <c r="F800" s="73" t="s">
        <v>2514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69">
        <v>45716.405740740738</v>
      </c>
      <c r="N800" s="69">
        <v>45721</v>
      </c>
      <c r="O800" s="69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2527</v>
      </c>
      <c r="B801" s="73" t="str">
        <f>IFERROR(VLOOKUP(Proc[[#This Row],[App]],Table2[],3,0),"open")</f>
        <v>ok</v>
      </c>
      <c r="C801" s="72" t="s">
        <v>369</v>
      </c>
      <c r="D801" t="s">
        <v>2515</v>
      </c>
      <c r="E801" t="s">
        <v>2513</v>
      </c>
      <c r="F801" s="73" t="s">
        <v>2514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69">
        <v>45716.405740740738</v>
      </c>
      <c r="N801" s="69">
        <v>45721</v>
      </c>
      <c r="O801" s="69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2527</v>
      </c>
      <c r="B802" s="73" t="str">
        <f>IFERROR(VLOOKUP(Proc[[#This Row],[App]],Table2[],3,0),"open")</f>
        <v>ok</v>
      </c>
      <c r="C802" s="72" t="s">
        <v>369</v>
      </c>
      <c r="D802" t="s">
        <v>2516</v>
      </c>
      <c r="E802" t="s">
        <v>2513</v>
      </c>
      <c r="F802" s="73" t="s">
        <v>2514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69">
        <v>45716.405740740738</v>
      </c>
      <c r="N802" s="69">
        <v>45721</v>
      </c>
      <c r="O802" s="69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2527</v>
      </c>
      <c r="B803" s="73" t="str">
        <f>IFERROR(VLOOKUP(Proc[[#This Row],[App]],Table2[],3,0),"open")</f>
        <v>ok</v>
      </c>
      <c r="C803" s="72" t="s">
        <v>369</v>
      </c>
      <c r="D803" t="s">
        <v>2517</v>
      </c>
      <c r="E803" t="s">
        <v>2513</v>
      </c>
      <c r="F803" s="73" t="s">
        <v>2514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69">
        <v>45716.405740740738</v>
      </c>
      <c r="N803" s="69">
        <v>45721</v>
      </c>
      <c r="O803" s="69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2527</v>
      </c>
      <c r="B804" s="73" t="str">
        <f>IFERROR(VLOOKUP(Proc[[#This Row],[App]],Table2[],3,0),"open")</f>
        <v>ok</v>
      </c>
      <c r="C804" s="72" t="s">
        <v>369</v>
      </c>
      <c r="D804" t="s">
        <v>2518</v>
      </c>
      <c r="E804" t="s">
        <v>2519</v>
      </c>
      <c r="F804" s="73" t="s">
        <v>2514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69">
        <v>45716.405740740738</v>
      </c>
      <c r="N804" s="69">
        <v>45721</v>
      </c>
      <c r="O804" s="69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2527</v>
      </c>
      <c r="B805" s="73" t="str">
        <f>IFERROR(VLOOKUP(Proc[[#This Row],[App]],Table2[],3,0),"open")</f>
        <v>ok</v>
      </c>
      <c r="C805" s="72" t="s">
        <v>369</v>
      </c>
      <c r="D805" t="s">
        <v>2520</v>
      </c>
      <c r="E805" t="s">
        <v>2519</v>
      </c>
      <c r="F805" s="73" t="s">
        <v>2521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69">
        <v>45716.405740740738</v>
      </c>
      <c r="N805" s="69">
        <v>45721</v>
      </c>
      <c r="O805" s="69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2527</v>
      </c>
      <c r="B806" s="73" t="str">
        <f>IFERROR(VLOOKUP(Proc[[#This Row],[App]],Table2[],3,0),"open")</f>
        <v>ok</v>
      </c>
      <c r="C806" s="72" t="s">
        <v>369</v>
      </c>
      <c r="D806" t="s">
        <v>2522</v>
      </c>
      <c r="E806" t="s">
        <v>2519</v>
      </c>
      <c r="F806" s="73" t="s">
        <v>2523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69">
        <v>45716.405740740738</v>
      </c>
      <c r="N806" s="69">
        <v>45721</v>
      </c>
      <c r="O806" s="69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2527</v>
      </c>
      <c r="B807" s="73" t="str">
        <f>IFERROR(VLOOKUP(Proc[[#This Row],[App]],Table2[],3,0),"open")</f>
        <v>ok</v>
      </c>
      <c r="C807" s="72" t="s">
        <v>369</v>
      </c>
      <c r="D807" t="s">
        <v>2524</v>
      </c>
      <c r="E807" t="s">
        <v>2525</v>
      </c>
      <c r="F807" s="73" t="s">
        <v>2526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69">
        <v>45716.405740740738</v>
      </c>
      <c r="N807" s="69">
        <v>45721</v>
      </c>
      <c r="O807" s="69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2529</v>
      </c>
      <c r="B808" s="73" t="str">
        <f>IFERROR(VLOOKUP(Proc[[#This Row],[App]],Table2[],3,0),"open")</f>
        <v>ok</v>
      </c>
      <c r="C808" t="s">
        <v>369</v>
      </c>
      <c r="D808" t="s">
        <v>2530</v>
      </c>
      <c r="E808" t="s">
        <v>658</v>
      </c>
      <c r="F808" s="73" t="s">
        <v>2548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69">
        <v>45719.398958333331</v>
      </c>
      <c r="N808" s="69">
        <v>45722</v>
      </c>
      <c r="O808" s="69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2529</v>
      </c>
      <c r="B809" s="73" t="str">
        <f>IFERROR(VLOOKUP(Proc[[#This Row],[App]],Table2[],3,0),"open")</f>
        <v>ok</v>
      </c>
      <c r="C809" s="72" t="s">
        <v>377</v>
      </c>
      <c r="D809" t="s">
        <v>2531</v>
      </c>
      <c r="E809" t="s">
        <v>658</v>
      </c>
      <c r="F809" s="73" t="s">
        <v>2549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69">
        <v>45719.398958333331</v>
      </c>
      <c r="O809" s="69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2529</v>
      </c>
      <c r="B810" s="73" t="str">
        <f>IFERROR(VLOOKUP(Proc[[#This Row],[App]],Table2[],3,0),"open")</f>
        <v>ok</v>
      </c>
      <c r="C810" s="72" t="s">
        <v>377</v>
      </c>
      <c r="D810" t="s">
        <v>2532</v>
      </c>
      <c r="E810" t="s">
        <v>658</v>
      </c>
      <c r="F810" s="73" t="s">
        <v>2549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69">
        <v>45719.398958333331</v>
      </c>
      <c r="O810" s="69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2529</v>
      </c>
      <c r="B811" s="73" t="str">
        <f>IFERROR(VLOOKUP(Proc[[#This Row],[App]],Table2[],3,0),"open")</f>
        <v>ok</v>
      </c>
      <c r="C811" s="72" t="s">
        <v>377</v>
      </c>
      <c r="D811" t="s">
        <v>2533</v>
      </c>
      <c r="E811" t="s">
        <v>658</v>
      </c>
      <c r="F811" s="73" t="s">
        <v>2550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69">
        <v>45719.398958333331</v>
      </c>
      <c r="O811" s="69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2529</v>
      </c>
      <c r="B812" s="73" t="str">
        <f>IFERROR(VLOOKUP(Proc[[#This Row],[App]],Table2[],3,0),"open")</f>
        <v>ok</v>
      </c>
      <c r="C812" s="72" t="s">
        <v>369</v>
      </c>
      <c r="D812" t="s">
        <v>2534</v>
      </c>
      <c r="E812" t="s">
        <v>658</v>
      </c>
      <c r="F812" s="73" t="s">
        <v>2548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69">
        <v>45719.398958333331</v>
      </c>
      <c r="N812" s="69">
        <v>45722</v>
      </c>
      <c r="O812" s="69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2529</v>
      </c>
      <c r="B813" s="73" t="str">
        <f>IFERROR(VLOOKUP(Proc[[#This Row],[App]],Table2[],3,0),"open")</f>
        <v>ok</v>
      </c>
      <c r="C813" s="72" t="s">
        <v>369</v>
      </c>
      <c r="D813" t="s">
        <v>2535</v>
      </c>
      <c r="E813" t="s">
        <v>658</v>
      </c>
      <c r="F813" s="73" t="s">
        <v>2548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69">
        <v>45719.398958333331</v>
      </c>
      <c r="N813" s="69">
        <v>45722</v>
      </c>
      <c r="O813" s="69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2529</v>
      </c>
      <c r="B814" s="73" t="str">
        <f>IFERROR(VLOOKUP(Proc[[#This Row],[App]],Table2[],3,0),"open")</f>
        <v>ok</v>
      </c>
      <c r="C814" s="72" t="s">
        <v>369</v>
      </c>
      <c r="D814" t="s">
        <v>2536</v>
      </c>
      <c r="E814" t="s">
        <v>658</v>
      </c>
      <c r="F814" s="73" t="s">
        <v>2548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69">
        <v>45719.398958333331</v>
      </c>
      <c r="N814" s="69">
        <v>45722</v>
      </c>
      <c r="O814" s="69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2529</v>
      </c>
      <c r="B815" s="73" t="str">
        <f>IFERROR(VLOOKUP(Proc[[#This Row],[App]],Table2[],3,0),"open")</f>
        <v>ok</v>
      </c>
      <c r="C815" s="72" t="s">
        <v>369</v>
      </c>
      <c r="D815" t="s">
        <v>2537</v>
      </c>
      <c r="E815" t="s">
        <v>658</v>
      </c>
      <c r="F815" s="73" t="s">
        <v>2548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69">
        <v>45719.398958333331</v>
      </c>
      <c r="N815" s="69">
        <v>45722</v>
      </c>
      <c r="O815" s="69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2529</v>
      </c>
      <c r="B816" s="73" t="str">
        <f>IFERROR(VLOOKUP(Proc[[#This Row],[App]],Table2[],3,0),"open")</f>
        <v>ok</v>
      </c>
      <c r="C816" s="72" t="s">
        <v>369</v>
      </c>
      <c r="D816" t="s">
        <v>2538</v>
      </c>
      <c r="E816" t="s">
        <v>658</v>
      </c>
      <c r="F816" s="73" t="s">
        <v>2548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69">
        <v>45719.398958333331</v>
      </c>
      <c r="N816" s="69">
        <v>45722</v>
      </c>
      <c r="O816" s="69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2529</v>
      </c>
      <c r="B817" s="73" t="str">
        <f>IFERROR(VLOOKUP(Proc[[#This Row],[App]],Table2[],3,0),"open")</f>
        <v>ok</v>
      </c>
      <c r="C817" s="72" t="s">
        <v>369</v>
      </c>
      <c r="D817" t="s">
        <v>2539</v>
      </c>
      <c r="E817" t="s">
        <v>658</v>
      </c>
      <c r="F817" s="73" t="s">
        <v>2548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69">
        <v>45719.398958333331</v>
      </c>
      <c r="N817" s="69">
        <v>45722</v>
      </c>
      <c r="O817" s="69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2529</v>
      </c>
      <c r="B818" s="73" t="str">
        <f>IFERROR(VLOOKUP(Proc[[#This Row],[App]],Table2[],3,0),"open")</f>
        <v>ok</v>
      </c>
      <c r="C818" s="72" t="s">
        <v>369</v>
      </c>
      <c r="D818" t="s">
        <v>2540</v>
      </c>
      <c r="E818" t="s">
        <v>658</v>
      </c>
      <c r="F818" s="73" t="s">
        <v>2548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69">
        <v>45719.398958333331</v>
      </c>
      <c r="N818" s="69">
        <v>45722</v>
      </c>
      <c r="O818" s="69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2529</v>
      </c>
      <c r="B819" s="73" t="str">
        <f>IFERROR(VLOOKUP(Proc[[#This Row],[App]],Table2[],3,0),"open")</f>
        <v>ok</v>
      </c>
      <c r="C819" s="72" t="s">
        <v>369</v>
      </c>
      <c r="D819" t="s">
        <v>2541</v>
      </c>
      <c r="E819" t="s">
        <v>658</v>
      </c>
      <c r="F819" s="73" t="s">
        <v>2548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69">
        <v>45719.398958333331</v>
      </c>
      <c r="N819" s="69">
        <v>45722</v>
      </c>
      <c r="O819" s="69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2529</v>
      </c>
      <c r="B820" s="73" t="str">
        <f>IFERROR(VLOOKUP(Proc[[#This Row],[App]],Table2[],3,0),"open")</f>
        <v>ok</v>
      </c>
      <c r="C820" s="72" t="s">
        <v>369</v>
      </c>
      <c r="D820" t="s">
        <v>2542</v>
      </c>
      <c r="E820" t="s">
        <v>658</v>
      </c>
      <c r="F820" s="73" t="s">
        <v>2551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69">
        <v>45719.398958333331</v>
      </c>
      <c r="N820" s="69">
        <v>45722</v>
      </c>
      <c r="O820" s="69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2529</v>
      </c>
      <c r="B821" s="73" t="str">
        <f>IFERROR(VLOOKUP(Proc[[#This Row],[App]],Table2[],3,0),"open")</f>
        <v>ok</v>
      </c>
      <c r="C821" s="72" t="s">
        <v>369</v>
      </c>
      <c r="D821" t="s">
        <v>2543</v>
      </c>
      <c r="E821" t="s">
        <v>658</v>
      </c>
      <c r="F821" s="73" t="s">
        <v>2551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69">
        <v>45719.398958333331</v>
      </c>
      <c r="N821" s="69">
        <v>45722</v>
      </c>
      <c r="O821" s="69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2529</v>
      </c>
      <c r="B822" s="73" t="str">
        <f>IFERROR(VLOOKUP(Proc[[#This Row],[App]],Table2[],3,0),"open")</f>
        <v>ok</v>
      </c>
      <c r="C822" t="s">
        <v>377</v>
      </c>
      <c r="D822" t="s">
        <v>2544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69">
        <v>45719.398958333331</v>
      </c>
      <c r="O822" s="69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2529</v>
      </c>
      <c r="B823" s="73" t="str">
        <f>IFERROR(VLOOKUP(Proc[[#This Row],[App]],Table2[],3,0),"open")</f>
        <v>ok</v>
      </c>
      <c r="C823" s="72" t="s">
        <v>377</v>
      </c>
      <c r="D823" t="s">
        <v>2545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69">
        <v>45719.398958333331</v>
      </c>
      <c r="O823" s="69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2529</v>
      </c>
      <c r="B824" s="73" t="str">
        <f>IFERROR(VLOOKUP(Proc[[#This Row],[App]],Table2[],3,0),"open")</f>
        <v>ok</v>
      </c>
      <c r="C824" s="72" t="s">
        <v>377</v>
      </c>
      <c r="D824" t="s">
        <v>2546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69">
        <v>45719.398958333331</v>
      </c>
      <c r="O824" s="69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2529</v>
      </c>
      <c r="B825" s="73" t="str">
        <f>IFERROR(VLOOKUP(Proc[[#This Row],[App]],Table2[],3,0),"open")</f>
        <v>ok</v>
      </c>
      <c r="C825" s="72" t="s">
        <v>377</v>
      </c>
      <c r="D825" t="s">
        <v>2547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69">
        <v>45719.398958333331</v>
      </c>
      <c r="O825" s="69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2557</v>
      </c>
      <c r="B826" s="73" t="str">
        <f>IFERROR(VLOOKUP(Proc[[#This Row],[App]],Table2[],3,0),"open")</f>
        <v>ok</v>
      </c>
      <c r="C826" s="72" t="s">
        <v>369</v>
      </c>
      <c r="D826" t="s">
        <v>2552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69">
        <v>45719.3903125</v>
      </c>
      <c r="N826" s="69">
        <v>45721</v>
      </c>
      <c r="O826" s="69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2557</v>
      </c>
      <c r="B827" s="73" t="str">
        <f>IFERROR(VLOOKUP(Proc[[#This Row],[App]],Table2[],3,0),"open")</f>
        <v>ok</v>
      </c>
      <c r="C827" s="72" t="s">
        <v>369</v>
      </c>
      <c r="D827" t="s">
        <v>2553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69">
        <v>45719.3903125</v>
      </c>
      <c r="N827" s="69">
        <v>45721</v>
      </c>
      <c r="O827" s="69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2557</v>
      </c>
      <c r="B828" s="73" t="str">
        <f>IFERROR(VLOOKUP(Proc[[#This Row],[App]],Table2[],3,0),"open")</f>
        <v>ok</v>
      </c>
      <c r="C828" s="72" t="s">
        <v>369</v>
      </c>
      <c r="D828" t="s">
        <v>2554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69">
        <v>45719.3903125</v>
      </c>
      <c r="N828" s="69">
        <v>45721</v>
      </c>
      <c r="O828" s="69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2557</v>
      </c>
      <c r="B829" s="73" t="str">
        <f>IFERROR(VLOOKUP(Proc[[#This Row],[App]],Table2[],3,0),"open")</f>
        <v>ok</v>
      </c>
      <c r="C829" s="72" t="s">
        <v>369</v>
      </c>
      <c r="D829" t="s">
        <v>2555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69">
        <v>45719.3903125</v>
      </c>
      <c r="N829" s="69">
        <v>45721</v>
      </c>
      <c r="O829" s="69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2557</v>
      </c>
      <c r="B830" s="73" t="str">
        <f>IFERROR(VLOOKUP(Proc[[#This Row],[App]],Table2[],3,0),"open")</f>
        <v>ok</v>
      </c>
      <c r="C830" s="72" t="s">
        <v>369</v>
      </c>
      <c r="D830" t="s">
        <v>2556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69">
        <v>45719.3903125</v>
      </c>
      <c r="N830" s="69">
        <v>45721</v>
      </c>
      <c r="O830" s="69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 hidden="1">
      <c r="A831" t="s">
        <v>2559</v>
      </c>
      <c r="B831" s="73" t="str">
        <f>IFERROR(VLOOKUP(Proc[[#This Row],[App]],Table2[],3,0),"open")</f>
        <v>open</v>
      </c>
      <c r="C831" s="72" t="s">
        <v>370</v>
      </c>
      <c r="D831" t="s">
        <v>2558</v>
      </c>
      <c r="E831" t="s">
        <v>2560</v>
      </c>
      <c r="F831" s="73" t="s">
        <v>2561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69">
        <v>45719.855474537035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8</v>
      </c>
      <c r="R831" s="74" t="s">
        <v>554</v>
      </c>
      <c r="S831" s="73"/>
    </row>
    <row r="832" spans="1:19" hidden="1">
      <c r="A832" t="s">
        <v>2564</v>
      </c>
      <c r="B832" s="73" t="str">
        <f>IFERROR(VLOOKUP(Proc[[#This Row],[App]],Table2[],3,0),"open")</f>
        <v>ok</v>
      </c>
      <c r="C832" s="72" t="s">
        <v>369</v>
      </c>
      <c r="D832" t="s">
        <v>2562</v>
      </c>
      <c r="E832" t="s">
        <v>2563</v>
      </c>
      <c r="F832" s="73" t="s">
        <v>1631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69">
        <v>45719.579097222224</v>
      </c>
      <c r="N832" s="69">
        <v>45721</v>
      </c>
      <c r="O832" s="69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1113</v>
      </c>
      <c r="S832" s="73"/>
    </row>
    <row r="833" spans="1:19" hidden="1">
      <c r="A833" t="s">
        <v>2567</v>
      </c>
      <c r="B833" s="73" t="str">
        <f>IFERROR(VLOOKUP(Proc[[#This Row],[App]],Table2[],3,0),"open")</f>
        <v>ok</v>
      </c>
      <c r="C833" t="s">
        <v>369</v>
      </c>
      <c r="D833" t="s">
        <v>2565</v>
      </c>
      <c r="E833" t="s">
        <v>1669</v>
      </c>
      <c r="F833" s="73" t="s">
        <v>2566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69">
        <v>45721.464016203703</v>
      </c>
      <c r="N833" s="69">
        <v>45723</v>
      </c>
      <c r="O833" s="69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2587</v>
      </c>
      <c r="B834" s="73" t="str">
        <f>IFERROR(VLOOKUP(Proc[[#This Row],[App]],Table2[],3,0),"open")</f>
        <v>open</v>
      </c>
      <c r="C834" t="s">
        <v>370</v>
      </c>
      <c r="D834" t="s">
        <v>2568</v>
      </c>
      <c r="E834" t="s">
        <v>690</v>
      </c>
      <c r="F834" s="73" t="s">
        <v>2591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0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69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7</v>
      </c>
      <c r="R834" s="74" t="s">
        <v>1531</v>
      </c>
      <c r="S834" s="73"/>
    </row>
    <row r="835" spans="1:19" hidden="1">
      <c r="A835" t="s">
        <v>2587</v>
      </c>
      <c r="B835" s="73" t="str">
        <f>IFERROR(VLOOKUP(Proc[[#This Row],[App]],Table2[],3,0),"open")</f>
        <v>open</v>
      </c>
      <c r="C835" t="s">
        <v>370</v>
      </c>
      <c r="D835" t="s">
        <v>2569</v>
      </c>
      <c r="E835" t="s">
        <v>429</v>
      </c>
      <c r="F835" s="73" t="s">
        <v>2592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0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69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7</v>
      </c>
      <c r="R835" s="74" t="s">
        <v>1531</v>
      </c>
      <c r="S835" s="73"/>
    </row>
    <row r="836" spans="1:19" hidden="1">
      <c r="A836" t="s">
        <v>2587</v>
      </c>
      <c r="B836" s="73" t="str">
        <f>IFERROR(VLOOKUP(Proc[[#This Row],[App]],Table2[],3,0),"open")</f>
        <v>open</v>
      </c>
      <c r="C836" t="s">
        <v>370</v>
      </c>
      <c r="D836" t="s">
        <v>2570</v>
      </c>
      <c r="E836" t="s">
        <v>690</v>
      </c>
      <c r="F836" s="73" t="s">
        <v>2591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0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69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7</v>
      </c>
      <c r="R836" s="74" t="s">
        <v>1531</v>
      </c>
      <c r="S836" s="73"/>
    </row>
    <row r="837" spans="1:19" hidden="1">
      <c r="A837" t="s">
        <v>2587</v>
      </c>
      <c r="B837" s="73" t="str">
        <f>IFERROR(VLOOKUP(Proc[[#This Row],[App]],Table2[],3,0),"open")</f>
        <v>open</v>
      </c>
      <c r="C837" t="s">
        <v>370</v>
      </c>
      <c r="D837" t="s">
        <v>2571</v>
      </c>
      <c r="E837" t="s">
        <v>1530</v>
      </c>
      <c r="F837" s="73" t="s">
        <v>689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0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69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7</v>
      </c>
      <c r="R837" s="74" t="s">
        <v>1531</v>
      </c>
      <c r="S837" s="73"/>
    </row>
    <row r="838" spans="1:19" hidden="1">
      <c r="A838" t="s">
        <v>2587</v>
      </c>
      <c r="B838" s="73" t="str">
        <f>IFERROR(VLOOKUP(Proc[[#This Row],[App]],Table2[],3,0),"open")</f>
        <v>open</v>
      </c>
      <c r="C838" t="s">
        <v>370</v>
      </c>
      <c r="D838" t="s">
        <v>2572</v>
      </c>
      <c r="E838" t="s">
        <v>2588</v>
      </c>
      <c r="F838" s="73" t="s">
        <v>2593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0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69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7</v>
      </c>
      <c r="R838" s="74" t="s">
        <v>1531</v>
      </c>
      <c r="S838" s="73"/>
    </row>
    <row r="839" spans="1:19" hidden="1">
      <c r="A839" t="s">
        <v>2587</v>
      </c>
      <c r="B839" s="73" t="str">
        <f>IFERROR(VLOOKUP(Proc[[#This Row],[App]],Table2[],3,0),"open")</f>
        <v>open</v>
      </c>
      <c r="C839" t="s">
        <v>370</v>
      </c>
      <c r="D839" t="s">
        <v>2573</v>
      </c>
      <c r="E839" t="s">
        <v>432</v>
      </c>
      <c r="F839" s="73" t="s">
        <v>2594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7</v>
      </c>
      <c r="R839" s="74" t="s">
        <v>1531</v>
      </c>
      <c r="S839" s="73"/>
    </row>
    <row r="840" spans="1:19" hidden="1">
      <c r="A840" t="s">
        <v>2587</v>
      </c>
      <c r="B840" s="73" t="str">
        <f>IFERROR(VLOOKUP(Proc[[#This Row],[App]],Table2[],3,0),"open")</f>
        <v>open</v>
      </c>
      <c r="C840" t="s">
        <v>370</v>
      </c>
      <c r="D840" t="s">
        <v>2574</v>
      </c>
      <c r="E840" t="s">
        <v>2589</v>
      </c>
      <c r="F840" s="73" t="s">
        <v>2257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0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69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7</v>
      </c>
      <c r="R840" s="74" t="s">
        <v>1531</v>
      </c>
      <c r="S840" s="73"/>
    </row>
    <row r="841" spans="1:19" hidden="1">
      <c r="A841" t="s">
        <v>2587</v>
      </c>
      <c r="B841" s="73" t="str">
        <f>IFERROR(VLOOKUP(Proc[[#This Row],[App]],Table2[],3,0),"open")</f>
        <v>open</v>
      </c>
      <c r="C841" t="s">
        <v>370</v>
      </c>
      <c r="D841" t="s">
        <v>2575</v>
      </c>
      <c r="E841" t="s">
        <v>429</v>
      </c>
      <c r="F841" s="73" t="s">
        <v>2592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0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69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7</v>
      </c>
      <c r="R841" s="74" t="s">
        <v>1531</v>
      </c>
      <c r="S841" s="73"/>
    </row>
    <row r="842" spans="1:19" hidden="1">
      <c r="A842" t="s">
        <v>2587</v>
      </c>
      <c r="B842" s="73" t="str">
        <f>IFERROR(VLOOKUP(Proc[[#This Row],[App]],Table2[],3,0),"open")</f>
        <v>open</v>
      </c>
      <c r="C842" t="s">
        <v>370</v>
      </c>
      <c r="D842" t="s">
        <v>2576</v>
      </c>
      <c r="E842" t="s">
        <v>1530</v>
      </c>
      <c r="F842" s="73" t="s">
        <v>689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0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69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7</v>
      </c>
      <c r="R842" s="74" t="s">
        <v>1531</v>
      </c>
      <c r="S842" s="73"/>
    </row>
    <row r="843" spans="1:19" hidden="1">
      <c r="A843" t="s">
        <v>2587</v>
      </c>
      <c r="B843" s="73" t="str">
        <f>IFERROR(VLOOKUP(Proc[[#This Row],[App]],Table2[],3,0),"open")</f>
        <v>open</v>
      </c>
      <c r="C843" t="s">
        <v>370</v>
      </c>
      <c r="D843" t="s">
        <v>2577</v>
      </c>
      <c r="E843" t="s">
        <v>1530</v>
      </c>
      <c r="F843" s="73" t="s">
        <v>689</v>
      </c>
      <c r="G843" s="72" t="s">
        <v>400</v>
      </c>
      <c r="H843" s="73"/>
      <c r="J843" s="73" t="b">
        <f>Proc[[#This Row],[Requested]]=Proc[[#This Row],[CurrentParent]]</f>
        <v>0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69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7</v>
      </c>
      <c r="R843" s="74" t="s">
        <v>1531</v>
      </c>
      <c r="S843" s="73"/>
    </row>
    <row r="844" spans="1:19" hidden="1">
      <c r="A844" t="s">
        <v>2587</v>
      </c>
      <c r="B844" s="73" t="str">
        <f>IFERROR(VLOOKUP(Proc[[#This Row],[App]],Table2[],3,0),"open")</f>
        <v>open</v>
      </c>
      <c r="C844" t="s">
        <v>370</v>
      </c>
      <c r="D844" t="s">
        <v>2578</v>
      </c>
      <c r="E844" t="s">
        <v>431</v>
      </c>
      <c r="F844" s="73" t="s">
        <v>2595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0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69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7</v>
      </c>
      <c r="R844" s="74" t="s">
        <v>1531</v>
      </c>
      <c r="S844" s="73"/>
    </row>
    <row r="845" spans="1:19" hidden="1">
      <c r="A845" t="s">
        <v>2587</v>
      </c>
      <c r="B845" s="73" t="str">
        <f>IFERROR(VLOOKUP(Proc[[#This Row],[App]],Table2[],3,0),"open")</f>
        <v>open</v>
      </c>
      <c r="C845" t="s">
        <v>370</v>
      </c>
      <c r="D845" t="s">
        <v>2579</v>
      </c>
      <c r="E845" t="s">
        <v>1286</v>
      </c>
      <c r="F845" s="73" t="s">
        <v>1292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0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69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7</v>
      </c>
      <c r="R845" s="74" t="s">
        <v>1531</v>
      </c>
      <c r="S845" s="73"/>
    </row>
    <row r="846" spans="1:19" hidden="1">
      <c r="A846" t="s">
        <v>2587</v>
      </c>
      <c r="B846" s="73" t="str">
        <f>IFERROR(VLOOKUP(Proc[[#This Row],[App]],Table2[],3,0),"open")</f>
        <v>open</v>
      </c>
      <c r="C846" t="s">
        <v>370</v>
      </c>
      <c r="D846" t="s">
        <v>2580</v>
      </c>
      <c r="E846" t="s">
        <v>1286</v>
      </c>
      <c r="F846" s="73" t="s">
        <v>1292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0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69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7</v>
      </c>
      <c r="R846" s="74" t="s">
        <v>1531</v>
      </c>
      <c r="S846" s="73"/>
    </row>
    <row r="847" spans="1:19" hidden="1">
      <c r="A847" t="s">
        <v>2587</v>
      </c>
      <c r="B847" s="73" t="str">
        <f>IFERROR(VLOOKUP(Proc[[#This Row],[App]],Table2[],3,0),"open")</f>
        <v>open</v>
      </c>
      <c r="C847" t="s">
        <v>370</v>
      </c>
      <c r="D847" t="s">
        <v>2581</v>
      </c>
      <c r="E847" t="s">
        <v>431</v>
      </c>
      <c r="F847" s="73" t="s">
        <v>1292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0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69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7</v>
      </c>
      <c r="R847" s="74" t="s">
        <v>1531</v>
      </c>
      <c r="S847" s="73"/>
    </row>
    <row r="848" spans="1:19" hidden="1">
      <c r="A848" t="s">
        <v>2587</v>
      </c>
      <c r="B848" s="73" t="str">
        <f>IFERROR(VLOOKUP(Proc[[#This Row],[App]],Table2[],3,0),"open")</f>
        <v>open</v>
      </c>
      <c r="C848" t="s">
        <v>370</v>
      </c>
      <c r="D848" t="s">
        <v>2582</v>
      </c>
      <c r="E848" t="s">
        <v>1530</v>
      </c>
      <c r="F848" s="73" t="s">
        <v>689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0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69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7</v>
      </c>
      <c r="R848" s="74" t="s">
        <v>1531</v>
      </c>
      <c r="S848" s="73"/>
    </row>
    <row r="849" spans="1:19" hidden="1">
      <c r="A849" t="s">
        <v>2587</v>
      </c>
      <c r="B849" s="73" t="str">
        <f>IFERROR(VLOOKUP(Proc[[#This Row],[App]],Table2[],3,0),"open")</f>
        <v>open</v>
      </c>
      <c r="C849" t="s">
        <v>370</v>
      </c>
      <c r="D849" t="s">
        <v>2583</v>
      </c>
      <c r="E849" t="s">
        <v>1530</v>
      </c>
      <c r="F849" s="73" t="s">
        <v>689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0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69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7</v>
      </c>
      <c r="R849" s="74" t="s">
        <v>1531</v>
      </c>
      <c r="S849" s="73"/>
    </row>
    <row r="850" spans="1:19" hidden="1">
      <c r="A850" t="s">
        <v>2587</v>
      </c>
      <c r="B850" s="73" t="str">
        <f>IFERROR(VLOOKUP(Proc[[#This Row],[App]],Table2[],3,0),"open")</f>
        <v>open</v>
      </c>
      <c r="C850" t="s">
        <v>370</v>
      </c>
      <c r="D850" t="s">
        <v>2584</v>
      </c>
      <c r="E850" t="s">
        <v>426</v>
      </c>
      <c r="F850" s="73" t="s">
        <v>2596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0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69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7</v>
      </c>
      <c r="R850" s="74" t="s">
        <v>1531</v>
      </c>
      <c r="S850" s="73"/>
    </row>
    <row r="851" spans="1:19" hidden="1">
      <c r="A851" t="s">
        <v>2587</v>
      </c>
      <c r="B851" s="73" t="str">
        <f>IFERROR(VLOOKUP(Proc[[#This Row],[App]],Table2[],3,0),"open")</f>
        <v>open</v>
      </c>
      <c r="C851" t="s">
        <v>370</v>
      </c>
      <c r="D851" t="s">
        <v>2585</v>
      </c>
      <c r="E851" t="s">
        <v>2590</v>
      </c>
      <c r="F851" s="73" t="s">
        <v>2597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0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69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7</v>
      </c>
      <c r="R851" s="74" t="s">
        <v>1531</v>
      </c>
      <c r="S851" s="73"/>
    </row>
    <row r="852" spans="1:19" hidden="1">
      <c r="A852" t="s">
        <v>2587</v>
      </c>
      <c r="B852" s="73" t="str">
        <f>IFERROR(VLOOKUP(Proc[[#This Row],[App]],Table2[],3,0),"open")</f>
        <v>open</v>
      </c>
      <c r="C852" t="s">
        <v>370</v>
      </c>
      <c r="D852" t="s">
        <v>2586</v>
      </c>
      <c r="E852" t="s">
        <v>1530</v>
      </c>
      <c r="F852" s="73" t="s">
        <v>689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0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69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7</v>
      </c>
      <c r="R852" s="74" t="s">
        <v>1531</v>
      </c>
      <c r="S852" s="73"/>
    </row>
    <row r="853" spans="1:19" hidden="1">
      <c r="A853" t="s">
        <v>2605</v>
      </c>
      <c r="B853" s="73" t="str">
        <f>IFERROR(VLOOKUP(Proc[[#This Row],[App]],Table2[],3,0),"open")</f>
        <v>ok</v>
      </c>
      <c r="C853" s="72" t="s">
        <v>377</v>
      </c>
      <c r="D853" t="s">
        <v>2598</v>
      </c>
      <c r="E853" t="s">
        <v>2599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69">
        <v>45720.458009259259</v>
      </c>
      <c r="O853" s="69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2605</v>
      </c>
      <c r="B854" s="73" t="str">
        <f>IFERROR(VLOOKUP(Proc[[#This Row],[App]],Table2[],3,0),"open")</f>
        <v>ok</v>
      </c>
      <c r="C854" s="72" t="s">
        <v>377</v>
      </c>
      <c r="D854" t="s">
        <v>2600</v>
      </c>
      <c r="E854" t="s">
        <v>2599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69">
        <v>45720.458009259259</v>
      </c>
      <c r="O854" s="69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2605</v>
      </c>
      <c r="B855" s="73" t="str">
        <f>IFERROR(VLOOKUP(Proc[[#This Row],[App]],Table2[],3,0),"open")</f>
        <v>ok</v>
      </c>
      <c r="C855" s="72" t="s">
        <v>377</v>
      </c>
      <c r="D855" t="s">
        <v>2601</v>
      </c>
      <c r="E855" t="s">
        <v>2599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69">
        <v>45720.458009259259</v>
      </c>
      <c r="O855" s="69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2605</v>
      </c>
      <c r="B856" s="73" t="str">
        <f>IFERROR(VLOOKUP(Proc[[#This Row],[App]],Table2[],3,0),"open")</f>
        <v>ok</v>
      </c>
      <c r="C856" s="72" t="s">
        <v>369</v>
      </c>
      <c r="D856" t="s">
        <v>2602</v>
      </c>
      <c r="E856" t="s">
        <v>2599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69">
        <v>45720.458009259259</v>
      </c>
      <c r="N856" s="69">
        <v>45722</v>
      </c>
      <c r="O856" s="69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2605</v>
      </c>
      <c r="B857" s="73" t="str">
        <f>IFERROR(VLOOKUP(Proc[[#This Row],[App]],Table2[],3,0),"open")</f>
        <v>ok</v>
      </c>
      <c r="C857" s="72" t="s">
        <v>369</v>
      </c>
      <c r="D857" t="s">
        <v>2603</v>
      </c>
      <c r="E857" t="s">
        <v>2599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69">
        <v>45720.458009259259</v>
      </c>
      <c r="N857" s="69">
        <v>45722</v>
      </c>
      <c r="O857" s="69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2605</v>
      </c>
      <c r="B858" s="73" t="str">
        <f>IFERROR(VLOOKUP(Proc[[#This Row],[App]],Table2[],3,0),"open")</f>
        <v>ok</v>
      </c>
      <c r="C858" s="72" t="s">
        <v>369</v>
      </c>
      <c r="D858" t="s">
        <v>2604</v>
      </c>
      <c r="E858" t="s">
        <v>2599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69">
        <v>45720.458009259259</v>
      </c>
      <c r="N858" s="69">
        <v>45722</v>
      </c>
      <c r="O858" s="69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2610</v>
      </c>
      <c r="B859" s="73" t="str">
        <f>IFERROR(VLOOKUP(Proc[[#This Row],[App]],Table2[],3,0),"open")</f>
        <v>ok</v>
      </c>
      <c r="C859" s="72" t="s">
        <v>369</v>
      </c>
      <c r="D859" t="s">
        <v>2606</v>
      </c>
      <c r="E859" t="s">
        <v>658</v>
      </c>
      <c r="F859" s="73" t="s">
        <v>2609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69">
        <v>45720.413402777776</v>
      </c>
      <c r="N859" s="69">
        <v>45723</v>
      </c>
      <c r="O859" s="69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2610</v>
      </c>
      <c r="B860" s="73" t="str">
        <f>IFERROR(VLOOKUP(Proc[[#This Row],[App]],Table2[],3,0),"open")</f>
        <v>ok</v>
      </c>
      <c r="C860" s="72" t="s">
        <v>377</v>
      </c>
      <c r="D860" t="s">
        <v>2607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69">
        <v>45720.413402777776</v>
      </c>
      <c r="O860" s="69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2610</v>
      </c>
      <c r="B861" s="73" t="str">
        <f>IFERROR(VLOOKUP(Proc[[#This Row],[App]],Table2[],3,0),"open")</f>
        <v>ok</v>
      </c>
      <c r="C861" s="72" t="s">
        <v>377</v>
      </c>
      <c r="D861" t="s">
        <v>2608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69">
        <v>45720.413402777776</v>
      </c>
      <c r="O861" s="69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2648</v>
      </c>
      <c r="B862" s="73" t="str">
        <f>IFERROR(VLOOKUP(Proc[[#This Row],[App]],Table2[],3,0),"open")</f>
        <v>ok</v>
      </c>
      <c r="C862" t="s">
        <v>369</v>
      </c>
      <c r="D862" t="s">
        <v>2611</v>
      </c>
      <c r="E862" t="s">
        <v>2629</v>
      </c>
      <c r="F862" s="73" t="s">
        <v>1317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69">
        <v>45720.368101851855</v>
      </c>
      <c r="N862" s="69">
        <v>45722</v>
      </c>
      <c r="O862" s="69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2648</v>
      </c>
      <c r="B863" s="73" t="str">
        <f>IFERROR(VLOOKUP(Proc[[#This Row],[App]],Table2[],3,0),"open")</f>
        <v>ok</v>
      </c>
      <c r="C863" s="72" t="s">
        <v>369</v>
      </c>
      <c r="D863" t="s">
        <v>2612</v>
      </c>
      <c r="E863" t="s">
        <v>2630</v>
      </c>
      <c r="F863" s="73" t="s">
        <v>1317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69">
        <v>45720.368101851855</v>
      </c>
      <c r="N863" s="69">
        <v>45722</v>
      </c>
      <c r="O863" s="69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2648</v>
      </c>
      <c r="B864" s="73" t="str">
        <f>IFERROR(VLOOKUP(Proc[[#This Row],[App]],Table2[],3,0),"open")</f>
        <v>ok</v>
      </c>
      <c r="C864" s="72" t="s">
        <v>369</v>
      </c>
      <c r="D864" t="s">
        <v>2613</v>
      </c>
      <c r="E864" t="s">
        <v>2631</v>
      </c>
      <c r="F864" s="73" t="s">
        <v>1317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69">
        <v>45720.368101851855</v>
      </c>
      <c r="N864" s="69">
        <v>45722</v>
      </c>
      <c r="O864" s="69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2648</v>
      </c>
      <c r="B865" s="73" t="str">
        <f>IFERROR(VLOOKUP(Proc[[#This Row],[App]],Table2[],3,0),"open")</f>
        <v>ok</v>
      </c>
      <c r="C865" s="72" t="s">
        <v>369</v>
      </c>
      <c r="D865" t="s">
        <v>2614</v>
      </c>
      <c r="E865" t="s">
        <v>2631</v>
      </c>
      <c r="F865" s="73" t="s">
        <v>1317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69">
        <v>45720.368101851855</v>
      </c>
      <c r="N865" s="69">
        <v>45722</v>
      </c>
      <c r="O865" s="69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2648</v>
      </c>
      <c r="B866" s="73" t="str">
        <f>IFERROR(VLOOKUP(Proc[[#This Row],[App]],Table2[],3,0),"open")</f>
        <v>ok</v>
      </c>
      <c r="C866" s="72" t="s">
        <v>369</v>
      </c>
      <c r="D866" t="s">
        <v>2615</v>
      </c>
      <c r="E866" t="s">
        <v>2632</v>
      </c>
      <c r="F866" s="73" t="s">
        <v>1523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69">
        <v>45720.368101851855</v>
      </c>
      <c r="N866" s="69">
        <v>45722</v>
      </c>
      <c r="O866" s="69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2648</v>
      </c>
      <c r="B867" s="73" t="str">
        <f>IFERROR(VLOOKUP(Proc[[#This Row],[App]],Table2[],3,0),"open")</f>
        <v>ok</v>
      </c>
      <c r="C867" s="72" t="s">
        <v>369</v>
      </c>
      <c r="D867" t="s">
        <v>2616</v>
      </c>
      <c r="E867" t="s">
        <v>2633</v>
      </c>
      <c r="F867" s="73" t="s">
        <v>1317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69">
        <v>45720.368101851855</v>
      </c>
      <c r="N867" s="69">
        <v>45722</v>
      </c>
      <c r="O867" s="69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2648</v>
      </c>
      <c r="B868" s="73" t="str">
        <f>IFERROR(VLOOKUP(Proc[[#This Row],[App]],Table2[],3,0),"open")</f>
        <v>ok</v>
      </c>
      <c r="C868" s="72" t="s">
        <v>369</v>
      </c>
      <c r="D868" t="s">
        <v>2617</v>
      </c>
      <c r="E868" t="s">
        <v>2634</v>
      </c>
      <c r="F868" s="73" t="s">
        <v>1317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69">
        <v>45720.368101851855</v>
      </c>
      <c r="N868" s="69">
        <v>45722</v>
      </c>
      <c r="O868" s="69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2648</v>
      </c>
      <c r="B869" s="73" t="str">
        <f>IFERROR(VLOOKUP(Proc[[#This Row],[App]],Table2[],3,0),"open")</f>
        <v>ok</v>
      </c>
      <c r="C869" s="72" t="s">
        <v>369</v>
      </c>
      <c r="D869" t="s">
        <v>2618</v>
      </c>
      <c r="E869" t="s">
        <v>2635</v>
      </c>
      <c r="F869" s="73" t="s">
        <v>1317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69">
        <v>45720.368101851855</v>
      </c>
      <c r="N869" s="69">
        <v>45722</v>
      </c>
      <c r="O869" s="69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2648</v>
      </c>
      <c r="B870" s="73" t="str">
        <f>IFERROR(VLOOKUP(Proc[[#This Row],[App]],Table2[],3,0),"open")</f>
        <v>ok</v>
      </c>
      <c r="C870" s="72" t="s">
        <v>369</v>
      </c>
      <c r="D870" t="s">
        <v>2619</v>
      </c>
      <c r="E870" t="s">
        <v>2635</v>
      </c>
      <c r="F870" s="73" t="s">
        <v>1317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69">
        <v>45720.368101851855</v>
      </c>
      <c r="N870" s="69">
        <v>45722</v>
      </c>
      <c r="O870" s="69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2648</v>
      </c>
      <c r="B871" s="73" t="str">
        <f>IFERROR(VLOOKUP(Proc[[#This Row],[App]],Table2[],3,0),"open")</f>
        <v>ok</v>
      </c>
      <c r="C871" s="72" t="s">
        <v>369</v>
      </c>
      <c r="D871" t="s">
        <v>2620</v>
      </c>
      <c r="E871" t="s">
        <v>2635</v>
      </c>
      <c r="F871" s="73" t="s">
        <v>1317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69">
        <v>45720.368101851855</v>
      </c>
      <c r="N871" s="69">
        <v>45722</v>
      </c>
      <c r="O871" s="69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2648</v>
      </c>
      <c r="B872" s="73" t="str">
        <f>IFERROR(VLOOKUP(Proc[[#This Row],[App]],Table2[],3,0),"open")</f>
        <v>ok</v>
      </c>
      <c r="C872" s="72" t="s">
        <v>369</v>
      </c>
      <c r="D872" t="s">
        <v>2621</v>
      </c>
      <c r="E872" t="s">
        <v>2636</v>
      </c>
      <c r="F872" s="73" t="s">
        <v>2640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69">
        <v>45720.368101851855</v>
      </c>
      <c r="N872" s="69">
        <v>45722</v>
      </c>
      <c r="O872" s="69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2648</v>
      </c>
      <c r="B873" s="73" t="str">
        <f>IFERROR(VLOOKUP(Proc[[#This Row],[App]],Table2[],3,0),"open")</f>
        <v>ok</v>
      </c>
      <c r="C873" s="72" t="s">
        <v>369</v>
      </c>
      <c r="D873" t="s">
        <v>2622</v>
      </c>
      <c r="E873" t="s">
        <v>2637</v>
      </c>
      <c r="F873" s="73" t="s">
        <v>2641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69">
        <v>45720.368101851855</v>
      </c>
      <c r="N873" s="69">
        <v>45722</v>
      </c>
      <c r="O873" s="69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2648</v>
      </c>
      <c r="B874" s="73" t="str">
        <f>IFERROR(VLOOKUP(Proc[[#This Row],[App]],Table2[],3,0),"open")</f>
        <v>ok</v>
      </c>
      <c r="C874" s="72" t="s">
        <v>369</v>
      </c>
      <c r="D874" t="s">
        <v>2623</v>
      </c>
      <c r="E874" t="s">
        <v>2637</v>
      </c>
      <c r="F874" s="73" t="s">
        <v>2642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69">
        <v>45720.368101851855</v>
      </c>
      <c r="N874" s="69">
        <v>45722</v>
      </c>
      <c r="O874" s="69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2648</v>
      </c>
      <c r="B875" s="73" t="str">
        <f>IFERROR(VLOOKUP(Proc[[#This Row],[App]],Table2[],3,0),"open")</f>
        <v>ok</v>
      </c>
      <c r="C875" s="72" t="s">
        <v>369</v>
      </c>
      <c r="D875" t="s">
        <v>2624</v>
      </c>
      <c r="E875" t="s">
        <v>2637</v>
      </c>
      <c r="F875" s="73" t="s">
        <v>2643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69">
        <v>45720.368101851855</v>
      </c>
      <c r="N875" s="69">
        <v>45722</v>
      </c>
      <c r="O875" s="69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2648</v>
      </c>
      <c r="B876" s="73" t="str">
        <f>IFERROR(VLOOKUP(Proc[[#This Row],[App]],Table2[],3,0),"open")</f>
        <v>ok</v>
      </c>
      <c r="C876" s="72" t="s">
        <v>369</v>
      </c>
      <c r="D876" t="s">
        <v>2625</v>
      </c>
      <c r="E876" t="s">
        <v>2638</v>
      </c>
      <c r="F876" s="73" t="s">
        <v>2644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69">
        <v>45720.368101851855</v>
      </c>
      <c r="N876" s="69">
        <v>45722</v>
      </c>
      <c r="O876" s="69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2648</v>
      </c>
      <c r="B877" s="73" t="str">
        <f>IFERROR(VLOOKUP(Proc[[#This Row],[App]],Table2[],3,0),"open")</f>
        <v>ok</v>
      </c>
      <c r="C877" s="72" t="s">
        <v>369</v>
      </c>
      <c r="D877" t="s">
        <v>2626</v>
      </c>
      <c r="E877" t="s">
        <v>2638</v>
      </c>
      <c r="F877" s="73" t="s">
        <v>2645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69">
        <v>45720.368101851855</v>
      </c>
      <c r="N877" s="69">
        <v>45722</v>
      </c>
      <c r="O877" s="69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2648</v>
      </c>
      <c r="B878" s="73" t="str">
        <f>IFERROR(VLOOKUP(Proc[[#This Row],[App]],Table2[],3,0),"open")</f>
        <v>ok</v>
      </c>
      <c r="C878" s="72" t="s">
        <v>369</v>
      </c>
      <c r="D878" t="s">
        <v>2627</v>
      </c>
      <c r="E878" t="s">
        <v>2639</v>
      </c>
      <c r="F878" s="73" t="s">
        <v>2646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69">
        <v>45720.368101851855</v>
      </c>
      <c r="N878" s="69">
        <v>45722</v>
      </c>
      <c r="O878" s="69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2648</v>
      </c>
      <c r="B879" s="73" t="str">
        <f>IFERROR(VLOOKUP(Proc[[#This Row],[App]],Table2[],3,0),"open")</f>
        <v>ok</v>
      </c>
      <c r="C879" s="72" t="s">
        <v>369</v>
      </c>
      <c r="D879" t="s">
        <v>2628</v>
      </c>
      <c r="E879" t="s">
        <v>2639</v>
      </c>
      <c r="F879" s="73" t="s">
        <v>2647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69">
        <v>45720.368101851855</v>
      </c>
      <c r="N879" s="69">
        <v>45722</v>
      </c>
      <c r="O879" s="69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2649</v>
      </c>
      <c r="B880" s="73" t="str">
        <f>IFERROR(VLOOKUP(Proc[[#This Row],[App]],Table2[],3,0),"open")</f>
        <v>ok</v>
      </c>
      <c r="C880" t="s">
        <v>369</v>
      </c>
      <c r="D880" t="s">
        <v>2650</v>
      </c>
      <c r="E880" t="s">
        <v>1530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69">
        <v>45721.618263888886</v>
      </c>
      <c r="N880" s="69">
        <v>45726</v>
      </c>
      <c r="O880" s="69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1531</v>
      </c>
      <c r="S880" s="73"/>
    </row>
    <row r="881" spans="1:19" hidden="1">
      <c r="A881" s="72" t="s">
        <v>2649</v>
      </c>
      <c r="B881" s="73" t="str">
        <f>IFERROR(VLOOKUP(Proc[[#This Row],[App]],Table2[],3,0),"open")</f>
        <v>ok</v>
      </c>
      <c r="C881" s="72" t="s">
        <v>369</v>
      </c>
      <c r="D881" t="s">
        <v>2651</v>
      </c>
      <c r="E881" t="s">
        <v>1530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69">
        <v>45721.618263888886</v>
      </c>
      <c r="N881" s="69">
        <v>45726</v>
      </c>
      <c r="O881" s="69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1531</v>
      </c>
      <c r="S881" s="73"/>
    </row>
    <row r="882" spans="1:19" hidden="1">
      <c r="A882" t="s">
        <v>2654</v>
      </c>
      <c r="B882" s="73" t="str">
        <f>IFERROR(VLOOKUP(Proc[[#This Row],[App]],Table2[],3,0),"open")</f>
        <v>ok</v>
      </c>
      <c r="C882" t="s">
        <v>398</v>
      </c>
      <c r="D882" t="s">
        <v>2652</v>
      </c>
      <c r="E882" t="s">
        <v>2639</v>
      </c>
      <c r="F882" s="73" t="s">
        <v>1317</v>
      </c>
      <c r="G882" s="72" t="s">
        <v>400</v>
      </c>
      <c r="H882" s="73" t="str">
        <f>IF(Proc[[#This Row],[type]]="LFF (MDG-F)",MID(Proc[[#This Row],[Obj]],13,10),"")</f>
        <v/>
      </c>
      <c r="I882" t="s">
        <v>1251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69">
        <v>45722.670775462961</v>
      </c>
      <c r="O882" s="69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1004</v>
      </c>
      <c r="S882" s="73"/>
    </row>
    <row r="883" spans="1:19" hidden="1">
      <c r="A883" s="72" t="s">
        <v>2654</v>
      </c>
      <c r="B883" s="73" t="str">
        <f>IFERROR(VLOOKUP(Proc[[#This Row],[App]],Table2[],3,0),"open")</f>
        <v>ok</v>
      </c>
      <c r="C883" s="72" t="s">
        <v>369</v>
      </c>
      <c r="D883" t="s">
        <v>2653</v>
      </c>
      <c r="E883" t="s">
        <v>2655</v>
      </c>
      <c r="F883" s="73" t="s">
        <v>2656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69">
        <v>45722.670775462961</v>
      </c>
      <c r="N883" s="69">
        <v>45726</v>
      </c>
      <c r="O883" s="69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1004</v>
      </c>
      <c r="S883" s="73"/>
    </row>
    <row r="884" spans="1:19">
      <c r="A884" t="s">
        <v>2660</v>
      </c>
      <c r="B884" s="73" t="str">
        <f>IFERROR(VLOOKUP(Proc[[#This Row],[App]],Table2[],3,0),"open")</f>
        <v>ok</v>
      </c>
      <c r="C884" s="72" t="s">
        <v>369</v>
      </c>
      <c r="D884" t="s">
        <v>2657</v>
      </c>
      <c r="E884" t="s">
        <v>2659</v>
      </c>
      <c r="F884" s="72" t="s">
        <v>2658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69">
        <v>45719.608877314815</v>
      </c>
      <c r="N884" s="69">
        <v>45729</v>
      </c>
      <c r="O884" s="69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>
      <c r="A885" t="s">
        <v>2661</v>
      </c>
      <c r="B885" s="73" t="str">
        <f>IFERROR(VLOOKUP(Proc[[#This Row],[App]],Table2[],3,0),"open")</f>
        <v>ok</v>
      </c>
      <c r="C885" s="72" t="s">
        <v>369</v>
      </c>
      <c r="D885" t="s">
        <v>2662</v>
      </c>
      <c r="E885" t="s">
        <v>2664</v>
      </c>
      <c r="F885" s="73" t="s">
        <v>2663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69">
        <v>45726.768182870372</v>
      </c>
      <c r="N885" s="69">
        <v>45729</v>
      </c>
      <c r="O885" s="69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2675</v>
      </c>
      <c r="S885" s="73"/>
    </row>
    <row r="886" spans="1:19" hidden="1">
      <c r="A886" t="s">
        <v>2669</v>
      </c>
      <c r="B886" s="73" t="str">
        <f>IFERROR(VLOOKUP(Proc[[#This Row],[App]],Table2[],3,0),"open")</f>
        <v>open</v>
      </c>
      <c r="C886" s="72" t="s">
        <v>370</v>
      </c>
      <c r="D886" t="s">
        <v>2665</v>
      </c>
      <c r="E886" t="s">
        <v>2670</v>
      </c>
      <c r="F886" s="73" t="s">
        <v>2673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0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69">
        <v>45726.760057870371</v>
      </c>
      <c r="P886" s="74" t="str">
        <f ca="1">IF(Proc[[#This Row],[DaysAgeing]]&gt;5,"yep","on track")</f>
        <v>on track</v>
      </c>
      <c r="Q886" s="3">
        <f ca="1">IF(Proc[[#This Row],[DateClosed]]="",ABS(NETWORKDAYS(Proc[[#This Row],[DateOpened]],TODAY()))-1,ABS(NETWORKDAYS(Proc[[#This Row],[DateOpened]],Proc[[#This Row],[DateClosed]]))-1)</f>
        <v>3</v>
      </c>
      <c r="R886" s="74" t="s">
        <v>2675</v>
      </c>
      <c r="S886" s="73"/>
    </row>
    <row r="887" spans="1:19" hidden="1">
      <c r="A887" s="72" t="s">
        <v>2669</v>
      </c>
      <c r="B887" s="73" t="str">
        <f>IFERROR(VLOOKUP(Proc[[#This Row],[App]],Table2[],3,0),"open")</f>
        <v>open</v>
      </c>
      <c r="C887" s="72" t="s">
        <v>370</v>
      </c>
      <c r="D887" t="s">
        <v>2666</v>
      </c>
      <c r="E887" t="s">
        <v>2671</v>
      </c>
      <c r="F887" s="73" t="s">
        <v>2673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0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69">
        <v>45726.760057870371</v>
      </c>
      <c r="P887" s="74" t="str">
        <f ca="1">IF(Proc[[#This Row],[DaysAgeing]]&gt;5,"yep","on track")</f>
        <v>on track</v>
      </c>
      <c r="Q887" s="3">
        <f ca="1">IF(Proc[[#This Row],[DateClosed]]="",ABS(NETWORKDAYS(Proc[[#This Row],[DateOpened]],TODAY()))-1,ABS(NETWORKDAYS(Proc[[#This Row],[DateOpened]],Proc[[#This Row],[DateClosed]]))-1)</f>
        <v>3</v>
      </c>
      <c r="R887" s="74" t="s">
        <v>2675</v>
      </c>
      <c r="S887" s="73"/>
    </row>
    <row r="888" spans="1:19" hidden="1">
      <c r="A888" s="72" t="s">
        <v>2669</v>
      </c>
      <c r="B888" s="73" t="str">
        <f>IFERROR(VLOOKUP(Proc[[#This Row],[App]],Table2[],3,0),"open")</f>
        <v>open</v>
      </c>
      <c r="C888" s="72" t="s">
        <v>370</v>
      </c>
      <c r="D888" t="s">
        <v>2667</v>
      </c>
      <c r="E888" t="s">
        <v>2672</v>
      </c>
      <c r="F888" s="73" t="s">
        <v>2673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0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69">
        <v>45726.760057870371</v>
      </c>
      <c r="P888" s="74" t="str">
        <f ca="1">IF(Proc[[#This Row],[DaysAgeing]]&gt;5,"yep","on track")</f>
        <v>on track</v>
      </c>
      <c r="Q888" s="3">
        <f ca="1">IF(Proc[[#This Row],[DateClosed]]="",ABS(NETWORKDAYS(Proc[[#This Row],[DateOpened]],TODAY()))-1,ABS(NETWORKDAYS(Proc[[#This Row],[DateOpened]],Proc[[#This Row],[DateClosed]]))-1)</f>
        <v>3</v>
      </c>
      <c r="R888" s="74" t="s">
        <v>2675</v>
      </c>
      <c r="S888" s="73"/>
    </row>
    <row r="889" spans="1:19" hidden="1">
      <c r="A889" s="72" t="s">
        <v>2669</v>
      </c>
      <c r="B889" s="73" t="str">
        <f>IFERROR(VLOOKUP(Proc[[#This Row],[App]],Table2[],3,0),"open")</f>
        <v>open</v>
      </c>
      <c r="C889" s="72" t="s">
        <v>370</v>
      </c>
      <c r="D889" t="s">
        <v>2668</v>
      </c>
      <c r="E889" t="s">
        <v>2699</v>
      </c>
      <c r="F889" s="73" t="s">
        <v>2674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69">
        <v>45726.760057870371</v>
      </c>
      <c r="P889" s="74" t="str">
        <f ca="1">IF(Proc[[#This Row],[DaysAgeing]]&gt;5,"yep","on track")</f>
        <v>on track</v>
      </c>
      <c r="Q889" s="3">
        <f ca="1">IF(Proc[[#This Row],[DateClosed]]="",ABS(NETWORKDAYS(Proc[[#This Row],[DateOpened]],TODAY()))-1,ABS(NETWORKDAYS(Proc[[#This Row],[DateOpened]],Proc[[#This Row],[DateClosed]]))-1)</f>
        <v>3</v>
      </c>
      <c r="R889" s="74" t="s">
        <v>2675</v>
      </c>
      <c r="S889" s="73"/>
    </row>
    <row r="890" spans="1:19" hidden="1">
      <c r="A890" t="s">
        <v>2677</v>
      </c>
      <c r="B890" s="73" t="str">
        <f>IFERROR(VLOOKUP(Proc[[#This Row],[App]],Table2[],3,0),"open")</f>
        <v>open</v>
      </c>
      <c r="C890" t="s">
        <v>375</v>
      </c>
      <c r="D890" t="s">
        <v>2678</v>
      </c>
      <c r="E890" t="s">
        <v>2695</v>
      </c>
      <c r="F890" s="73" t="s">
        <v>2679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69">
        <v>45728.483611111114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1</v>
      </c>
      <c r="R890" s="74" t="s">
        <v>538</v>
      </c>
      <c r="S890" s="73"/>
    </row>
    <row r="891" spans="1:19" hidden="1">
      <c r="A891" t="s">
        <v>2680</v>
      </c>
      <c r="B891" s="73" t="str">
        <f>IFERROR(VLOOKUP(Proc[[#This Row],[App]],Table2[],3,0),"open")</f>
        <v>open</v>
      </c>
      <c r="C891" s="72" t="s">
        <v>370</v>
      </c>
      <c r="D891" t="s">
        <v>2681</v>
      </c>
      <c r="E891" t="s">
        <v>414</v>
      </c>
      <c r="F891" s="73" t="s">
        <v>2682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69">
        <v>45727.481932870367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2</v>
      </c>
      <c r="R891" s="74" t="s">
        <v>538</v>
      </c>
      <c r="S891" s="73"/>
    </row>
    <row r="892" spans="1:19" hidden="1">
      <c r="A892" t="s">
        <v>2694</v>
      </c>
      <c r="B892" s="73" t="str">
        <f>IFERROR(VLOOKUP(Proc[[#This Row],[App]],Table2[],3,0),"open")</f>
        <v>open</v>
      </c>
      <c r="C892" s="72" t="s">
        <v>375</v>
      </c>
      <c r="D892" t="s">
        <v>2683</v>
      </c>
      <c r="E892" t="s">
        <v>2687</v>
      </c>
      <c r="F892" s="73" t="s">
        <v>2691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e">
        <f>IF(Proc[[#This Row],[Author]]="Marcela Urrego",VLOOKUP(LEFT(Proc[[#This Row],[Requested]],1),Table3[#All],2,0),VLOOKUP(Proc[[#This Row],[Author]],Table4[],2,0))</f>
        <v>#N/A</v>
      </c>
      <c r="L892" s="32" t="s">
        <v>530</v>
      </c>
      <c r="M892" s="69">
        <v>45727.451701388891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2</v>
      </c>
      <c r="R892" s="74"/>
      <c r="S892" s="73"/>
    </row>
    <row r="893" spans="1:19" hidden="1">
      <c r="A893" s="72" t="s">
        <v>2694</v>
      </c>
      <c r="B893" s="73" t="str">
        <f>IFERROR(VLOOKUP(Proc[[#This Row],[App]],Table2[],3,0),"open")</f>
        <v>open</v>
      </c>
      <c r="C893" s="72" t="s">
        <v>370</v>
      </c>
      <c r="D893" t="s">
        <v>2684</v>
      </c>
      <c r="E893" t="s">
        <v>2688</v>
      </c>
      <c r="F893" s="73" t="s">
        <v>2692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e">
        <f>IF(Proc[[#This Row],[Author]]="Marcela Urrego",VLOOKUP(LEFT(Proc[[#This Row],[Requested]],1),Table3[#All],2,0),VLOOKUP(Proc[[#This Row],[Author]],Table4[],2,0))</f>
        <v>#N/A</v>
      </c>
      <c r="L893" s="32" t="s">
        <v>530</v>
      </c>
      <c r="M893" s="69">
        <v>45727.451701388891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2</v>
      </c>
      <c r="R893" s="74"/>
      <c r="S893" s="73"/>
    </row>
    <row r="894" spans="1:19" hidden="1">
      <c r="A894" s="72" t="s">
        <v>2694</v>
      </c>
      <c r="B894" s="73" t="str">
        <f>IFERROR(VLOOKUP(Proc[[#This Row],[App]],Table2[],3,0),"open")</f>
        <v>open</v>
      </c>
      <c r="C894" s="72" t="s">
        <v>375</v>
      </c>
      <c r="D894" t="s">
        <v>2685</v>
      </c>
      <c r="E894" t="s">
        <v>2689</v>
      </c>
      <c r="F894" s="73" t="s">
        <v>2113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e">
        <f>IF(Proc[[#This Row],[Author]]="Marcela Urrego",VLOOKUP(LEFT(Proc[[#This Row],[Requested]],1),Table3[#All],2,0),VLOOKUP(Proc[[#This Row],[Author]],Table4[],2,0))</f>
        <v>#N/A</v>
      </c>
      <c r="L894" s="32" t="s">
        <v>530</v>
      </c>
      <c r="M894" s="69">
        <v>45727.451701388891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2</v>
      </c>
      <c r="R894" s="74"/>
      <c r="S894" s="73"/>
    </row>
    <row r="895" spans="1:19" hidden="1">
      <c r="A895" s="72" t="s">
        <v>2694</v>
      </c>
      <c r="B895" s="73" t="str">
        <f>IFERROR(VLOOKUP(Proc[[#This Row],[App]],Table2[],3,0),"open")</f>
        <v>open</v>
      </c>
      <c r="C895" s="72" t="s">
        <v>375</v>
      </c>
      <c r="D895" t="s">
        <v>2686</v>
      </c>
      <c r="E895" t="s">
        <v>2690</v>
      </c>
      <c r="F895" s="73" t="s">
        <v>2693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e">
        <f>IF(Proc[[#This Row],[Author]]="Marcela Urrego",VLOOKUP(LEFT(Proc[[#This Row],[Requested]],1),Table3[#All],2,0),VLOOKUP(Proc[[#This Row],[Author]],Table4[],2,0))</f>
        <v>#N/A</v>
      </c>
      <c r="L895" s="32" t="s">
        <v>530</v>
      </c>
      <c r="M895" s="69">
        <v>45727.451701388891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2</v>
      </c>
      <c r="R895" s="74"/>
      <c r="S895" s="73"/>
    </row>
  </sheetData>
  <phoneticPr fontId="0" type="noConversion"/>
  <conditionalFormatting sqref="D642">
    <cfRule type="duplicateValues" dxfId="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G2:G895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1941</v>
      </c>
      <c r="B1" t="str">
        <f>LEFT(A1,22)</f>
        <v>CLFF_VMCA$$$KR07DB3307</v>
      </c>
    </row>
    <row r="2" spans="1:2">
      <c r="A2" s="70" t="s">
        <v>1942</v>
      </c>
      <c r="B2" s="62" t="str">
        <f t="shared" ref="B2:B11" si="0">LEFT(A2,22)</f>
        <v>CLFF_VMCA$$$KR07DB3305</v>
      </c>
    </row>
    <row r="3" spans="1:2">
      <c r="A3" s="71" t="s">
        <v>1943</v>
      </c>
      <c r="B3" s="62" t="str">
        <f t="shared" si="0"/>
        <v>CLFF_VMCA$$$US10DB3015</v>
      </c>
    </row>
    <row r="4" spans="1:2">
      <c r="A4" s="70" t="s">
        <v>1944</v>
      </c>
      <c r="B4" s="62" t="str">
        <f t="shared" si="0"/>
        <v>CLFF_VMCA$$$US10DB3018</v>
      </c>
    </row>
    <row r="5" spans="1:2">
      <c r="A5" s="71" t="s">
        <v>1945</v>
      </c>
      <c r="B5" s="62" t="str">
        <f t="shared" si="0"/>
        <v>CLFF_VMCA$$$US10DB3019</v>
      </c>
    </row>
    <row r="6" spans="1:2">
      <c r="A6" s="70" t="s">
        <v>1946</v>
      </c>
      <c r="B6" s="62" t="str">
        <f t="shared" si="0"/>
        <v>CLFF_VMCA$$$US10DB3010</v>
      </c>
    </row>
    <row r="7" spans="1:2">
      <c r="A7" s="71" t="s">
        <v>1947</v>
      </c>
      <c r="B7" s="62" t="str">
        <f t="shared" si="0"/>
        <v>CLFF_VMCA$$$KR16DB3301</v>
      </c>
    </row>
    <row r="8" spans="1:2">
      <c r="A8" s="70" t="s">
        <v>1948</v>
      </c>
      <c r="B8" s="62" t="str">
        <f t="shared" si="0"/>
        <v>CLFF_VMCA$$$KR15DB3300</v>
      </c>
    </row>
    <row r="9" spans="1:2">
      <c r="A9" s="71" t="s">
        <v>1949</v>
      </c>
      <c r="B9" s="62" t="str">
        <f t="shared" si="0"/>
        <v>CLFF_VMCA$$$KR15DB3302</v>
      </c>
    </row>
    <row r="10" spans="1:2">
      <c r="A10" s="70" t="s">
        <v>1950</v>
      </c>
      <c r="B10" s="62" t="str">
        <f t="shared" si="0"/>
        <v>CLFF_VMCA$$$KR15DB3307</v>
      </c>
    </row>
    <row r="11" spans="1:2">
      <c r="A11" s="71" t="s">
        <v>1951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16"/>
  <sheetViews>
    <sheetView topLeftCell="A78" workbookViewId="0">
      <selection activeCell="B116" sqref="B116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906</v>
      </c>
      <c r="B90" t="s">
        <v>594</v>
      </c>
    </row>
    <row r="91" spans="1:2">
      <c r="A91" t="s">
        <v>930</v>
      </c>
      <c r="B91" t="s">
        <v>596</v>
      </c>
    </row>
    <row r="92" spans="1:2">
      <c r="A92" t="s">
        <v>938</v>
      </c>
      <c r="B92" t="s">
        <v>595</v>
      </c>
    </row>
    <row r="93" spans="1:2">
      <c r="A93" t="s">
        <v>956</v>
      </c>
      <c r="B93" s="47" t="s">
        <v>595</v>
      </c>
    </row>
    <row r="94" spans="1:2">
      <c r="A94" t="s">
        <v>984</v>
      </c>
      <c r="B94" t="s">
        <v>596</v>
      </c>
    </row>
    <row r="95" spans="1:2">
      <c r="A95" s="48" t="s">
        <v>1004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1033</v>
      </c>
      <c r="B97" t="s">
        <v>597</v>
      </c>
    </row>
    <row r="98" spans="1:2">
      <c r="A98" s="48" t="s">
        <v>1045</v>
      </c>
      <c r="B98" s="53" t="s">
        <v>596</v>
      </c>
    </row>
    <row r="99" spans="1:2">
      <c r="A99" t="s">
        <v>1060</v>
      </c>
      <c r="B99" t="s">
        <v>594</v>
      </c>
    </row>
    <row r="100" spans="1:2">
      <c r="A100" s="53" t="s">
        <v>1063</v>
      </c>
      <c r="B100" t="s">
        <v>596</v>
      </c>
    </row>
    <row r="101" spans="1:2">
      <c r="A101" s="48" t="s">
        <v>1113</v>
      </c>
      <c r="B101" t="s">
        <v>597</v>
      </c>
    </row>
    <row r="102" spans="1:2">
      <c r="A102" s="54" t="s">
        <v>1146</v>
      </c>
      <c r="B102" s="55" t="s">
        <v>596</v>
      </c>
    </row>
    <row r="103" spans="1:2">
      <c r="A103" s="54" t="s">
        <v>1181</v>
      </c>
      <c r="B103" t="s">
        <v>596</v>
      </c>
    </row>
    <row r="104" spans="1:2">
      <c r="A104" s="54" t="s">
        <v>1202</v>
      </c>
      <c r="B104" t="s">
        <v>595</v>
      </c>
    </row>
    <row r="105" spans="1:2">
      <c r="A105" t="s">
        <v>1204</v>
      </c>
      <c r="B105" s="72" t="s">
        <v>594</v>
      </c>
    </row>
    <row r="106" spans="1:2">
      <c r="A106" s="54" t="s">
        <v>1254</v>
      </c>
      <c r="B106" t="s">
        <v>594</v>
      </c>
    </row>
    <row r="107" spans="1:2">
      <c r="A107" t="s">
        <v>1308</v>
      </c>
      <c r="B107" t="s">
        <v>597</v>
      </c>
    </row>
    <row r="108" spans="1:2">
      <c r="A108" t="s">
        <v>1326</v>
      </c>
      <c r="B108" t="s">
        <v>595</v>
      </c>
    </row>
    <row r="109" spans="1:2">
      <c r="A109" t="s">
        <v>1335</v>
      </c>
      <c r="B109" t="s">
        <v>596</v>
      </c>
    </row>
    <row r="110" spans="1:2">
      <c r="A110" t="s">
        <v>1337</v>
      </c>
      <c r="B110" t="s">
        <v>595</v>
      </c>
    </row>
    <row r="111" spans="1:2">
      <c r="A111" t="s">
        <v>1531</v>
      </c>
      <c r="B111" t="s">
        <v>594</v>
      </c>
    </row>
    <row r="112" spans="1:2">
      <c r="A112" t="s">
        <v>1587</v>
      </c>
      <c r="B112" t="s">
        <v>595</v>
      </c>
    </row>
    <row r="113" spans="1:2">
      <c r="A113" t="s">
        <v>1762</v>
      </c>
      <c r="B113" t="s">
        <v>596</v>
      </c>
    </row>
    <row r="114" spans="1:2">
      <c r="A114" t="s">
        <v>1963</v>
      </c>
      <c r="B114" t="s">
        <v>595</v>
      </c>
    </row>
    <row r="115" spans="1:2">
      <c r="A115" t="s">
        <v>2506</v>
      </c>
      <c r="B115" t="s">
        <v>594</v>
      </c>
    </row>
    <row r="116" spans="1:2">
      <c r="A116" s="74" t="s">
        <v>2675</v>
      </c>
      <c r="B116" s="72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2025-03-13T03:37:00Z</dcterms:modified>
  <cp:category/>
  <cp:contentStatus/>
</cp:coreProperties>
</file>