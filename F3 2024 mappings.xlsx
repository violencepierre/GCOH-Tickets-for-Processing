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E3F9EB2-4B53-450D-BFF4-035B8A5BBE1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Report!$A$2:$F$1358</definedName>
    <definedName name="_xlnm._FilterDatabase" localSheetId="6" hidden="1">Sheet3!$A$1:$E$259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21" i="1" l="1"/>
  <c r="F2919" i="1"/>
  <c r="F2489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F2918" i="1"/>
  <c r="F2917" i="1"/>
  <c r="F2916" i="1"/>
  <c r="F2915" i="1"/>
  <c r="F2914" i="1"/>
  <c r="F2913" i="1"/>
  <c r="F2912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<sst xmlns="http://schemas.openxmlformats.org/spreadsheetml/2006/main" count="30161" uniqueCount="5301">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</sst>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68.911365509259" createdVersion="7" refreshedVersion="7" minRefreshableVersion="3" recordCount="2917" xr:uid="{11839AE3-6158-4318-87AD-2C711D0BF451}">
  <cacheSource type="worksheet">
    <worksheetSource name="Proc"/>
  </cacheSource>
  <cacheFields count="19">
    <cacheField name="App" numFmtId="0">
      <sharedItems containsBlank="1" count="14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7-3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5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1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5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3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2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2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2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2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2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2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2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2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2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2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2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2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2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2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2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2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2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2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2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2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2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2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2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2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2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2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2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2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2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2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2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2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2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2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2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2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2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2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2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2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2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2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2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2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2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2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2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2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2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2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1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1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1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1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0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9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5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5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5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5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5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5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5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5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5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5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5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5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5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5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5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5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5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5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4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3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3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2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2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2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2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1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1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0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0"/>
    <n v="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0"/>
    <n v="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0"/>
    <n v="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0"/>
    <n v="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0"/>
    <n v="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0"/>
    <n v="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0"/>
    <n v="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0"/>
    <n v="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0"/>
    <n v="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0"/>
    <n v="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0"/>
    <n v="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0"/>
    <n v="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0"/>
    <n v="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0"/>
    <n v="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0"/>
    <n v="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0"/>
    <n v="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0"/>
    <n v="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0"/>
    <n v="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0"/>
    <n v="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0"/>
    <n v="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0"/>
    <n v="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0"/>
    <n v="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0"/>
    <n v="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0"/>
    <n v="2"/>
    <s v="Joan Rose Pena"/>
    <m/>
  </r>
  <r>
    <x v="309"/>
    <x v="1"/>
    <x v="6"/>
    <s v="CLFF_1000$$$NO50R00005"/>
    <s v="H000000729"/>
    <s v="DFLTPGCOH_002367"/>
    <s v="LFF (MDG-F)"/>
    <s v="NO50R00005"/>
    <m/>
    <b v="0"/>
    <x v="1"/>
    <x v="3"/>
    <d v="2025-07-28T12:24:11"/>
    <m/>
    <m/>
    <x v="0"/>
    <n v="2"/>
    <s v="Gay Geanuza del Mundo"/>
    <m/>
  </r>
  <r>
    <x v="309"/>
    <x v="1"/>
    <x v="6"/>
    <s v="CLFF_1000$$$CH75L70000"/>
    <s v="H000000910"/>
    <s v="DFLTPGCOH_001214"/>
    <s v="LFF (MDG-F)"/>
    <s v="CH75L70000"/>
    <m/>
    <b v="0"/>
    <x v="1"/>
    <x v="3"/>
    <d v="2025-07-28T12:24:11"/>
    <m/>
    <m/>
    <x v="0"/>
    <n v="2"/>
    <s v="Gay Geanuza del Mundo"/>
    <m/>
  </r>
  <r>
    <x v="309"/>
    <x v="1"/>
    <x v="6"/>
    <s v="CLFF_1000$$$DE50R06355"/>
    <s v="H000000737"/>
    <s v="DFLTPGCOH_001261"/>
    <s v="LFF (MDG-F)"/>
    <s v="DE50R06355"/>
    <m/>
    <b v="0"/>
    <x v="1"/>
    <x v="3"/>
    <d v="2025-07-28T12:24:11"/>
    <m/>
    <m/>
    <x v="0"/>
    <n v="2"/>
    <s v="Gay Geanuza del Mundo"/>
    <m/>
  </r>
  <r>
    <x v="310"/>
    <x v="1"/>
    <x v="5"/>
    <s v="ITEMPLA_001520001102"/>
    <s v="H000002867"/>
    <s v="G000000634_IO"/>
    <s v="Non-LFF"/>
    <s v=""/>
    <m/>
    <b v="0"/>
    <x v="1"/>
    <x v="3"/>
    <d v="2025-07-28T12:24:11"/>
    <m/>
    <m/>
    <x v="0"/>
    <n v="2"/>
    <s v="Henry Ifurung Jr."/>
    <m/>
  </r>
  <r>
    <x v="311"/>
    <x v="1"/>
    <x v="5"/>
    <s v="CNOW_7210$$$0000056337 "/>
    <s v="L000013375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2358 "/>
    <s v="L000013120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ROW$$$$0000091826 "/>
    <s v="L00001343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270009 "/>
    <s v="L00001327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15416 "/>
    <s v="L000010037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6421 "/>
    <s v="L00001130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D30013400000000 Project Lotus"/>
    <s v="L000006623"/>
    <m/>
    <s v="Non-LFF"/>
    <s v=""/>
    <m/>
    <b v="0"/>
    <x v="2"/>
    <x v="3"/>
    <d v="2025-07-30T00:00:00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94">
        <item m="1" x="878"/>
        <item x="0"/>
        <item m="1" x="948"/>
        <item m="1" x="1369"/>
        <item m="1" x="531"/>
        <item m="1" x="1386"/>
        <item m="1" x="908"/>
        <item m="1" x="998"/>
        <item m="1" x="1419"/>
        <item m="1" x="1213"/>
        <item m="1" x="901"/>
        <item m="1" x="1485"/>
        <item m="1" x="1231"/>
        <item m="1" x="1475"/>
        <item m="1" x="849"/>
        <item m="1" x="750"/>
        <item m="1" x="454"/>
        <item m="1" x="715"/>
        <item m="1" x="1439"/>
        <item m="1" x="507"/>
        <item m="1" x="815"/>
        <item m="1" x="1183"/>
        <item m="1" x="898"/>
        <item m="1" x="991"/>
        <item m="1" x="1287"/>
        <item m="1" x="1472"/>
        <item m="1" x="933"/>
        <item m="1" x="955"/>
        <item m="1" x="720"/>
        <item m="1" x="1121"/>
        <item m="1" x="880"/>
        <item m="1" x="1426"/>
        <item m="1" x="1083"/>
        <item m="1" x="516"/>
        <item m="1" x="624"/>
        <item m="1" x="1411"/>
        <item m="1" x="1175"/>
        <item m="1" x="429"/>
        <item m="1" x="1261"/>
        <item m="1" x="927"/>
        <item m="1" x="1222"/>
        <item m="1" x="808"/>
        <item m="1" x="1160"/>
        <item m="1" x="419"/>
        <item m="1" x="449"/>
        <item m="1" x="1488"/>
        <item m="1" x="1167"/>
        <item m="1" x="1235"/>
        <item m="1" x="1342"/>
        <item m="1" x="1111"/>
        <item m="1" x="1209"/>
        <item m="1" x="1048"/>
        <item m="1" x="503"/>
        <item m="1" x="694"/>
        <item m="1" x="1470"/>
        <item m="1" x="1038"/>
        <item m="1" x="1178"/>
        <item m="1" x="706"/>
        <item m="1" x="667"/>
        <item m="1" x="959"/>
        <item m="1" x="851"/>
        <item m="1" x="884"/>
        <item m="1" x="443"/>
        <item m="1" x="582"/>
        <item m="1" x="1244"/>
        <item m="1" x="1461"/>
        <item m="1" x="647"/>
        <item m="1" x="1052"/>
        <item m="1" x="1062"/>
        <item m="1" x="1239"/>
        <item m="1" x="1349"/>
        <item m="1" x="1227"/>
        <item m="1" x="522"/>
        <item m="1" x="1370"/>
        <item m="1" x="1100"/>
        <item m="1" x="1087"/>
        <item m="1" x="622"/>
        <item m="1" x="975"/>
        <item m="1" x="1322"/>
        <item m="1" x="440"/>
        <item m="1" x="1019"/>
        <item m="1" x="1372"/>
        <item m="1" x="1210"/>
        <item m="1" x="945"/>
        <item m="1" x="987"/>
        <item m="1" x="868"/>
        <item m="1" x="1103"/>
        <item m="1" x="915"/>
        <item m="1" x="1147"/>
        <item m="1" x="631"/>
        <item m="1" x="1460"/>
        <item m="1" x="985"/>
        <item m="1" x="1271"/>
        <item m="1" x="348"/>
        <item m="1" x="1476"/>
        <item m="1" x="1012"/>
        <item m="1" x="1301"/>
        <item m="1" x="1214"/>
        <item m="1" x="992"/>
        <item m="1" x="502"/>
        <item m="1" x="509"/>
        <item m="1" x="549"/>
        <item m="1" x="731"/>
        <item m="1" x="1155"/>
        <item m="1" x="916"/>
        <item m="1" x="1032"/>
        <item m="1" x="1095"/>
        <item m="1" x="1242"/>
        <item m="1" x="1325"/>
        <item m="1" x="887"/>
        <item m="1" x="608"/>
        <item m="1" x="451"/>
        <item m="1" x="594"/>
        <item m="1" x="1469"/>
        <item m="1" x="626"/>
        <item m="1" x="1307"/>
        <item m="1" x="1236"/>
        <item m="1" x="854"/>
        <item m="1" x="926"/>
        <item m="1" x="792"/>
        <item m="1" x="1049"/>
        <item m="1" x="1424"/>
        <item m="1" x="600"/>
        <item m="1" x="548"/>
        <item m="1" x="483"/>
        <item m="1" x="1149"/>
        <item m="1" x="1409"/>
        <item m="1" x="1337"/>
        <item m="1" x="994"/>
        <item m="1" x="518"/>
        <item m="1" x="1243"/>
        <item m="1" x="695"/>
        <item m="1" x="949"/>
        <item m="1" x="1124"/>
        <item m="1" x="1232"/>
        <item m="1" x="352"/>
        <item m="1" x="1181"/>
        <item m="1" x="1144"/>
        <item m="1" x="585"/>
        <item m="1" x="1033"/>
        <item m="1" x="921"/>
        <item m="1" x="874"/>
        <item m="1" x="607"/>
        <item m="1" x="543"/>
        <item m="1" x="783"/>
        <item m="1" x="970"/>
        <item m="1" x="377"/>
        <item m="1" x="716"/>
        <item m="1" x="575"/>
        <item m="1" x="317"/>
        <item m="1" x="827"/>
        <item m="1" x="1028"/>
        <item m="1" x="910"/>
        <item m="1" x="956"/>
        <item m="1" x="1275"/>
        <item m="1" x="857"/>
        <item m="1" x="1383"/>
        <item m="1" x="1107"/>
        <item m="1" x="1046"/>
        <item m="1" x="560"/>
        <item m="1" x="1193"/>
        <item m="1" x="1471"/>
        <item m="1" x="1159"/>
        <item m="1" x="1143"/>
        <item m="1" x="430"/>
        <item m="1" x="478"/>
        <item m="1" x="1013"/>
        <item m="1" x="519"/>
        <item m="1" x="1456"/>
        <item m="1" x="1122"/>
        <item m="1" x="1047"/>
        <item m="1" x="999"/>
        <item m="1" x="800"/>
        <item m="1" x="428"/>
        <item m="1" x="528"/>
        <item m="1" x="634"/>
        <item m="1" x="1367"/>
        <item m="1" x="1399"/>
        <item m="1" x="1098"/>
        <item m="1" x="825"/>
        <item m="1" x="913"/>
        <item m="1" x="423"/>
        <item m="1" x="463"/>
        <item m="1" x="802"/>
        <item m="1" x="1027"/>
        <item m="1" x="940"/>
        <item m="1" x="598"/>
        <item m="1" x="831"/>
        <item m="1" x="545"/>
        <item m="1" x="740"/>
        <item m="1" x="662"/>
        <item m="1" x="497"/>
        <item m="1" x="633"/>
        <item m="1" x="1003"/>
        <item m="1" x="413"/>
        <item m="1" x="652"/>
        <item m="1" x="444"/>
        <item m="1" x="1137"/>
        <item m="1" x="1326"/>
        <item m="1" x="936"/>
        <item m="1" x="580"/>
        <item m="1" x="1230"/>
        <item m="1" x="1075"/>
        <item m="1" x="592"/>
        <item m="1" x="593"/>
        <item m="1" x="778"/>
        <item m="1" x="468"/>
        <item m="1" x="657"/>
        <item m="1" x="452"/>
        <item m="1" x="638"/>
        <item m="1" x="1206"/>
        <item m="1" x="717"/>
        <item m="1" x="1084"/>
        <item m="1" x="1134"/>
        <item m="1" x="1268"/>
        <item m="1" x="1272"/>
        <item m="1" x="989"/>
        <item m="1" x="830"/>
        <item m="1" x="869"/>
        <item m="1" x="1436"/>
        <item m="1" x="729"/>
        <item m="1" x="541"/>
        <item m="1" x="919"/>
        <item m="1" x="376"/>
        <item m="1" x="1440"/>
        <item m="1" x="903"/>
        <item m="1" x="337"/>
        <item m="1" x="1358"/>
        <item m="1" x="1401"/>
        <item m="1" x="1238"/>
        <item m="1" x="615"/>
        <item m="1" x="354"/>
        <item m="1" x="1288"/>
        <item m="1" x="679"/>
        <item m="1" x="315"/>
        <item m="1" x="1459"/>
        <item m="1" x="703"/>
        <item m="1" x="858"/>
        <item m="1" x="1303"/>
        <item m="1" x="390"/>
        <item m="1" x="1215"/>
        <item m="1" x="1023"/>
        <item m="1" x="888"/>
        <item m="1" x="758"/>
        <item m="1" x="505"/>
        <item m="1" x="1006"/>
        <item m="1" x="708"/>
        <item m="1" x="1246"/>
        <item m="1" x="568"/>
        <item m="1" x="1316"/>
        <item m="1" x="1323"/>
        <item m="1" x="1007"/>
        <item m="1" x="1197"/>
        <item m="1" x="614"/>
        <item m="1" x="911"/>
        <item m="1" x="1200"/>
        <item m="1" x="784"/>
        <item m="1" x="1074"/>
        <item m="1" x="713"/>
        <item m="1" x="498"/>
        <item m="1" x="702"/>
        <item m="1" x="1468"/>
        <item m="1" x="1410"/>
        <item m="1" x="555"/>
        <item m="1" x="1356"/>
        <item m="1" x="362"/>
        <item m="1" x="1378"/>
        <item m="1" x="397"/>
        <item m="1" x="699"/>
        <item m="1" x="797"/>
        <item m="1" x="744"/>
        <item m="1" x="1351"/>
        <item m="1" x="1254"/>
        <item m="1" x="495"/>
        <item m="1" x="1065"/>
        <item m="1" x="1273"/>
        <item m="1" x="1407"/>
        <item m="1" x="1314"/>
        <item m="1" x="400"/>
        <item m="1" x="1480"/>
        <item m="1" x="551"/>
        <item m="1" x="832"/>
        <item m="1" x="1276"/>
        <item m="1" x="399"/>
        <item m="1" x="1335"/>
        <item m="1" x="564"/>
        <item m="1" x="1208"/>
        <item m="1" x="1072"/>
        <item m="1" x="1050"/>
        <item m="1" x="629"/>
        <item m="1" x="591"/>
        <item m="1" x="1403"/>
        <item m="1" x="344"/>
        <item m="1" x="526"/>
        <item m="1" x="1185"/>
        <item m="1" x="1296"/>
        <item m="1" x="1223"/>
        <item m="1" x="1427"/>
        <item m="1" x="931"/>
        <item m="1" x="558"/>
        <item m="1" x="678"/>
        <item m="1" x="997"/>
        <item m="1" x="739"/>
        <item m="1" x="1067"/>
        <item m="1" x="680"/>
        <item m="1" x="482"/>
        <item m="1" x="1135"/>
        <item m="1" x="537"/>
        <item m="1" x="417"/>
        <item m="1" x="1269"/>
        <item m="1" x="1416"/>
        <item m="1" x="1117"/>
        <item m="1" x="382"/>
        <item m="1" x="1308"/>
        <item m="1" x="1106"/>
        <item m="1" x="1216"/>
        <item m="1" x="1355"/>
        <item m="1" x="583"/>
        <item m="1" x="775"/>
        <item m="1" x="613"/>
        <item m="1" x="881"/>
        <item m="1" x="805"/>
        <item m="1" x="835"/>
        <item m="1" x="1371"/>
        <item m="1" x="817"/>
        <item m="1" x="1020"/>
        <item m="1" x="552"/>
        <item m="1" x="751"/>
        <item m="1" x="725"/>
        <item m="1" x="1068"/>
        <item m="1" x="971"/>
        <item m="1" x="1199"/>
        <item m="1" x="721"/>
        <item m="1" x="1357"/>
        <item m="1" x="559"/>
        <item m="1" x="485"/>
        <item m="1" x="741"/>
        <item m="1" x="1282"/>
        <item m="1" x="392"/>
        <item m="1" x="393"/>
        <item m="1" x="689"/>
        <item m="1" x="1362"/>
        <item m="1" x="756"/>
        <item m="1" x="401"/>
        <item m="1" x="561"/>
        <item m="1" x="803"/>
        <item m="1" x="1114"/>
        <item m="1" x="1086"/>
        <item m="1" x="757"/>
        <item m="1" x="338"/>
        <item m="1" x="476"/>
        <item m="1" x="688"/>
        <item m="1" x="576"/>
        <item m="1" x="333"/>
        <item m="1" x="1286"/>
        <item m="1" x="1415"/>
        <item m="1" x="885"/>
        <item m="1" x="1315"/>
        <item m="1" x="1375"/>
        <item m="1" x="398"/>
        <item m="1" x="1413"/>
        <item m="1" x="1151"/>
        <item m="1" x="574"/>
        <item m="1" x="760"/>
        <item m="1" x="664"/>
        <item m="1" x="1026"/>
        <item m="1" x="597"/>
        <item m="1" x="813"/>
        <item m="1" x="1108"/>
        <item m="1" x="1233"/>
        <item m="1" x="736"/>
        <item m="1" x="864"/>
        <item m="1" x="676"/>
        <item m="1" x="602"/>
        <item m="1" x="1113"/>
        <item m="1" x="1228"/>
        <item m="1" x="1390"/>
        <item m="1" x="432"/>
        <item m="1" x="636"/>
        <item m="1" x="1076"/>
        <item m="1" x="477"/>
        <item m="1" x="764"/>
        <item m="1" x="1145"/>
        <item m="1" x="410"/>
        <item m="1" x="620"/>
        <item m="1" x="730"/>
        <item m="1" x="1336"/>
        <item m="1" x="569"/>
        <item m="1" x="839"/>
        <item m="1" x="1392"/>
        <item m="1" x="520"/>
        <item m="1" x="709"/>
        <item m="1" x="897"/>
        <item m="1" x="1234"/>
        <item m="1" x="532"/>
        <item m="1" x="788"/>
        <item m="1" x="630"/>
        <item m="1" x="1126"/>
        <item m="1" x="1312"/>
        <item m="1" x="438"/>
        <item m="1" x="658"/>
        <item m="1" x="1394"/>
        <item m="1" x="1359"/>
        <item m="1" x="459"/>
        <item m="1" x="776"/>
        <item m="1" x="1300"/>
        <item m="1" x="1431"/>
        <item m="1" x="1302"/>
        <item m="1" x="1277"/>
        <item m="1" x="408"/>
        <item m="1" x="584"/>
        <item m="1" x="666"/>
        <item m="1" x="655"/>
        <item m="1" x="882"/>
        <item m="1" x="370"/>
        <item m="1" x="1069"/>
        <item m="1" x="1140"/>
        <item m="1" x="322"/>
        <item m="1" x="1400"/>
        <item m="1" x="1262"/>
        <item m="1" x="1391"/>
        <item m="1" x="1421"/>
        <item m="1" x="1457"/>
        <item m="1" x="1395"/>
        <item m="1" x="759"/>
        <item m="1" x="1119"/>
        <item m="1" x="726"/>
        <item m="1" x="1132"/>
        <item m="1" x="1097"/>
        <item m="1" x="535"/>
        <item m="1" x="573"/>
        <item m="1" x="711"/>
        <item m="1" x="1176"/>
        <item m="1" x="696"/>
        <item m="1" x="442"/>
        <item m="1" x="1441"/>
        <item m="1" x="1191"/>
        <item m="1" x="1024"/>
        <item m="1" x="1056"/>
        <item m="1" x="1105"/>
        <item m="1" x="530"/>
        <item m="1" x="872"/>
        <item m="1" x="1217"/>
        <item m="1" x="368"/>
        <item m="1" x="611"/>
        <item m="1" x="511"/>
        <item m="1" x="508"/>
        <item m="1" x="512"/>
        <item m="1" x="313"/>
        <item m="1" x="534"/>
        <item m="1" x="1331"/>
        <item m="1" x="335"/>
        <item m="1" x="981"/>
        <item m="1" x="1418"/>
        <item m="1" x="1229"/>
        <item m="1" x="489"/>
        <item m="1" x="1489"/>
        <item m="1" x="418"/>
        <item m="1" x="785"/>
        <item m="1" x="1008"/>
        <item m="1" x="464"/>
        <item m="1" x="917"/>
        <item m="1" x="1077"/>
        <item m="1" x="1345"/>
        <item m="1" x="1247"/>
        <item m="1" x="326"/>
        <item m="1" x="1009"/>
        <item m="1" x="409"/>
        <item m="1" x="645"/>
        <item m="1" x="617"/>
        <item m="1" x="379"/>
        <item m="1" x="972"/>
        <item m="1" x="979"/>
        <item m="1" x="1079"/>
        <item m="1" x="828"/>
        <item m="1" x="1328"/>
        <item m="1" x="737"/>
        <item m="1" x="1447"/>
        <item m="1" x="1082"/>
        <item m="1" x="973"/>
        <item m="1" x="637"/>
        <item m="1" x="1045"/>
        <item m="1" x="1343"/>
        <item m="1" x="1408"/>
        <item m="1" x="1387"/>
        <item m="1" x="1317"/>
        <item m="1" x="1066"/>
        <item m="1" x="1179"/>
        <item m="1" x="692"/>
        <item m="1" x="1141"/>
        <item m="1" x="966"/>
        <item m="1" x="925"/>
        <item m="1" x="923"/>
        <item m="1" x="924"/>
        <item m="1" x="621"/>
        <item m="1" x="665"/>
        <item m="1" x="1278"/>
        <item m="1" x="843"/>
        <item m="1" x="685"/>
        <item m="1" x="727"/>
        <item m="1" x="773"/>
        <item m="1" x="1025"/>
        <item m="1" x="1363"/>
        <item m="1" x="1452"/>
        <item m="1" x="570"/>
        <item m="1" x="521"/>
        <item m="1" x="358"/>
        <item m="1" x="380"/>
        <item m="1" x="677"/>
        <item m="1" x="465"/>
        <item m="1" x="793"/>
        <item m="1" x="1329"/>
        <item m="1" x="670"/>
        <item m="1" x="462"/>
        <item m="1" x="1221"/>
        <item m="1" x="339"/>
        <item m="1" x="1347"/>
        <item m="1" x="1422"/>
        <item m="1" x="1486"/>
        <item m="1" x="1361"/>
        <item m="1" x="604"/>
        <item m="1" x="381"/>
        <item m="1" x="845"/>
        <item m="1" x="929"/>
        <item m="1" x="1125"/>
        <item m="1" x="1093"/>
        <item m="1" x="1129"/>
        <item m="1" x="906"/>
        <item m="1" x="944"/>
        <item m="1" x="1385"/>
        <item m="1" x="1148"/>
        <item m="1" x="1118"/>
        <item m="1" x="1057"/>
        <item m="1" x="1130"/>
        <item m="1" x="331"/>
        <item m="1" x="336"/>
        <item m="1" x="939"/>
        <item m="1" x="1324"/>
        <item m="1" x="894"/>
        <item m="1" x="1464"/>
        <item m="1" x="863"/>
        <item m="1" x="1039"/>
        <item m="1" x="1110"/>
        <item m="1" x="724"/>
        <item m="1" x="556"/>
        <item m="1" x="932"/>
        <item m="1" x="618"/>
        <item m="1" x="1473"/>
        <item m="1" x="1388"/>
        <item m="1" x="1201"/>
        <item m="1" x="458"/>
        <item m="1" x="385"/>
        <item m="1" x="958"/>
        <item m="1" x="1202"/>
        <item m="1" x="1491"/>
        <item m="1" x="837"/>
        <item m="1" x="1438"/>
        <item m="1" x="372"/>
        <item m="1" x="486"/>
        <item m="1" x="798"/>
        <item m="1" x="889"/>
        <item m="1" x="1318"/>
        <item m="1" x="642"/>
        <item m="1" x="1321"/>
        <item m="1" x="738"/>
        <item m="1" x="1310"/>
        <item m="1" x="1474"/>
        <item m="1" x="402"/>
        <item m="1" x="1458"/>
        <item m="1" x="349"/>
        <item m="1" x="1211"/>
        <item m="1" x="829"/>
        <item m="1" x="660"/>
        <item m="1" x="623"/>
        <item m="1" x="767"/>
        <item m="1" x="366"/>
        <item m="1" x="1451"/>
        <item m="1" x="450"/>
        <item m="1" x="471"/>
        <item m="1" x="1344"/>
        <item m="1" x="1423"/>
        <item m="1" x="937"/>
        <item m="1" x="1078"/>
        <item m="1" x="779"/>
        <item m="1" x="892"/>
        <item m="1" x="1041"/>
        <item m="1" x="1158"/>
        <item m="1" x="745"/>
        <item m="1" x="1021"/>
        <item m="1" x="840"/>
        <item m="1" x="1477"/>
        <item m="1" x="330"/>
        <item m="1" x="769"/>
        <item m="1" x="710"/>
        <item m="1" x="671"/>
        <item m="1" x="1465"/>
        <item m="1" x="1283"/>
        <item m="1" x="1414"/>
        <item m="1" x="427"/>
        <item m="1" x="1425"/>
        <item m="1" x="1412"/>
        <item m="1" x="1289"/>
        <item m="1" x="524"/>
        <item m="1" x="893"/>
        <item m="1" x="986"/>
        <item m="1" x="732"/>
        <item m="1" x="1330"/>
        <item m="1" x="1116"/>
        <item m="1" x="1136"/>
        <item m="1" x="1030"/>
        <item m="1" x="373"/>
        <item m="1" x="1203"/>
        <item m="1" x="1365"/>
        <item m="1" x="770"/>
        <item m="1" x="1484"/>
        <item m="1" x="978"/>
        <item m="1" x="565"/>
        <item m="1" x="698"/>
        <item m="1" x="734"/>
        <item m="1" x="1393"/>
        <item m="1" x="1377"/>
        <item m="1" x="437"/>
        <item m="1" x="439"/>
        <item m="1" x="353"/>
        <item m="1" x="1313"/>
        <item m="1" x="355"/>
        <item m="1" x="772"/>
        <item m="1" x="672"/>
        <item m="1" x="1128"/>
        <item m="1" x="1071"/>
        <item m="1" x="1420"/>
        <item m="1" x="1352"/>
        <item m="1" x="844"/>
        <item m="1" x="1058"/>
        <item m="1" x="1293"/>
        <item m="1" x="406"/>
        <item m="1" x="838"/>
        <item m="1" x="768"/>
        <item m="1" x="1462"/>
        <item m="1" x="1429"/>
        <item m="1" x="860"/>
        <item m="1" x="466"/>
        <item m="1" x="761"/>
        <item m="1" x="934"/>
        <item m="1" x="388"/>
        <item m="1" x="1224"/>
        <item m="1" x="818"/>
        <item m="1" x="628"/>
        <item m="1" x="722"/>
        <item m="1" x="1168"/>
        <item m="1" x="1467"/>
        <item m="1" x="546"/>
        <item m="1" x="1319"/>
        <item m="1" x="540"/>
        <item m="1" x="1104"/>
        <item m="1" x="876"/>
        <item m="1" x="807"/>
        <item m="1" x="529"/>
        <item m="1" x="596"/>
        <item m="1" x="384"/>
        <item m="1" x="1184"/>
        <item m="1" x="697"/>
        <item m="1" x="421"/>
        <item m="1" x="1035"/>
        <item m="1" x="1350"/>
        <item m="1" x="890"/>
        <item m="1" x="848"/>
        <item m="1" x="319"/>
        <item m="1" x="1455"/>
        <item m="1" x="705"/>
        <item m="1" x="765"/>
        <item m="1" x="1172"/>
        <item m="1" x="1449"/>
        <item m="1" x="1374"/>
        <item m="1" x="1225"/>
        <item m="1" x="1340"/>
        <item m="1" x="501"/>
        <item m="1" x="700"/>
        <item m="1" x="533"/>
        <item m="1" x="325"/>
        <item m="1" x="938"/>
        <item m="1" x="387"/>
        <item m="1" x="609"/>
        <item m="1" x="553"/>
        <item m="1" x="499"/>
        <item m="1" x="1454"/>
        <item m="1" x="550"/>
        <item m="1" x="1152"/>
        <item m="1" x="1364"/>
        <item m="1" x="490"/>
        <item m="1" x="394"/>
        <item m="1" x="1187"/>
        <item m="1" x="1163"/>
        <item m="1" x="1204"/>
        <item m="1" x="1123"/>
        <item m="1" x="467"/>
        <item m="1" x="823"/>
        <item m="1" x="1091"/>
        <item m="1" x="1341"/>
        <item m="1" x="935"/>
        <item m="1" x="1053"/>
        <item m="1" x="1397"/>
        <item m="1" x="809"/>
        <item m="1" x="653"/>
        <item m="1" x="886"/>
        <item m="1" x="833"/>
        <item m="1" x="763"/>
        <item m="1" x="1280"/>
        <item m="1" x="967"/>
        <item m="1" x="1063"/>
        <item m="1" x="314"/>
        <item m="1" x="859"/>
        <item m="1" x="461"/>
        <item m="1" x="728"/>
        <item m="1" x="866"/>
        <item m="1" x="396"/>
        <item m="1" x="513"/>
        <item m="1" x="968"/>
        <item m="1" x="1165"/>
        <item m="1" x="1435"/>
        <item m="1" x="1478"/>
        <item m="1" x="1088"/>
        <item m="1" x="436"/>
        <item m="1" x="364"/>
        <item m="1" x="950"/>
        <item m="1" x="572"/>
        <item m="1" x="846"/>
        <item m="1" x="474"/>
        <item m="1" x="577"/>
        <item m="1" x="1004"/>
        <item m="1" x="1360"/>
        <item m="1" x="1291"/>
        <item m="1" x="707"/>
        <item m="1" x="742"/>
        <item m="1" x="1018"/>
        <item m="1" x="1448"/>
        <item m="1" x="1174"/>
        <item m="1" x="340"/>
        <item m="1" x="1402"/>
        <item m="1" x="448"/>
        <item m="1" x="1094"/>
        <item m="1" x="1139"/>
        <item m="1" x="1142"/>
        <item m="1" x="1482"/>
        <item m="1" x="375"/>
        <item m="1" x="1153"/>
        <item m="1" x="1250"/>
        <item m="1" x="1022"/>
        <item m="1" x="1192"/>
        <item m="1" x="434"/>
        <item m="1" x="826"/>
        <item m="1" x="673"/>
        <item m="1" x="1285"/>
        <item m="1" x="1380"/>
        <item m="1" x="909"/>
        <item m="1" x="1348"/>
        <item m="1" x="1396"/>
        <item m="1" x="749"/>
        <item m="1" x="1252"/>
        <item m="1" x="1115"/>
        <item m="1" x="1398"/>
        <item m="1" x="1442"/>
        <item m="1" x="1180"/>
        <item m="1" x="790"/>
        <item m="1" x="595"/>
        <item m="1" x="1430"/>
        <item m="1" x="977"/>
        <item m="1" x="951"/>
        <item m="1" x="960"/>
        <item m="1" x="1481"/>
        <item m="1" x="1205"/>
        <item m="1" x="900"/>
        <item m="1" x="1169"/>
        <item m="1" x="1146"/>
        <item m="1" x="762"/>
        <item m="1" x="663"/>
        <item m="1" x="1162"/>
        <item m="1" x="557"/>
        <item m="1" x="514"/>
        <item m="1" x="456"/>
        <item m="1" x="1443"/>
        <item m="1" x="1059"/>
        <item m="1" x="794"/>
        <item m="1" x="875"/>
        <item m="1" x="356"/>
        <item m="1" x="1432"/>
        <item m="1" x="983"/>
        <item m="1" x="1131"/>
        <item m="1" x="579"/>
        <item m="1" x="1263"/>
        <item m="1" x="766"/>
        <item m="1" x="659"/>
        <item m="1" x="1487"/>
        <item m="1" x="789"/>
        <item m="1" x="1428"/>
        <item m="1" x="1014"/>
        <item m="1" x="690"/>
        <item m="1" x="481"/>
        <item m="1" x="424"/>
        <item m="1" x="718"/>
        <item m="1" x="415"/>
        <item m="1" x="386"/>
        <item m="1" x="403"/>
        <item m="1" x="682"/>
        <item m="1" x="527"/>
        <item m="1" x="834"/>
        <item m="1" x="891"/>
        <item m="1" x="990"/>
        <item m="1" x="861"/>
        <item m="1" x="1194"/>
        <item m="1" x="1258"/>
        <item m="1" x="470"/>
        <item m="1" x="480"/>
        <item m="1" x="669"/>
        <item m="1" x="811"/>
        <item m="1" x="601"/>
        <item m="1" x="1154"/>
        <item m="1" x="904"/>
        <item m="1" x="821"/>
        <item m="1" x="954"/>
        <item m="1" x="1260"/>
        <item m="1" x="1198"/>
        <item m="1" x="1284"/>
        <item m="1" x="1040"/>
        <item m="1" x="460"/>
        <item m="1" x="1466"/>
        <item m="1" x="879"/>
        <item m="1" x="494"/>
        <item m="1" x="318"/>
        <item m="1" x="1463"/>
        <item m="1" x="947"/>
        <item m="1" x="914"/>
        <item m="1" x="686"/>
        <item m="1" x="566"/>
        <item m="1" x="650"/>
        <item m="1" x="804"/>
        <item m="1" x="1379"/>
        <item m="1" x="1298"/>
        <item m="1" x="674"/>
        <item m="1" x="747"/>
        <item m="1" x="754"/>
        <item m="1" x="1292"/>
        <item m="1" x="895"/>
        <item m="1" x="367"/>
        <item m="1" x="928"/>
        <item m="1" x="1207"/>
        <item m="1" x="1333"/>
        <item m="1" x="1226"/>
        <item m="1" x="1034"/>
        <item m="1" x="1332"/>
        <item m="1" x="346"/>
        <item m="1" x="1249"/>
        <item m="1" x="328"/>
        <item m="1" x="668"/>
        <item m="1" x="332"/>
        <item m="1" x="491"/>
        <item m="1" x="581"/>
        <item m="1" x="587"/>
        <item m="1" x="1005"/>
        <item m="1" x="1259"/>
        <item m="1" x="786"/>
        <item m="1" x="357"/>
        <item m="1" x="563"/>
        <item m="1" x="351"/>
        <item m="1" x="1346"/>
        <item m="1" x="571"/>
        <item m="1" x="907"/>
        <item m="1" x="1366"/>
        <item m="1" x="693"/>
        <item m="1" x="635"/>
        <item m="1" x="1031"/>
        <item m="1" x="588"/>
        <item m="1" x="896"/>
        <item m="1" x="1190"/>
        <item m="1" x="329"/>
        <item m="1" x="842"/>
        <item m="1" x="961"/>
        <item m="1" x="453"/>
        <item m="1" x="795"/>
        <item m="1" x="930"/>
        <item m="1" x="681"/>
        <item m="1" x="719"/>
        <item m="1" x="446"/>
        <item m="1" x="852"/>
        <item m="1" x="316"/>
        <item m="1" x="988"/>
        <item m="1" x="1381"/>
        <item m="1" x="1102"/>
        <item m="1" x="1096"/>
        <item m="1" x="995"/>
        <item m="1" x="321"/>
        <item m="1" x="1127"/>
        <item m="1" x="1170"/>
        <item m="1" x="976"/>
        <item m="1" x="320"/>
        <item m="1" x="1327"/>
        <item m="1" x="1294"/>
        <item m="1" x="324"/>
        <item m="1" x="603"/>
        <item m="1" x="993"/>
        <item m="1" x="1248"/>
        <item m="1" x="445"/>
        <item m="1" x="341"/>
        <item m="1" x="500"/>
        <item m="1" x="391"/>
        <item m="1" x="799"/>
        <item m="1" x="612"/>
        <item m="1" x="610"/>
        <item m="1" x="781"/>
        <item m="1" x="883"/>
        <item m="1" x="787"/>
        <item m="1" x="984"/>
        <item m="1" x="836"/>
        <item m="1" x="701"/>
        <item m="1" x="816"/>
        <item m="1" x="1309"/>
        <item m="1" x="1404"/>
        <item m="1" x="661"/>
        <item m="1" x="1384"/>
        <item m="1" x="426"/>
        <item m="1" x="1373"/>
        <item m="1" x="1070"/>
        <item m="1" x="1241"/>
        <item m="1" x="1320"/>
        <item m="1" x="1000"/>
        <item m="1" x="1212"/>
        <item m="1" x="504"/>
        <item m="1" x="487"/>
        <item m="1" x="1109"/>
        <item m="1" x="1081"/>
        <item m="1" x="643"/>
        <item m="1" x="1479"/>
        <item m="1" x="1051"/>
        <item m="1" x="791"/>
        <item m="1" x="865"/>
        <item m="1" x="824"/>
        <item m="1" x="1334"/>
        <item m="1" x="1338"/>
        <item m="1" x="334"/>
        <item m="1" x="1218"/>
        <item m="1" x="1264"/>
        <item m="1" x="383"/>
        <item m="1" x="755"/>
        <item m="1" x="746"/>
        <item m="1" x="1253"/>
        <item m="1" x="952"/>
        <item m="1" x="1156"/>
        <item m="1" x="822"/>
        <item m="1" x="1173"/>
        <item m="1" x="361"/>
        <item m="1" x="484"/>
        <item m="1" x="1453"/>
        <item m="1" x="1073"/>
        <item m="1" x="1445"/>
        <item m="1" x="365"/>
        <item m="1" x="625"/>
        <item m="1" x="441"/>
        <item m="1" x="374"/>
        <item m="1" x="389"/>
        <item m="1" x="941"/>
        <item m="1" x="974"/>
        <item m="1" x="646"/>
        <item m="1" x="1064"/>
        <item m="1" x="1382"/>
        <item m="1" x="733"/>
        <item m="1" x="812"/>
        <item m="1" x="962"/>
        <item m="1" x="1450"/>
        <item m="1" x="627"/>
        <item m="1" x="639"/>
        <item m="1" x="649"/>
        <item m="1" x="1270"/>
        <item m="1" x="1406"/>
        <item m="1" x="323"/>
        <item m="1" x="1150"/>
        <item m="1" x="1446"/>
        <item m="1" x="547"/>
        <item m="1" x="862"/>
        <item m="1" x="1483"/>
        <item m="1" x="1389"/>
        <item m="1" x="536"/>
        <item m="1" x="648"/>
        <item m="1" x="735"/>
        <item m="1" x="1060"/>
        <item m="1" x="1257"/>
        <item m="1" x="492"/>
        <item m="1" x="963"/>
        <item m="1" x="488"/>
        <item m="1" x="457"/>
        <item m="1" x="405"/>
        <item m="1" x="1376"/>
        <item m="1" x="969"/>
        <item m="1" x="1417"/>
        <item m="1" x="810"/>
        <item m="1" x="1434"/>
        <item m="1" x="1186"/>
        <item m="1" x="475"/>
        <item m="1" x="1290"/>
        <item m="1" x="1304"/>
        <item m="1" x="964"/>
        <item m="1" x="1339"/>
        <item m="1" x="1177"/>
        <item m="1" x="1042"/>
        <item m="1" x="359"/>
        <item m="1" x="1188"/>
        <item m="1" x="920"/>
        <item m="1" x="853"/>
        <item m="1" x="1196"/>
        <item m="1" x="780"/>
        <item m="1" x="414"/>
        <item m="1" x="586"/>
        <item m="1" x="363"/>
        <item m="1" x="712"/>
        <item m="1" x="1090"/>
        <item m="1" x="675"/>
        <item m="1" x="538"/>
        <item m="1" x="753"/>
        <item m="1" x="431"/>
        <item m="1" x="683"/>
        <item m="1" x="554"/>
        <item m="1" x="905"/>
        <item m="1" x="1492"/>
        <item m="1" x="946"/>
        <item m="1" x="542"/>
        <item m="1" x="819"/>
        <item m="1" x="525"/>
        <item m="1" x="578"/>
        <item m="1" x="870"/>
        <item m="1" x="1138"/>
        <item m="1" x="855"/>
        <item m="1" x="1305"/>
        <item m="1" x="867"/>
        <item m="1" x="1101"/>
        <item m="1" x="416"/>
        <item m="1" x="899"/>
        <item m="1" x="539"/>
        <item m="1" x="469"/>
        <item m="1" x="1195"/>
        <item m="1" x="510"/>
        <item m="1" x="1219"/>
        <item m="1" x="411"/>
        <item m="1" x="1036"/>
        <item m="1" x="1043"/>
        <item m="1" x="447"/>
        <item m="1" x="965"/>
        <item m="1" x="343"/>
        <item m="1" x="1166"/>
        <item m="1" x="871"/>
        <item m="1" x="1092"/>
        <item m="1" x="1061"/>
        <item m="1" x="1281"/>
        <item m="1" x="1054"/>
        <item m="1" x="632"/>
        <item m="1" x="1133"/>
        <item m="1" x="1267"/>
        <item m="1" x="957"/>
        <item m="1" x="1089"/>
        <item m="1" x="422"/>
        <item m="1" x="1255"/>
        <item m="1" x="912"/>
        <item m="1" x="777"/>
        <item m="1" x="1161"/>
        <item m="1" x="687"/>
        <item m="1" x="1010"/>
        <item m="1" x="544"/>
        <item m="1" x="640"/>
        <item m="1" x="1037"/>
        <item m="1" x="806"/>
        <item m="1" x="350"/>
        <item m="1" x="684"/>
        <item m="1" x="1164"/>
        <item m="1" x="1266"/>
        <item m="1" x="369"/>
        <item m="1" x="654"/>
        <item m="1" x="589"/>
        <item m="1" x="922"/>
        <item m="1" x="1015"/>
        <item m="1" x="455"/>
        <item m="1" x="1437"/>
        <item m="1" x="420"/>
        <item m="1" x="493"/>
        <item m="1" x="1274"/>
        <item m="1" x="782"/>
        <item m="1" x="796"/>
        <item m="1" x="850"/>
        <item m="1" x="425"/>
        <item m="1" x="704"/>
        <item m="1" x="1099"/>
        <item m="1" x="1011"/>
        <item m="1" x="801"/>
        <item m="1" x="748"/>
        <item m="1" x="378"/>
        <item m="1" x="616"/>
        <item m="1" x="1080"/>
        <item m="1" x="714"/>
        <item m="1" x="877"/>
        <item m="1" x="814"/>
        <item m="1" x="996"/>
        <item m="1" x="360"/>
        <item m="1" x="841"/>
        <item m="1" x="515"/>
        <item m="1" x="918"/>
        <item m="1" x="1044"/>
        <item m="1" x="1120"/>
        <item m="1" x="1055"/>
        <item m="1" x="1016"/>
        <item m="1" x="942"/>
        <item m="1" x="1353"/>
        <item m="1" x="1245"/>
        <item m="1" x="496"/>
        <item m="1" x="1237"/>
        <item m="1" x="691"/>
        <item m="1" x="1001"/>
        <item m="1" x="407"/>
        <item m="1" x="980"/>
        <item m="1" x="847"/>
        <item m="1" x="1279"/>
        <item m="1" x="433"/>
        <item m="1" x="1490"/>
        <item m="1" x="472"/>
        <item m="1" x="412"/>
        <item m="1" x="982"/>
        <item m="1" x="1182"/>
        <item m="1" x="1085"/>
        <item m="1" x="371"/>
        <item m="1" x="523"/>
        <item m="1" x="1311"/>
        <item m="1" x="1251"/>
        <item m="1" x="506"/>
        <item m="1" x="479"/>
        <item m="1" x="774"/>
        <item m="1" x="395"/>
        <item m="1" x="1002"/>
        <item m="1" x="435"/>
        <item m="1" x="605"/>
        <item m="1" x="902"/>
        <item m="1" x="1433"/>
        <item m="1" x="473"/>
        <item m="1" x="743"/>
        <item m="1" x="590"/>
        <item m="1" x="752"/>
        <item m="1" x="1306"/>
        <item m="1" x="1189"/>
        <item m="1" x="651"/>
        <item m="1" x="404"/>
        <item m="1" x="1354"/>
        <item m="1" x="517"/>
        <item m="1" x="1299"/>
        <item m="1" x="856"/>
        <item m="1" x="1240"/>
        <item m="1" x="599"/>
        <item m="1" x="771"/>
        <item m="1" x="1256"/>
        <item m="1" x="1444"/>
        <item m="1" x="1220"/>
        <item m="1" x="619"/>
        <item m="1" x="562"/>
        <item m="1" x="1265"/>
        <item m="1" x="1029"/>
        <item m="1" x="873"/>
        <item m="1" x="1297"/>
        <item m="1" x="345"/>
        <item m="1" x="342"/>
        <item m="1" x="1017"/>
        <item m="1" x="1157"/>
        <item m="1" x="1112"/>
        <item m="1" x="1295"/>
        <item m="1" x="820"/>
        <item m="1" x="567"/>
        <item m="1" x="641"/>
        <item m="1" x="1171"/>
        <item m="1" x="723"/>
        <item m="1" x="953"/>
        <item m="1" x="1368"/>
        <item m="1" x="606"/>
        <item m="1" x="943"/>
        <item m="1" x="327"/>
        <item m="1" x="6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m="1" x="644"/>
        <item m="1" x="1405"/>
        <item m="1" x="347"/>
        <item m="1" x="3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86"/>
    </i>
    <i r="2">
      <x v="11"/>
    </i>
    <i r="1">
      <x v="1487"/>
    </i>
    <i r="2">
      <x v="8"/>
    </i>
    <i r="1">
      <x v="1488"/>
    </i>
    <i r="2">
      <x v="8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2" totalsRowShown="0" totalsRowDxfId="24">
  <autoFilter ref="A1:C123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231" totalsRowShown="0">
  <autoFilter ref="A1:S3231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1016</v>
      </c>
    </row>
    <row r="5" spans="1:2">
      <c r="A5" s="111" t="s">
        <v>369</v>
      </c>
      <c r="B5" s="125">
        <v>978</v>
      </c>
    </row>
    <row r="6" spans="1:2">
      <c r="A6" s="111" t="s">
        <v>404</v>
      </c>
      <c r="B6" s="125"/>
    </row>
    <row r="7" spans="1:2">
      <c r="A7" s="111" t="s">
        <v>370</v>
      </c>
      <c r="B7" s="125">
        <v>1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832</v>
      </c>
    </row>
    <row r="15" spans="1:2">
      <c r="A15" s="111" t="s">
        <v>369</v>
      </c>
      <c r="B15" s="125">
        <v>803</v>
      </c>
    </row>
    <row r="16" spans="1:2">
      <c r="A16" s="111" t="s">
        <v>370</v>
      </c>
      <c r="B16" s="125">
        <v>7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7" t="s">
        <v>569</v>
      </c>
      <c r="B19" s="125">
        <v>922</v>
      </c>
    </row>
    <row r="20" spans="1:2">
      <c r="A20" s="111" t="s">
        <v>369</v>
      </c>
      <c r="B20" s="125">
        <v>903</v>
      </c>
    </row>
    <row r="21" spans="1:2">
      <c r="A21" s="111" t="s">
        <v>370</v>
      </c>
      <c r="B21" s="125">
        <v>1</v>
      </c>
    </row>
    <row r="22" spans="1:2">
      <c r="A22" s="111" t="s">
        <v>398</v>
      </c>
      <c r="B22" s="125">
        <v>8</v>
      </c>
    </row>
    <row r="23" spans="1:2">
      <c r="A23" s="111" t="s">
        <v>377</v>
      </c>
      <c r="B23" s="125">
        <v>7</v>
      </c>
    </row>
    <row r="24" spans="1:2">
      <c r="A24" s="111" t="s">
        <v>375</v>
      </c>
      <c r="B24" s="125">
        <v>3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2908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5"/>
  <sheetViews>
    <sheetView zoomScale="115" zoomScaleNormal="115" workbookViewId="0">
      <selection activeCell="A21" sqref="A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11</v>
      </c>
      <c r="C5"/>
      <c r="D5"/>
      <c r="E5"/>
    </row>
    <row r="6" spans="1:6">
      <c r="A6" s="111" t="s">
        <v>4920</v>
      </c>
      <c r="B6" s="125">
        <v>3</v>
      </c>
      <c r="C6"/>
      <c r="D6" s="124"/>
      <c r="E6" s="124"/>
    </row>
    <row r="7" spans="1:6">
      <c r="A7" s="112" t="s">
        <v>375</v>
      </c>
      <c r="B7" s="125">
        <v>3</v>
      </c>
      <c r="C7"/>
      <c r="D7"/>
      <c r="E7"/>
    </row>
    <row r="8" spans="1:6">
      <c r="A8" s="111" t="s">
        <v>4922</v>
      </c>
      <c r="B8" s="125">
        <v>1</v>
      </c>
      <c r="C8" s="56"/>
      <c r="D8" s="124"/>
      <c r="E8" s="124"/>
    </row>
    <row r="9" spans="1:6">
      <c r="A9" s="112" t="s">
        <v>370</v>
      </c>
      <c r="B9" s="125">
        <v>1</v>
      </c>
      <c r="C9"/>
      <c r="D9"/>
    </row>
    <row r="10" spans="1:6">
      <c r="A10" s="111" t="s">
        <v>4938</v>
      </c>
      <c r="B10" s="125">
        <v>7</v>
      </c>
      <c r="C10" s="53"/>
      <c r="D10" s="124"/>
      <c r="E10" s="124"/>
    </row>
    <row r="11" spans="1:6">
      <c r="A11" s="112" t="s">
        <v>370</v>
      </c>
      <c r="B11" s="125">
        <v>7</v>
      </c>
      <c r="C11"/>
      <c r="D11"/>
    </row>
    <row r="12" spans="1:6">
      <c r="A12" s="17" t="s">
        <v>4328</v>
      </c>
      <c r="B12" s="125">
        <v>11</v>
      </c>
      <c r="C12"/>
      <c r="D12"/>
    </row>
    <row r="13" spans="1:6">
      <c r="A13" s="111" t="s">
        <v>4415</v>
      </c>
      <c r="B13" s="125">
        <v>11</v>
      </c>
      <c r="C13"/>
      <c r="D13"/>
    </row>
    <row r="14" spans="1:6">
      <c r="A14" s="112" t="s">
        <v>369</v>
      </c>
      <c r="B14" s="125">
        <v>10</v>
      </c>
      <c r="C14" s="53"/>
      <c r="D14"/>
    </row>
    <row r="15" spans="1:6">
      <c r="A15" s="112" t="s">
        <v>370</v>
      </c>
      <c r="B15" s="125">
        <v>1</v>
      </c>
      <c r="C15"/>
      <c r="D15" s="124"/>
      <c r="E15" s="124"/>
    </row>
    <row r="16" spans="1:6">
      <c r="A16" s="17" t="s">
        <v>381</v>
      </c>
      <c r="B16" s="125">
        <v>22</v>
      </c>
      <c r="C16"/>
      <c r="D16"/>
    </row>
    <row r="17" spans="3:5">
      <c r="C17"/>
      <c r="D17" s="124"/>
      <c r="E17" s="124"/>
    </row>
    <row r="18" spans="3:5">
      <c r="C18"/>
      <c r="D18"/>
    </row>
    <row r="19" spans="3:5">
      <c r="C19" s="47"/>
      <c r="D19"/>
    </row>
    <row r="21" spans="3:5" ht="17.25" customHeight="1"/>
    <row r="25" spans="3:5">
      <c r="D25" s="124"/>
      <c r="E25" s="124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2"/>
  <sheetViews>
    <sheetView topLeftCell="A1215" workbookViewId="0">
      <selection activeCell="C1229" sqref="C1229:C12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231"/>
  <sheetViews>
    <sheetView tabSelected="1" topLeftCell="A2991" zoomScale="85" zoomScaleNormal="85" workbookViewId="0">
      <selection activeCell="E3002" sqref="E300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161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136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136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136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136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136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136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136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136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136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136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136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132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129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129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129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129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129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129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129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129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129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129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129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129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129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129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129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129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129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129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129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129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129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129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129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129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129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129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129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129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129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129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129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129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129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129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129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129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129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129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129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129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129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128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128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128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128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128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128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128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128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128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128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128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128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128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128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128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128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128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128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128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128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128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128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128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128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128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128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128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128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128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128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128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128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128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128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128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128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128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128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128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128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128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128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128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128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128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128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128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128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128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128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128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128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128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128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128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128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128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128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128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127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127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127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127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127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126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126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124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124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123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120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120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120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120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120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120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120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120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120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120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120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120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120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120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119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119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119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119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119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114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114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114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109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109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109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109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109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109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109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109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109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109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109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109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109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109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109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109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109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109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105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105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105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100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99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85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85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84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84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84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74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59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59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59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59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59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59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59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59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59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59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59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59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59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59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59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59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59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59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59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59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56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56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56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56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55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55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55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55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55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55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55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55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55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55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55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55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55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55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55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55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55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55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55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55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55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55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55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55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55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55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55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55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55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55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54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54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54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54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54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54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54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54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54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54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54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54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54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54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54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54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54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54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50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50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50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50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50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50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50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50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50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50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50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50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50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50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50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50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50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50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50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50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50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50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50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50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50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50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50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50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50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50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50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50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50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50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50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50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50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50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50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50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50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50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50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50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50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50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50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50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50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50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50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50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50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50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50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50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50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50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50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50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50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50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50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50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50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50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50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50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50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50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50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50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50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50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50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50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50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50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50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50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50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50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50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50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50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50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50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50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50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50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50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50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44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44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39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39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34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34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34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34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34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34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34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34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34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34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34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34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34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34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34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34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34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34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34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34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34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34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34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34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34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34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34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34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34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34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34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34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34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34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34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34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34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34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34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34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34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34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34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34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34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34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34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34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34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34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34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34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34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34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34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34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34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34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34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34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34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34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34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34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34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34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34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34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34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34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34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34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34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34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34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34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34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34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34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34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34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34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34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34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34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34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34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34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34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34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34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34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34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34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34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34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34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34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34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34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34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34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34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34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34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31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31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31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31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32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29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29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24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e">
        <f>VLOOKUP(Proc[[#This Row],[Obj]],Sheet4!A:B,2,0)</f>
        <v>#N/A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e">
        <f>Proc[[#This Row],[Requested]]=Proc[[#This Row],[CurrentParent]]</f>
        <v>#N/A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24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24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24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24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24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24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24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24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24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24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22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22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22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22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22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22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22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22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22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22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22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22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22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22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22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22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22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22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22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22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22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22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22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22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22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22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22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22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22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22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22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22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22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22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22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22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22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22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22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22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22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22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22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22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22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22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22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22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22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22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22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22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22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22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22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22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22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22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22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22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22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22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22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22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22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22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22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22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22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22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22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22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22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22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22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22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22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22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22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22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22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22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22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22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22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22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22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22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22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22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22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22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22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22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22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22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22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22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22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22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22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22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22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22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22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22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22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22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22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22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22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22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22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22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22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22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22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22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22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22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22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22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22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22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22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22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22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22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22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22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22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22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22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22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22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22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22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22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22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22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22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22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22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22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22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22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22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22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22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22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22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22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22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22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22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22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22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22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22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22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22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22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22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22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22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22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22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22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22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22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22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22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22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22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22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22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22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22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22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22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22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22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22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22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22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22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22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22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22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22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22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22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22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22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22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22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22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22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22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22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22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22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22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22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22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22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22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22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22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22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22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22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22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22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22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22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22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22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22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22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22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22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22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22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22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22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22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22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22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22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22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22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22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22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22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22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22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22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22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22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22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22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22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22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22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22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22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22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22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22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22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22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22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22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22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22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22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22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22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22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22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22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22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22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22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22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22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22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22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22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22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22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22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22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22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22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22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22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22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22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22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22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22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22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22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22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22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22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22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22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22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22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22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22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22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22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22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22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22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22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22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22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22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22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22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22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22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22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22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22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22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22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22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22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22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22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22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22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22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22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22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22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22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22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22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22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22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22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22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22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22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22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22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22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22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20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20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20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20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20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20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20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20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20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20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19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19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19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18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18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18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18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18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18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17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17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on track</v>
      </c>
      <c r="Q2902" s="3">
        <f ca="1">IF(Proc[[#This Row],[DateClosed]]="",ABS(NETWORKDAYS(Proc[[#This Row],[DateOpened]],TODAY()))-1,ABS(NETWORKDAYS(Proc[[#This Row],[DateOpened]],Proc[[#This Row],[DateClosed]]))-1)</f>
        <v>5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on track</v>
      </c>
      <c r="Q2903" s="3">
        <f ca="1">IF(Proc[[#This Row],[DateClosed]]="",ABS(NETWORKDAYS(Proc[[#This Row],[DateOpened]],TODAY()))-1,ABS(NETWORKDAYS(Proc[[#This Row],[DateOpened]],Proc[[#This Row],[DateClosed]]))-1)</f>
        <v>5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on track</v>
      </c>
      <c r="Q2904" s="3">
        <f ca="1">IF(Proc[[#This Row],[DateClosed]]="",ABS(NETWORKDAYS(Proc[[#This Row],[DateOpened]],TODAY()))-1,ABS(NETWORKDAYS(Proc[[#This Row],[DateOpened]],Proc[[#This Row],[DateClosed]]))-1)</f>
        <v>5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on track</v>
      </c>
      <c r="Q2905" s="3">
        <f ca="1">IF(Proc[[#This Row],[DateClosed]]="",ABS(NETWORKDAYS(Proc[[#This Row],[DateOpened]],TODAY()))-1,ABS(NETWORKDAYS(Proc[[#This Row],[DateOpened]],Proc[[#This Row],[DateClosed]]))-1)</f>
        <v>5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on track</v>
      </c>
      <c r="Q2906" s="3">
        <f ca="1">IF(Proc[[#This Row],[DateClosed]]="",ABS(NETWORKDAYS(Proc[[#This Row],[DateOpened]],TODAY()))-1,ABS(NETWORKDAYS(Proc[[#This Row],[DateOpened]],Proc[[#This Row],[DateClosed]]))-1)</f>
        <v>5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on track</v>
      </c>
      <c r="Q2907" s="3">
        <f ca="1">IF(Proc[[#This Row],[DateClosed]]="",ABS(NETWORKDAYS(Proc[[#This Row],[DateOpened]],TODAY()))-1,ABS(NETWORKDAYS(Proc[[#This Row],[DateOpened]],Proc[[#This Row],[DateClosed]]))-1)</f>
        <v>5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open</v>
      </c>
      <c r="C2908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on track</v>
      </c>
      <c r="Q2908" s="3">
        <f ca="1">IF(Proc[[#This Row],[DateClosed]]="",ABS(NETWORKDAYS(Proc[[#This Row],[DateOpened]],TODAY()))-1,ABS(NETWORKDAYS(Proc[[#This Row],[DateOpened]],Proc[[#This Row],[DateClosed]]))-1)</f>
        <v>5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open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on track</v>
      </c>
      <c r="Q2909" s="3">
        <f ca="1">IF(Proc[[#This Row],[DateClosed]]="",ABS(NETWORKDAYS(Proc[[#This Row],[DateOpened]],TODAY()))-1,ABS(NETWORKDAYS(Proc[[#This Row],[DateOpened]],Proc[[#This Row],[DateClosed]]))-1)</f>
        <v>5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open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on track</v>
      </c>
      <c r="Q2910" s="3">
        <f ca="1">IF(Proc[[#This Row],[DateClosed]]="",ABS(NETWORKDAYS(Proc[[#This Row],[DateOpened]],TODAY()))-1,ABS(NETWORKDAYS(Proc[[#This Row],[DateOpened]],Proc[[#This Row],[DateClosed]]))-1)</f>
        <v>5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open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on track</v>
      </c>
      <c r="Q2911" s="3">
        <f ca="1">IF(Proc[[#This Row],[DateClosed]]="",ABS(NETWORKDAYS(Proc[[#This Row],[DateOpened]],TODAY()))-1,ABS(NETWORKDAYS(Proc[[#This Row],[DateOpened]],Proc[[#This Row],[DateClosed]]))-1)</f>
        <v>5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open</v>
      </c>
      <c r="C2912" s="124" t="s">
        <v>369</v>
      </c>
      <c r="D2912" t="s">
        <v>4926</v>
      </c>
      <c r="E2912" t="s">
        <v>4932</v>
      </c>
      <c r="F2912" s="125" t="str">
        <f>VLOOKUP(Proc[[#This Row],[Obj]],Sheet2!A:B,2,0)</f>
        <v>L000013375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on track</v>
      </c>
      <c r="Q2912" s="3">
        <f ca="1">IF(Proc[[#This Row],[DateClosed]]="",ABS(NETWORKDAYS(Proc[[#This Row],[DateOpened]],TODAY()))-1,ABS(NETWORKDAYS(Proc[[#This Row],[DateOpened]],Proc[[#This Row],[DateClosed]]))-1)</f>
        <v>3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open</v>
      </c>
      <c r="C2913" s="124" t="s">
        <v>369</v>
      </c>
      <c r="D2913" t="s">
        <v>4927</v>
      </c>
      <c r="E2913" t="s">
        <v>4933</v>
      </c>
      <c r="F2913" s="125" t="str">
        <f>VLOOKUP(Proc[[#This Row],[Obj]],Sheet2!A:B,2,0)</f>
        <v>L000013120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on track</v>
      </c>
      <c r="Q2913" s="3">
        <f ca="1">IF(Proc[[#This Row],[DateClosed]]="",ABS(NETWORKDAYS(Proc[[#This Row],[DateOpened]],TODAY()))-1,ABS(NETWORKDAYS(Proc[[#This Row],[DateOpened]],Proc[[#This Row],[DateClosed]]))-1)</f>
        <v>3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open</v>
      </c>
      <c r="C2914" s="124" t="s">
        <v>369</v>
      </c>
      <c r="D2914" t="s">
        <v>4928</v>
      </c>
      <c r="E2914" t="s">
        <v>4934</v>
      </c>
      <c r="F2914" s="125" t="str">
        <f>VLOOKUP(Proc[[#This Row],[Obj]],Sheet2!A:B,2,0)</f>
        <v>L000013436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on track</v>
      </c>
      <c r="Q2914" s="3">
        <f ca="1">IF(Proc[[#This Row],[DateClosed]]="",ABS(NETWORKDAYS(Proc[[#This Row],[DateOpened]],TODAY()))-1,ABS(NETWORKDAYS(Proc[[#This Row],[DateOpened]],Proc[[#This Row],[DateClosed]]))-1)</f>
        <v>3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open</v>
      </c>
      <c r="C2915" s="124" t="s">
        <v>369</v>
      </c>
      <c r="D2915" t="s">
        <v>4929</v>
      </c>
      <c r="E2915" t="s">
        <v>4935</v>
      </c>
      <c r="F2915" s="125" t="str">
        <f>VLOOKUP(Proc[[#This Row],[Obj]],Sheet2!A:B,2,0)</f>
        <v>L000013276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on track</v>
      </c>
      <c r="Q2915" s="3">
        <f ca="1">IF(Proc[[#This Row],[DateClosed]]="",ABS(NETWORKDAYS(Proc[[#This Row],[DateOpened]],TODAY()))-1,ABS(NETWORKDAYS(Proc[[#This Row],[DateOpened]],Proc[[#This Row],[DateClosed]]))-1)</f>
        <v>3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open</v>
      </c>
      <c r="C2916" s="124" t="s">
        <v>369</v>
      </c>
      <c r="D2916" t="s">
        <v>4930</v>
      </c>
      <c r="E2916" t="s">
        <v>2206</v>
      </c>
      <c r="F2916" s="125" t="str">
        <f>VLOOKUP(Proc[[#This Row],[Obj]],Sheet2!A:B,2,0)</f>
        <v>L000010037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on track</v>
      </c>
      <c r="Q2916" s="3">
        <f ca="1">IF(Proc[[#This Row],[DateClosed]]="",ABS(NETWORKDAYS(Proc[[#This Row],[DateOpened]],TODAY()))-1,ABS(NETWORKDAYS(Proc[[#This Row],[DateOpened]],Proc[[#This Row],[DateClosed]]))-1)</f>
        <v>3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open</v>
      </c>
      <c r="C2917" s="124" t="s">
        <v>369</v>
      </c>
      <c r="D2917" t="s">
        <v>4931</v>
      </c>
      <c r="E2917" t="s">
        <v>4936</v>
      </c>
      <c r="F2917" s="125" t="str">
        <f>VLOOKUP(Proc[[#This Row],[Obj]],Sheet2!A:B,2,0)</f>
        <v>L000011306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on track</v>
      </c>
      <c r="Q2917" s="3">
        <f ca="1">IF(Proc[[#This Row],[DateClosed]]="",ABS(NETWORKDAYS(Proc[[#This Row],[DateOpened]],TODAY()))-1,ABS(NETWORKDAYS(Proc[[#This Row],[DateOpened]],Proc[[#This Row],[DateClosed]]))-1)</f>
        <v>3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open</v>
      </c>
      <c r="C2918" s="124" t="s">
        <v>369</v>
      </c>
      <c r="D2918" t="s">
        <v>4937</v>
      </c>
      <c r="E2918" t="s">
        <v>2815</v>
      </c>
      <c r="F2918" s="125" t="str">
        <f>VLOOKUP(Proc[[#This Row],[Obj]],Sheet2!A:B,2,0)</f>
        <v>L000006623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on track</v>
      </c>
      <c r="Q2918" s="3">
        <f ca="1">IF(Proc[[#This Row],[DateClosed]]="",ABS(NETWORKDAYS(Proc[[#This Row],[DateOpened]],TODAY()))-1,ABS(NETWORKDAYS(Proc[[#This Row],[DateOpened]],Proc[[#This Row],[DateClosed]]))-1)</f>
        <v>3</v>
      </c>
      <c r="R2918" s="115" t="s">
        <v>972</v>
      </c>
      <c r="S2918" s="125"/>
    </row>
    <row r="2919" spans="1:19">
      <c r="A2919" t="s">
        <v>4947</v>
      </c>
      <c r="B2919" s="125" t="str">
        <f>IFERROR(VLOOKUP(Proc[[#This Row],[App]],Table2[],3,0),"open")</f>
        <v>open</v>
      </c>
      <c r="C2919" t="s">
        <v>375</v>
      </c>
      <c r="D2919" t="s">
        <v>4969</v>
      </c>
      <c r="E2919" t="s">
        <v>4948</v>
      </c>
      <c r="F2919" s="125" t="str">
        <f>VLOOKUP(Proc[[#This Row],[Obj]],Sheet4!A:B,2,0)</f>
        <v>G000001129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0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on track</v>
      </c>
      <c r="Q2919" s="3">
        <f ca="1">IF(Proc[[#This Row],[DateClosed]]="",ABS(NETWORKDAYS(Proc[[#This Row],[DateOpened]],TODAY()))-1,ABS(NETWORKDAYS(Proc[[#This Row],[DateOpened]],Proc[[#This Row],[DateClosed]]))-1)</f>
        <v>3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open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on track</v>
      </c>
      <c r="Q2920" s="3">
        <f ca="1">IF(Proc[[#This Row],[DateClosed]]="",ABS(NETWORKDAYS(Proc[[#This Row],[DateOpened]],TODAY()))-1,ABS(NETWORKDAYS(Proc[[#This Row],[DateOpened]],Proc[[#This Row],[DateClosed]]))-1)</f>
        <v>2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open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on track</v>
      </c>
      <c r="Q2921" s="3">
        <f ca="1">IF(Proc[[#This Row],[DateClosed]]="",ABS(NETWORKDAYS(Proc[[#This Row],[DateOpened]],TODAY()))-1,ABS(NETWORKDAYS(Proc[[#This Row],[DateOpened]],Proc[[#This Row],[DateClosed]]))-1)</f>
        <v>2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open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on track</v>
      </c>
      <c r="Q2922" s="3">
        <f ca="1">IF(Proc[[#This Row],[DateClosed]]="",ABS(NETWORKDAYS(Proc[[#This Row],[DateOpened]],TODAY()))-1,ABS(NETWORKDAYS(Proc[[#This Row],[DateOpened]],Proc[[#This Row],[DateClosed]]))-1)</f>
        <v>2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open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on track</v>
      </c>
      <c r="Q2923" s="3">
        <f ca="1">IF(Proc[[#This Row],[DateClosed]]="",ABS(NETWORKDAYS(Proc[[#This Row],[DateOpened]],TODAY()))-1,ABS(NETWORKDAYS(Proc[[#This Row],[DateOpened]],Proc[[#This Row],[DateClosed]]))-1)</f>
        <v>2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open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on track</v>
      </c>
      <c r="Q2924" s="3">
        <f ca="1">IF(Proc[[#This Row],[DateClosed]]="",ABS(NETWORKDAYS(Proc[[#This Row],[DateOpened]],TODAY()))-1,ABS(NETWORKDAYS(Proc[[#This Row],[DateOpened]],Proc[[#This Row],[DateClosed]]))-1)</f>
        <v>2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open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on track</v>
      </c>
      <c r="Q2925" s="3">
        <f ca="1">IF(Proc[[#This Row],[DateClosed]]="",ABS(NETWORKDAYS(Proc[[#This Row],[DateOpened]],TODAY()))-1,ABS(NETWORKDAYS(Proc[[#This Row],[DateOpened]],Proc[[#This Row],[DateClosed]]))-1)</f>
        <v>2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open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on track</v>
      </c>
      <c r="Q2926" s="3">
        <f ca="1">IF(Proc[[#This Row],[DateClosed]]="",ABS(NETWORKDAYS(Proc[[#This Row],[DateOpened]],TODAY()))-1,ABS(NETWORKDAYS(Proc[[#This Row],[DateOpened]],Proc[[#This Row],[DateClosed]]))-1)</f>
        <v>2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open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on track</v>
      </c>
      <c r="Q2927" s="3">
        <f ca="1">IF(Proc[[#This Row],[DateClosed]]="",ABS(NETWORKDAYS(Proc[[#This Row],[DateOpened]],TODAY()))-1,ABS(NETWORKDAYS(Proc[[#This Row],[DateOpened]],Proc[[#This Row],[DateClosed]]))-1)</f>
        <v>2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open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on track</v>
      </c>
      <c r="Q2928" s="3">
        <f ca="1">IF(Proc[[#This Row],[DateClosed]]="",ABS(NETWORKDAYS(Proc[[#This Row],[DateOpened]],TODAY()))-1,ABS(NETWORKDAYS(Proc[[#This Row],[DateOpened]],Proc[[#This Row],[DateClosed]]))-1)</f>
        <v>2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open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on track</v>
      </c>
      <c r="Q2929" s="3">
        <f ca="1">IF(Proc[[#This Row],[DateClosed]]="",ABS(NETWORKDAYS(Proc[[#This Row],[DateOpened]],TODAY()))-1,ABS(NETWORKDAYS(Proc[[#This Row],[DateOpened]],Proc[[#This Row],[DateClosed]]))-1)</f>
        <v>2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open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on track</v>
      </c>
      <c r="Q2930" s="3">
        <f ca="1">IF(Proc[[#This Row],[DateClosed]]="",ABS(NETWORKDAYS(Proc[[#This Row],[DateOpened]],TODAY()))-1,ABS(NETWORKDAYS(Proc[[#This Row],[DateOpened]],Proc[[#This Row],[DateClosed]]))-1)</f>
        <v>2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open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on track</v>
      </c>
      <c r="Q2931" s="3">
        <f ca="1">IF(Proc[[#This Row],[DateClosed]]="",ABS(NETWORKDAYS(Proc[[#This Row],[DateOpened]],TODAY()))-1,ABS(NETWORKDAYS(Proc[[#This Row],[DateOpened]],Proc[[#This Row],[DateClosed]]))-1)</f>
        <v>2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open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on track</v>
      </c>
      <c r="Q2932" s="3">
        <f ca="1">IF(Proc[[#This Row],[DateClosed]]="",ABS(NETWORKDAYS(Proc[[#This Row],[DateOpened]],TODAY()))-1,ABS(NETWORKDAYS(Proc[[#This Row],[DateOpened]],Proc[[#This Row],[DateClosed]]))-1)</f>
        <v>2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open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on track</v>
      </c>
      <c r="Q2933" s="3">
        <f ca="1">IF(Proc[[#This Row],[DateClosed]]="",ABS(NETWORKDAYS(Proc[[#This Row],[DateOpened]],TODAY()))-1,ABS(NETWORKDAYS(Proc[[#This Row],[DateOpened]],Proc[[#This Row],[DateClosed]]))-1)</f>
        <v>2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open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on track</v>
      </c>
      <c r="Q2934" s="3">
        <f ca="1">IF(Proc[[#This Row],[DateClosed]]="",ABS(NETWORKDAYS(Proc[[#This Row],[DateOpened]],TODAY()))-1,ABS(NETWORKDAYS(Proc[[#This Row],[DateOpened]],Proc[[#This Row],[DateClosed]]))-1)</f>
        <v>2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open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on track</v>
      </c>
      <c r="Q2935" s="3">
        <f ca="1">IF(Proc[[#This Row],[DateClosed]]="",ABS(NETWORKDAYS(Proc[[#This Row],[DateOpened]],TODAY()))-1,ABS(NETWORKDAYS(Proc[[#This Row],[DateOpened]],Proc[[#This Row],[DateClosed]]))-1)</f>
        <v>2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open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on track</v>
      </c>
      <c r="Q2936" s="3">
        <f ca="1">IF(Proc[[#This Row],[DateClosed]]="",ABS(NETWORKDAYS(Proc[[#This Row],[DateOpened]],TODAY()))-1,ABS(NETWORKDAYS(Proc[[#This Row],[DateOpened]],Proc[[#This Row],[DateClosed]]))-1)</f>
        <v>2</v>
      </c>
      <c r="R2936" s="115" t="s">
        <v>415</v>
      </c>
      <c r="S2936" s="125"/>
    </row>
    <row r="2937" spans="1:19">
      <c r="A2937" t="s">
        <v>5276</v>
      </c>
      <c r="B2937" s="125" t="str">
        <f>IFERROR(VLOOKUP(Proc[[#This Row],[App]],Table2[],3,0),"open")</f>
        <v>open</v>
      </c>
      <c r="C2937" t="s">
        <v>370</v>
      </c>
      <c r="D2937" t="s">
        <v>4974</v>
      </c>
      <c r="E2937" t="s">
        <v>2521</v>
      </c>
      <c r="F2937" s="125"/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0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0</v>
      </c>
      <c r="R2937" s="115" t="s">
        <v>1013</v>
      </c>
      <c r="S2937" s="125"/>
    </row>
    <row r="2938" spans="1:19">
      <c r="A2938" s="124" t="s">
        <v>5276</v>
      </c>
      <c r="B2938" s="125" t="str">
        <f>IFERROR(VLOOKUP(Proc[[#This Row],[App]],Table2[],3,0),"open")</f>
        <v>open</v>
      </c>
      <c r="C2938" s="124" t="s">
        <v>370</v>
      </c>
      <c r="D2938" t="s">
        <v>4975</v>
      </c>
      <c r="E2938" t="s">
        <v>2521</v>
      </c>
      <c r="F2938" s="125"/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0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0</v>
      </c>
      <c r="R2938" s="115" t="s">
        <v>1013</v>
      </c>
      <c r="S2938" s="125"/>
    </row>
    <row r="2939" spans="1:19">
      <c r="A2939" s="124" t="s">
        <v>5276</v>
      </c>
      <c r="B2939" s="125" t="str">
        <f>IFERROR(VLOOKUP(Proc[[#This Row],[App]],Table2[],3,0),"open")</f>
        <v>open</v>
      </c>
      <c r="C2939" s="124" t="s">
        <v>370</v>
      </c>
      <c r="D2939" t="s">
        <v>4976</v>
      </c>
      <c r="E2939" t="s">
        <v>5269</v>
      </c>
      <c r="F2939" s="125"/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0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0</v>
      </c>
      <c r="R2939" s="115" t="s">
        <v>1013</v>
      </c>
      <c r="S2939" s="125"/>
    </row>
    <row r="2940" spans="1:19">
      <c r="A2940" s="124" t="s">
        <v>5276</v>
      </c>
      <c r="B2940" s="125" t="str">
        <f>IFERROR(VLOOKUP(Proc[[#This Row],[App]],Table2[],3,0),"open")</f>
        <v>open</v>
      </c>
      <c r="C2940" s="124" t="s">
        <v>370</v>
      </c>
      <c r="D2940" t="s">
        <v>4977</v>
      </c>
      <c r="E2940" t="s">
        <v>5269</v>
      </c>
      <c r="F2940" s="125"/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0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0</v>
      </c>
      <c r="R2940" s="115" t="s">
        <v>1013</v>
      </c>
      <c r="S2940" s="125"/>
    </row>
    <row r="2941" spans="1:19">
      <c r="A2941" s="124" t="s">
        <v>5276</v>
      </c>
      <c r="B2941" s="125" t="str">
        <f>IFERROR(VLOOKUP(Proc[[#This Row],[App]],Table2[],3,0),"open")</f>
        <v>open</v>
      </c>
      <c r="C2941" s="124" t="s">
        <v>370</v>
      </c>
      <c r="D2941" t="s">
        <v>4978</v>
      </c>
      <c r="E2941" t="s">
        <v>5269</v>
      </c>
      <c r="F2941" s="125"/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0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0</v>
      </c>
      <c r="R2941" s="115" t="s">
        <v>1013</v>
      </c>
      <c r="S2941" s="125"/>
    </row>
    <row r="2942" spans="1:19">
      <c r="A2942" s="124" t="s">
        <v>5276</v>
      </c>
      <c r="B2942" s="125" t="str">
        <f>IFERROR(VLOOKUP(Proc[[#This Row],[App]],Table2[],3,0),"open")</f>
        <v>open</v>
      </c>
      <c r="C2942" s="124" t="s">
        <v>370</v>
      </c>
      <c r="D2942" t="s">
        <v>4979</v>
      </c>
      <c r="E2942" t="s">
        <v>3003</v>
      </c>
      <c r="F2942" s="125"/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0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0</v>
      </c>
      <c r="R2942" s="115" t="s">
        <v>1013</v>
      </c>
      <c r="S2942" s="125"/>
    </row>
    <row r="2943" spans="1:19">
      <c r="A2943" s="124" t="s">
        <v>5276</v>
      </c>
      <c r="B2943" s="125" t="str">
        <f>IFERROR(VLOOKUP(Proc[[#This Row],[App]],Table2[],3,0),"open")</f>
        <v>open</v>
      </c>
      <c r="C2943" s="124" t="s">
        <v>370</v>
      </c>
      <c r="D2943" t="s">
        <v>4980</v>
      </c>
      <c r="E2943" t="s">
        <v>3003</v>
      </c>
      <c r="F2943" s="125"/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0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0</v>
      </c>
      <c r="R2943" s="115" t="s">
        <v>1013</v>
      </c>
      <c r="S2943" s="125"/>
    </row>
    <row r="2944" spans="1:19">
      <c r="A2944" s="124" t="s">
        <v>5276</v>
      </c>
      <c r="B2944" s="125" t="str">
        <f>IFERROR(VLOOKUP(Proc[[#This Row],[App]],Table2[],3,0),"open")</f>
        <v>open</v>
      </c>
      <c r="C2944" s="124" t="s">
        <v>370</v>
      </c>
      <c r="D2944" t="s">
        <v>4981</v>
      </c>
      <c r="E2944" t="s">
        <v>3003</v>
      </c>
      <c r="F2944" s="125"/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0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0</v>
      </c>
      <c r="R2944" s="115" t="s">
        <v>1013</v>
      </c>
      <c r="S2944" s="125"/>
    </row>
    <row r="2945" spans="1:19">
      <c r="A2945" s="124" t="s">
        <v>5276</v>
      </c>
      <c r="B2945" s="125" t="str">
        <f>IFERROR(VLOOKUP(Proc[[#This Row],[App]],Table2[],3,0),"open")</f>
        <v>open</v>
      </c>
      <c r="C2945" s="124" t="s">
        <v>370</v>
      </c>
      <c r="D2945" t="s">
        <v>4982</v>
      </c>
      <c r="E2945" t="s">
        <v>3008</v>
      </c>
      <c r="F2945" s="125"/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0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0</v>
      </c>
      <c r="R2945" s="115" t="s">
        <v>1013</v>
      </c>
      <c r="S2945" s="125"/>
    </row>
    <row r="2946" spans="1:19">
      <c r="A2946" s="124" t="s">
        <v>5276</v>
      </c>
      <c r="B2946" s="125" t="str">
        <f>IFERROR(VLOOKUP(Proc[[#This Row],[App]],Table2[],3,0),"open")</f>
        <v>open</v>
      </c>
      <c r="C2946" s="124" t="s">
        <v>370</v>
      </c>
      <c r="D2946" t="s">
        <v>4983</v>
      </c>
      <c r="E2946" t="s">
        <v>3003</v>
      </c>
      <c r="F2946" s="125"/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0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0</v>
      </c>
      <c r="R2946" s="115" t="s">
        <v>1013</v>
      </c>
      <c r="S2946" s="125"/>
    </row>
    <row r="2947" spans="1:19">
      <c r="A2947" s="124" t="s">
        <v>5276</v>
      </c>
      <c r="B2947" s="125" t="str">
        <f>IFERROR(VLOOKUP(Proc[[#This Row],[App]],Table2[],3,0),"open")</f>
        <v>open</v>
      </c>
      <c r="C2947" s="124" t="s">
        <v>370</v>
      </c>
      <c r="D2947" t="s">
        <v>4984</v>
      </c>
      <c r="E2947" t="s">
        <v>3003</v>
      </c>
      <c r="F2947" s="125"/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0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0</v>
      </c>
      <c r="R2947" s="115" t="s">
        <v>1013</v>
      </c>
      <c r="S2947" s="125"/>
    </row>
    <row r="2948" spans="1:19">
      <c r="A2948" s="124" t="s">
        <v>5276</v>
      </c>
      <c r="B2948" s="125" t="str">
        <f>IFERROR(VLOOKUP(Proc[[#This Row],[App]],Table2[],3,0),"open")</f>
        <v>open</v>
      </c>
      <c r="C2948" s="124" t="s">
        <v>370</v>
      </c>
      <c r="D2948" t="s">
        <v>4985</v>
      </c>
      <c r="E2948" t="s">
        <v>3003</v>
      </c>
      <c r="F2948" s="125"/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0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0</v>
      </c>
      <c r="R2948" s="115" t="s">
        <v>1013</v>
      </c>
      <c r="S2948" s="125"/>
    </row>
    <row r="2949" spans="1:19">
      <c r="A2949" s="124" t="s">
        <v>5276</v>
      </c>
      <c r="B2949" s="125" t="str">
        <f>IFERROR(VLOOKUP(Proc[[#This Row],[App]],Table2[],3,0),"open")</f>
        <v>open</v>
      </c>
      <c r="C2949" s="124" t="s">
        <v>370</v>
      </c>
      <c r="D2949" t="s">
        <v>4986</v>
      </c>
      <c r="E2949" t="s">
        <v>3003</v>
      </c>
      <c r="F2949" s="125"/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0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0</v>
      </c>
      <c r="R2949" s="115" t="s">
        <v>1013</v>
      </c>
      <c r="S2949" s="125"/>
    </row>
    <row r="2950" spans="1:19">
      <c r="A2950" s="124" t="s">
        <v>5276</v>
      </c>
      <c r="B2950" s="125" t="str">
        <f>IFERROR(VLOOKUP(Proc[[#This Row],[App]],Table2[],3,0),"open")</f>
        <v>open</v>
      </c>
      <c r="C2950" s="124" t="s">
        <v>370</v>
      </c>
      <c r="D2950" t="s">
        <v>4987</v>
      </c>
      <c r="E2950" t="s">
        <v>3003</v>
      </c>
      <c r="F2950" s="125"/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0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0</v>
      </c>
      <c r="R2950" s="115" t="s">
        <v>1013</v>
      </c>
      <c r="S2950" s="125"/>
    </row>
    <row r="2951" spans="1:19">
      <c r="A2951" s="124" t="s">
        <v>5276</v>
      </c>
      <c r="B2951" s="125" t="str">
        <f>IFERROR(VLOOKUP(Proc[[#This Row],[App]],Table2[],3,0),"open")</f>
        <v>open</v>
      </c>
      <c r="C2951" s="124" t="s">
        <v>370</v>
      </c>
      <c r="D2951" t="s">
        <v>4988</v>
      </c>
      <c r="E2951" t="s">
        <v>5269</v>
      </c>
      <c r="F2951" s="125"/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0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0</v>
      </c>
      <c r="R2951" s="115" t="s">
        <v>1013</v>
      </c>
      <c r="S2951" s="125"/>
    </row>
    <row r="2952" spans="1:19">
      <c r="A2952" s="124" t="s">
        <v>5276</v>
      </c>
      <c r="B2952" s="125" t="str">
        <f>IFERROR(VLOOKUP(Proc[[#This Row],[App]],Table2[],3,0),"open")</f>
        <v>open</v>
      </c>
      <c r="C2952" s="124" t="s">
        <v>370</v>
      </c>
      <c r="D2952" t="s">
        <v>4989</v>
      </c>
      <c r="E2952" t="s">
        <v>3007</v>
      </c>
      <c r="F2952" s="125"/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0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0</v>
      </c>
      <c r="R2952" s="115" t="s">
        <v>1013</v>
      </c>
      <c r="S2952" s="125"/>
    </row>
    <row r="2953" spans="1:19">
      <c r="A2953" s="124" t="s">
        <v>5276</v>
      </c>
      <c r="B2953" s="125" t="str">
        <f>IFERROR(VLOOKUP(Proc[[#This Row],[App]],Table2[],3,0),"open")</f>
        <v>open</v>
      </c>
      <c r="C2953" s="124" t="s">
        <v>370</v>
      </c>
      <c r="D2953" t="s">
        <v>4990</v>
      </c>
      <c r="E2953" t="s">
        <v>3009</v>
      </c>
      <c r="F2953" s="125"/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0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0</v>
      </c>
      <c r="R2953" s="115" t="s">
        <v>1013</v>
      </c>
      <c r="S2953" s="125"/>
    </row>
    <row r="2954" spans="1:19">
      <c r="A2954" s="124" t="s">
        <v>5276</v>
      </c>
      <c r="B2954" s="125" t="str">
        <f>IFERROR(VLOOKUP(Proc[[#This Row],[App]],Table2[],3,0),"open")</f>
        <v>open</v>
      </c>
      <c r="C2954" s="124" t="s">
        <v>370</v>
      </c>
      <c r="D2954" t="s">
        <v>4991</v>
      </c>
      <c r="E2954" t="s">
        <v>3003</v>
      </c>
      <c r="F2954" s="125"/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0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0</v>
      </c>
      <c r="R2954" s="115" t="s">
        <v>1013</v>
      </c>
      <c r="S2954" s="125"/>
    </row>
    <row r="2955" spans="1:19">
      <c r="A2955" s="124" t="s">
        <v>5276</v>
      </c>
      <c r="B2955" s="125" t="str">
        <f>IFERROR(VLOOKUP(Proc[[#This Row],[App]],Table2[],3,0),"open")</f>
        <v>open</v>
      </c>
      <c r="C2955" s="124" t="s">
        <v>370</v>
      </c>
      <c r="D2955" t="s">
        <v>4992</v>
      </c>
      <c r="E2955" t="s">
        <v>3003</v>
      </c>
      <c r="F2955" s="125"/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0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0</v>
      </c>
      <c r="R2955" s="115" t="s">
        <v>1013</v>
      </c>
      <c r="S2955" s="125"/>
    </row>
    <row r="2956" spans="1:19">
      <c r="A2956" s="124" t="s">
        <v>5276</v>
      </c>
      <c r="B2956" s="125" t="str">
        <f>IFERROR(VLOOKUP(Proc[[#This Row],[App]],Table2[],3,0),"open")</f>
        <v>open</v>
      </c>
      <c r="C2956" s="124" t="s">
        <v>370</v>
      </c>
      <c r="D2956" t="s">
        <v>4993</v>
      </c>
      <c r="E2956" t="s">
        <v>3003</v>
      </c>
      <c r="F2956" s="125"/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0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0</v>
      </c>
      <c r="R2956" s="115" t="s">
        <v>1013</v>
      </c>
      <c r="S2956" s="125"/>
    </row>
    <row r="2957" spans="1:19">
      <c r="A2957" s="124" t="s">
        <v>5276</v>
      </c>
      <c r="B2957" s="125" t="str">
        <f>IFERROR(VLOOKUP(Proc[[#This Row],[App]],Table2[],3,0),"open")</f>
        <v>open</v>
      </c>
      <c r="C2957" s="124" t="s">
        <v>370</v>
      </c>
      <c r="D2957" t="s">
        <v>4994</v>
      </c>
      <c r="E2957" t="s">
        <v>3009</v>
      </c>
      <c r="F2957" s="125"/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0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0</v>
      </c>
      <c r="R2957" s="115" t="s">
        <v>1013</v>
      </c>
      <c r="S2957" s="125"/>
    </row>
    <row r="2958" spans="1:19">
      <c r="A2958" s="124" t="s">
        <v>5276</v>
      </c>
      <c r="B2958" s="125" t="str">
        <f>IFERROR(VLOOKUP(Proc[[#This Row],[App]],Table2[],3,0),"open")</f>
        <v>open</v>
      </c>
      <c r="C2958" s="124" t="s">
        <v>370</v>
      </c>
      <c r="D2958" t="s">
        <v>4995</v>
      </c>
      <c r="E2958" t="s">
        <v>3003</v>
      </c>
      <c r="F2958" s="125"/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0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0</v>
      </c>
      <c r="R2958" s="115" t="s">
        <v>1013</v>
      </c>
      <c r="S2958" s="125"/>
    </row>
    <row r="2959" spans="1:19">
      <c r="A2959" s="124" t="s">
        <v>5276</v>
      </c>
      <c r="B2959" s="125" t="str">
        <f>IFERROR(VLOOKUP(Proc[[#This Row],[App]],Table2[],3,0),"open")</f>
        <v>open</v>
      </c>
      <c r="C2959" s="124" t="s">
        <v>370</v>
      </c>
      <c r="D2959" t="s">
        <v>4996</v>
      </c>
      <c r="E2959" t="s">
        <v>3003</v>
      </c>
      <c r="F2959" s="125"/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0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0</v>
      </c>
      <c r="R2959" s="115" t="s">
        <v>1013</v>
      </c>
      <c r="S2959" s="125"/>
    </row>
    <row r="2960" spans="1:19">
      <c r="A2960" s="124" t="s">
        <v>5276</v>
      </c>
      <c r="B2960" s="125" t="str">
        <f>IFERROR(VLOOKUP(Proc[[#This Row],[App]],Table2[],3,0),"open")</f>
        <v>open</v>
      </c>
      <c r="C2960" s="124" t="s">
        <v>370</v>
      </c>
      <c r="D2960" t="s">
        <v>4997</v>
      </c>
      <c r="E2960" t="s">
        <v>3009</v>
      </c>
      <c r="F2960" s="125"/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0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0</v>
      </c>
      <c r="R2960" s="115" t="s">
        <v>1013</v>
      </c>
      <c r="S2960" s="125"/>
    </row>
    <row r="2961" spans="1:19">
      <c r="A2961" s="124" t="s">
        <v>5276</v>
      </c>
      <c r="B2961" s="125" t="str">
        <f>IFERROR(VLOOKUP(Proc[[#This Row],[App]],Table2[],3,0),"open")</f>
        <v>open</v>
      </c>
      <c r="C2961" s="124" t="s">
        <v>370</v>
      </c>
      <c r="D2961" t="s">
        <v>4998</v>
      </c>
      <c r="E2961" t="s">
        <v>3003</v>
      </c>
      <c r="F2961" s="125"/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0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0</v>
      </c>
      <c r="R2961" s="115" t="s">
        <v>1013</v>
      </c>
      <c r="S2961" s="125"/>
    </row>
    <row r="2962" spans="1:19">
      <c r="A2962" s="124" t="s">
        <v>5276</v>
      </c>
      <c r="B2962" s="125" t="str">
        <f>IFERROR(VLOOKUP(Proc[[#This Row],[App]],Table2[],3,0),"open")</f>
        <v>open</v>
      </c>
      <c r="C2962" s="124" t="s">
        <v>370</v>
      </c>
      <c r="D2962" t="s">
        <v>4999</v>
      </c>
      <c r="E2962" t="s">
        <v>3003</v>
      </c>
      <c r="F2962" s="125"/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0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0</v>
      </c>
      <c r="R2962" s="115" t="s">
        <v>1013</v>
      </c>
      <c r="S2962" s="125"/>
    </row>
    <row r="2963" spans="1:19">
      <c r="A2963" s="124" t="s">
        <v>5276</v>
      </c>
      <c r="B2963" s="125" t="str">
        <f>IFERROR(VLOOKUP(Proc[[#This Row],[App]],Table2[],3,0),"open")</f>
        <v>open</v>
      </c>
      <c r="C2963" s="124" t="s">
        <v>370</v>
      </c>
      <c r="D2963" t="s">
        <v>5000</v>
      </c>
      <c r="E2963" t="s">
        <v>3004</v>
      </c>
      <c r="F2963" s="125"/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0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0</v>
      </c>
      <c r="R2963" s="115" t="s">
        <v>1013</v>
      </c>
      <c r="S2963" s="125"/>
    </row>
    <row r="2964" spans="1:19">
      <c r="A2964" s="124" t="s">
        <v>5276</v>
      </c>
      <c r="B2964" s="125" t="str">
        <f>IFERROR(VLOOKUP(Proc[[#This Row],[App]],Table2[],3,0),"open")</f>
        <v>open</v>
      </c>
      <c r="C2964" s="124" t="s">
        <v>370</v>
      </c>
      <c r="D2964" t="s">
        <v>5001</v>
      </c>
      <c r="E2964" t="s">
        <v>3003</v>
      </c>
      <c r="F2964" s="125"/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0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0</v>
      </c>
      <c r="R2964" s="115" t="s">
        <v>1013</v>
      </c>
      <c r="S2964" s="125"/>
    </row>
    <row r="2965" spans="1:19">
      <c r="A2965" s="124" t="s">
        <v>5276</v>
      </c>
      <c r="B2965" s="125" t="str">
        <f>IFERROR(VLOOKUP(Proc[[#This Row],[App]],Table2[],3,0),"open")</f>
        <v>open</v>
      </c>
      <c r="C2965" s="124" t="s">
        <v>370</v>
      </c>
      <c r="D2965" t="s">
        <v>5002</v>
      </c>
      <c r="E2965" t="s">
        <v>3005</v>
      </c>
      <c r="F2965" s="125"/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0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0</v>
      </c>
      <c r="R2965" s="115" t="s">
        <v>1013</v>
      </c>
      <c r="S2965" s="125"/>
    </row>
    <row r="2966" spans="1:19">
      <c r="A2966" s="124" t="s">
        <v>5276</v>
      </c>
      <c r="B2966" s="125" t="str">
        <f>IFERROR(VLOOKUP(Proc[[#This Row],[App]],Table2[],3,0),"open")</f>
        <v>open</v>
      </c>
      <c r="C2966" s="124" t="s">
        <v>370</v>
      </c>
      <c r="D2966" t="s">
        <v>5003</v>
      </c>
      <c r="E2966" t="s">
        <v>3004</v>
      </c>
      <c r="F2966" s="125"/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0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0</v>
      </c>
      <c r="R2966" s="115" t="s">
        <v>1013</v>
      </c>
      <c r="S2966" s="125"/>
    </row>
    <row r="2967" spans="1:19">
      <c r="A2967" s="124" t="s">
        <v>5276</v>
      </c>
      <c r="B2967" s="125" t="str">
        <f>IFERROR(VLOOKUP(Proc[[#This Row],[App]],Table2[],3,0),"open")</f>
        <v>open</v>
      </c>
      <c r="C2967" s="124" t="s">
        <v>370</v>
      </c>
      <c r="D2967" t="s">
        <v>5004</v>
      </c>
      <c r="E2967" t="s">
        <v>3004</v>
      </c>
      <c r="F2967" s="125"/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0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0</v>
      </c>
      <c r="R2967" s="115" t="s">
        <v>1013</v>
      </c>
      <c r="S2967" s="125"/>
    </row>
    <row r="2968" spans="1:19">
      <c r="A2968" s="124" t="s">
        <v>5276</v>
      </c>
      <c r="B2968" s="125" t="str">
        <f>IFERROR(VLOOKUP(Proc[[#This Row],[App]],Table2[],3,0),"open")</f>
        <v>open</v>
      </c>
      <c r="C2968" s="124" t="s">
        <v>370</v>
      </c>
      <c r="D2968" t="s">
        <v>5005</v>
      </c>
      <c r="E2968" t="s">
        <v>3006</v>
      </c>
      <c r="F2968" s="125"/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0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0</v>
      </c>
      <c r="R2968" s="115" t="s">
        <v>1013</v>
      </c>
      <c r="S2968" s="125"/>
    </row>
    <row r="2969" spans="1:19">
      <c r="A2969" s="124" t="s">
        <v>5276</v>
      </c>
      <c r="B2969" s="125" t="str">
        <f>IFERROR(VLOOKUP(Proc[[#This Row],[App]],Table2[],3,0),"open")</f>
        <v>open</v>
      </c>
      <c r="C2969" s="124" t="s">
        <v>370</v>
      </c>
      <c r="D2969" t="s">
        <v>5006</v>
      </c>
      <c r="E2969" t="s">
        <v>3004</v>
      </c>
      <c r="F2969" s="125"/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0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0</v>
      </c>
      <c r="R2969" s="115" t="s">
        <v>1013</v>
      </c>
      <c r="S2969" s="125"/>
    </row>
    <row r="2970" spans="1:19">
      <c r="A2970" s="124" t="s">
        <v>5276</v>
      </c>
      <c r="B2970" s="125" t="str">
        <f>IFERROR(VLOOKUP(Proc[[#This Row],[App]],Table2[],3,0),"open")</f>
        <v>open</v>
      </c>
      <c r="C2970" s="124" t="s">
        <v>370</v>
      </c>
      <c r="D2970" t="s">
        <v>5007</v>
      </c>
      <c r="E2970" t="s">
        <v>3004</v>
      </c>
      <c r="F2970" s="125"/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0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0</v>
      </c>
      <c r="R2970" s="115" t="s">
        <v>1013</v>
      </c>
      <c r="S2970" s="125"/>
    </row>
    <row r="2971" spans="1:19">
      <c r="A2971" s="124" t="s">
        <v>5276</v>
      </c>
      <c r="B2971" s="125" t="str">
        <f>IFERROR(VLOOKUP(Proc[[#This Row],[App]],Table2[],3,0),"open")</f>
        <v>open</v>
      </c>
      <c r="C2971" s="124" t="s">
        <v>370</v>
      </c>
      <c r="D2971" t="s">
        <v>5008</v>
      </c>
      <c r="E2971" t="s">
        <v>5269</v>
      </c>
      <c r="F2971" s="125"/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0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0</v>
      </c>
      <c r="R2971" s="115" t="s">
        <v>1013</v>
      </c>
      <c r="S2971" s="125"/>
    </row>
    <row r="2972" spans="1:19">
      <c r="A2972" s="124" t="s">
        <v>5276</v>
      </c>
      <c r="B2972" s="125" t="str">
        <f>IFERROR(VLOOKUP(Proc[[#This Row],[App]],Table2[],3,0),"open")</f>
        <v>open</v>
      </c>
      <c r="C2972" s="124" t="s">
        <v>370</v>
      </c>
      <c r="D2972" t="s">
        <v>5009</v>
      </c>
      <c r="E2972" t="s">
        <v>5270</v>
      </c>
      <c r="F2972" s="125"/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0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0</v>
      </c>
      <c r="R2972" s="115" t="s">
        <v>1013</v>
      </c>
      <c r="S2972" s="125"/>
    </row>
    <row r="2973" spans="1:19">
      <c r="A2973" s="124" t="s">
        <v>5276</v>
      </c>
      <c r="B2973" s="125" t="str">
        <f>IFERROR(VLOOKUP(Proc[[#This Row],[App]],Table2[],3,0),"open")</f>
        <v>open</v>
      </c>
      <c r="C2973" s="124" t="s">
        <v>370</v>
      </c>
      <c r="D2973" t="s">
        <v>5010</v>
      </c>
      <c r="E2973" t="s">
        <v>3008</v>
      </c>
      <c r="F2973" s="125"/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0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0</v>
      </c>
      <c r="R2973" s="115" t="s">
        <v>1013</v>
      </c>
      <c r="S2973" s="125"/>
    </row>
    <row r="2974" spans="1:19">
      <c r="A2974" s="124" t="s">
        <v>5276</v>
      </c>
      <c r="B2974" s="125" t="str">
        <f>IFERROR(VLOOKUP(Proc[[#This Row],[App]],Table2[],3,0),"open")</f>
        <v>open</v>
      </c>
      <c r="C2974" s="124" t="s">
        <v>370</v>
      </c>
      <c r="D2974" t="s">
        <v>5011</v>
      </c>
      <c r="E2974" t="s">
        <v>3008</v>
      </c>
      <c r="F2974" s="125"/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0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0</v>
      </c>
      <c r="R2974" s="115" t="s">
        <v>1013</v>
      </c>
      <c r="S2974" s="125"/>
    </row>
    <row r="2975" spans="1:19">
      <c r="A2975" s="124" t="s">
        <v>5276</v>
      </c>
      <c r="B2975" s="125" t="str">
        <f>IFERROR(VLOOKUP(Proc[[#This Row],[App]],Table2[],3,0),"open")</f>
        <v>open</v>
      </c>
      <c r="C2975" s="124" t="s">
        <v>370</v>
      </c>
      <c r="D2975" t="s">
        <v>5012</v>
      </c>
      <c r="E2975" t="s">
        <v>3007</v>
      </c>
      <c r="F2975" s="125"/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0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0</v>
      </c>
      <c r="R2975" s="115" t="s">
        <v>1013</v>
      </c>
      <c r="S2975" s="125"/>
    </row>
    <row r="2976" spans="1:19">
      <c r="A2976" s="124" t="s">
        <v>5276</v>
      </c>
      <c r="B2976" s="125" t="str">
        <f>IFERROR(VLOOKUP(Proc[[#This Row],[App]],Table2[],3,0),"open")</f>
        <v>open</v>
      </c>
      <c r="C2976" s="124" t="s">
        <v>370</v>
      </c>
      <c r="D2976" t="s">
        <v>5013</v>
      </c>
      <c r="E2976" t="s">
        <v>3008</v>
      </c>
      <c r="F2976" s="125"/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0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0</v>
      </c>
      <c r="R2976" s="115" t="s">
        <v>1013</v>
      </c>
      <c r="S2976" s="125"/>
    </row>
    <row r="2977" spans="1:19">
      <c r="A2977" s="124" t="s">
        <v>5276</v>
      </c>
      <c r="B2977" s="125" t="str">
        <f>IFERROR(VLOOKUP(Proc[[#This Row],[App]],Table2[],3,0),"open")</f>
        <v>open</v>
      </c>
      <c r="C2977" s="124" t="s">
        <v>370</v>
      </c>
      <c r="D2977" t="s">
        <v>5014</v>
      </c>
      <c r="E2977" t="s">
        <v>3003</v>
      </c>
      <c r="F2977" s="125"/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0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0</v>
      </c>
      <c r="R2977" s="115" t="s">
        <v>1013</v>
      </c>
      <c r="S2977" s="125"/>
    </row>
    <row r="2978" spans="1:19">
      <c r="A2978" s="124" t="s">
        <v>5276</v>
      </c>
      <c r="B2978" s="125" t="str">
        <f>IFERROR(VLOOKUP(Proc[[#This Row],[App]],Table2[],3,0),"open")</f>
        <v>open</v>
      </c>
      <c r="C2978" s="124" t="s">
        <v>370</v>
      </c>
      <c r="D2978" t="s">
        <v>5015</v>
      </c>
      <c r="E2978" t="s">
        <v>3005</v>
      </c>
      <c r="F2978" s="125"/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0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0</v>
      </c>
      <c r="R2978" s="115" t="s">
        <v>1013</v>
      </c>
      <c r="S2978" s="125"/>
    </row>
    <row r="2979" spans="1:19">
      <c r="A2979" s="124" t="s">
        <v>5276</v>
      </c>
      <c r="B2979" s="125" t="str">
        <f>IFERROR(VLOOKUP(Proc[[#This Row],[App]],Table2[],3,0),"open")</f>
        <v>open</v>
      </c>
      <c r="C2979" s="124" t="s">
        <v>370</v>
      </c>
      <c r="D2979" t="s">
        <v>5016</v>
      </c>
      <c r="E2979" t="s">
        <v>5269</v>
      </c>
      <c r="F2979" s="125"/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0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0</v>
      </c>
      <c r="R2979" s="115" t="s">
        <v>1013</v>
      </c>
      <c r="S2979" s="125"/>
    </row>
    <row r="2980" spans="1:19">
      <c r="A2980" s="124" t="s">
        <v>5276</v>
      </c>
      <c r="B2980" s="125" t="str">
        <f>IFERROR(VLOOKUP(Proc[[#This Row],[App]],Table2[],3,0),"open")</f>
        <v>open</v>
      </c>
      <c r="C2980" s="124" t="s">
        <v>370</v>
      </c>
      <c r="D2980" t="s">
        <v>5017</v>
      </c>
      <c r="E2980" t="s">
        <v>3007</v>
      </c>
      <c r="F2980" s="125"/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0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0</v>
      </c>
      <c r="R2980" s="115" t="s">
        <v>1013</v>
      </c>
      <c r="S2980" s="125"/>
    </row>
    <row r="2981" spans="1:19">
      <c r="A2981" s="124" t="s">
        <v>5276</v>
      </c>
      <c r="B2981" s="125" t="str">
        <f>IFERROR(VLOOKUP(Proc[[#This Row],[App]],Table2[],3,0),"open")</f>
        <v>open</v>
      </c>
      <c r="C2981" s="124" t="s">
        <v>370</v>
      </c>
      <c r="D2981" t="s">
        <v>5018</v>
      </c>
      <c r="E2981" t="s">
        <v>3004</v>
      </c>
      <c r="F2981" s="125"/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0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0</v>
      </c>
      <c r="R2981" s="115" t="s">
        <v>1013</v>
      </c>
      <c r="S2981" s="125"/>
    </row>
    <row r="2982" spans="1:19">
      <c r="A2982" s="124" t="s">
        <v>5276</v>
      </c>
      <c r="B2982" s="125" t="str">
        <f>IFERROR(VLOOKUP(Proc[[#This Row],[App]],Table2[],3,0),"open")</f>
        <v>open</v>
      </c>
      <c r="C2982" s="124" t="s">
        <v>370</v>
      </c>
      <c r="D2982" t="s">
        <v>5019</v>
      </c>
      <c r="E2982" t="s">
        <v>4069</v>
      </c>
      <c r="F2982" s="125"/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0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0</v>
      </c>
      <c r="R2982" s="115" t="s">
        <v>1013</v>
      </c>
      <c r="S2982" s="125"/>
    </row>
    <row r="2983" spans="1:19">
      <c r="A2983" s="124" t="s">
        <v>5276</v>
      </c>
      <c r="B2983" s="125" t="str">
        <f>IFERROR(VLOOKUP(Proc[[#This Row],[App]],Table2[],3,0),"open")</f>
        <v>open</v>
      </c>
      <c r="C2983" s="124" t="s">
        <v>370</v>
      </c>
      <c r="D2983" t="s">
        <v>5020</v>
      </c>
      <c r="E2983" t="s">
        <v>4069</v>
      </c>
      <c r="F2983" s="125"/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0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0</v>
      </c>
      <c r="R2983" s="115" t="s">
        <v>1013</v>
      </c>
      <c r="S2983" s="125"/>
    </row>
    <row r="2984" spans="1:19">
      <c r="A2984" s="124" t="s">
        <v>5276</v>
      </c>
      <c r="B2984" s="125" t="str">
        <f>IFERROR(VLOOKUP(Proc[[#This Row],[App]],Table2[],3,0),"open")</f>
        <v>open</v>
      </c>
      <c r="C2984" s="124" t="s">
        <v>370</v>
      </c>
      <c r="D2984" t="s">
        <v>5021</v>
      </c>
      <c r="E2984" t="s">
        <v>4069</v>
      </c>
      <c r="F2984" s="125"/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0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0</v>
      </c>
      <c r="R2984" s="115" t="s">
        <v>1013</v>
      </c>
      <c r="S2984" s="125"/>
    </row>
    <row r="2985" spans="1:19">
      <c r="A2985" s="124" t="s">
        <v>5276</v>
      </c>
      <c r="B2985" s="125" t="str">
        <f>IFERROR(VLOOKUP(Proc[[#This Row],[App]],Table2[],3,0),"open")</f>
        <v>open</v>
      </c>
      <c r="C2985" s="124" t="s">
        <v>370</v>
      </c>
      <c r="D2985" t="s">
        <v>5022</v>
      </c>
      <c r="E2985" t="s">
        <v>4069</v>
      </c>
      <c r="F2985" s="125"/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0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0</v>
      </c>
      <c r="R2985" s="115" t="s">
        <v>1013</v>
      </c>
      <c r="S2985" s="125"/>
    </row>
    <row r="2986" spans="1:19">
      <c r="A2986" s="124" t="s">
        <v>5276</v>
      </c>
      <c r="B2986" s="125" t="str">
        <f>IFERROR(VLOOKUP(Proc[[#This Row],[App]],Table2[],3,0),"open")</f>
        <v>open</v>
      </c>
      <c r="C2986" s="124" t="s">
        <v>370</v>
      </c>
      <c r="D2986" t="s">
        <v>5023</v>
      </c>
      <c r="E2986" t="s">
        <v>4069</v>
      </c>
      <c r="F2986" s="125"/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0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0</v>
      </c>
      <c r="R2986" s="115" t="s">
        <v>1013</v>
      </c>
      <c r="S2986" s="125"/>
    </row>
    <row r="2987" spans="1:19">
      <c r="A2987" s="124" t="s">
        <v>5276</v>
      </c>
      <c r="B2987" s="125" t="str">
        <f>IFERROR(VLOOKUP(Proc[[#This Row],[App]],Table2[],3,0),"open")</f>
        <v>open</v>
      </c>
      <c r="C2987" s="124" t="s">
        <v>370</v>
      </c>
      <c r="D2987" t="s">
        <v>5024</v>
      </c>
      <c r="E2987" t="s">
        <v>4069</v>
      </c>
      <c r="F2987" s="125"/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0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0</v>
      </c>
      <c r="R2987" s="115" t="s">
        <v>1013</v>
      </c>
      <c r="S2987" s="125"/>
    </row>
    <row r="2988" spans="1:19">
      <c r="A2988" s="124" t="s">
        <v>5276</v>
      </c>
      <c r="B2988" s="125" t="str">
        <f>IFERROR(VLOOKUP(Proc[[#This Row],[App]],Table2[],3,0),"open")</f>
        <v>open</v>
      </c>
      <c r="C2988" s="124" t="s">
        <v>370</v>
      </c>
      <c r="D2988" t="s">
        <v>5025</v>
      </c>
      <c r="E2988" t="s">
        <v>4069</v>
      </c>
      <c r="F2988" s="125"/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0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0</v>
      </c>
      <c r="R2988" s="115" t="s">
        <v>1013</v>
      </c>
      <c r="S2988" s="125"/>
    </row>
    <row r="2989" spans="1:19">
      <c r="A2989" s="124" t="s">
        <v>5276</v>
      </c>
      <c r="B2989" s="125" t="str">
        <f>IFERROR(VLOOKUP(Proc[[#This Row],[App]],Table2[],3,0),"open")</f>
        <v>open</v>
      </c>
      <c r="C2989" s="124" t="s">
        <v>370</v>
      </c>
      <c r="D2989" t="s">
        <v>5026</v>
      </c>
      <c r="E2989" t="s">
        <v>4069</v>
      </c>
      <c r="F2989" s="125"/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0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0</v>
      </c>
      <c r="R2989" s="115" t="s">
        <v>1013</v>
      </c>
      <c r="S2989" s="125"/>
    </row>
    <row r="2990" spans="1:19">
      <c r="A2990" s="124" t="s">
        <v>5276</v>
      </c>
      <c r="B2990" s="125" t="str">
        <f>IFERROR(VLOOKUP(Proc[[#This Row],[App]],Table2[],3,0),"open")</f>
        <v>open</v>
      </c>
      <c r="C2990" s="124" t="s">
        <v>370</v>
      </c>
      <c r="D2990" t="s">
        <v>5027</v>
      </c>
      <c r="E2990" t="s">
        <v>4069</v>
      </c>
      <c r="F2990" s="125"/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0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0</v>
      </c>
      <c r="R2990" s="115" t="s">
        <v>1013</v>
      </c>
      <c r="S2990" s="125"/>
    </row>
    <row r="2991" spans="1:19">
      <c r="A2991" s="124" t="s">
        <v>5276</v>
      </c>
      <c r="B2991" s="125" t="str">
        <f>IFERROR(VLOOKUP(Proc[[#This Row],[App]],Table2[],3,0),"open")</f>
        <v>open</v>
      </c>
      <c r="C2991" s="124" t="s">
        <v>370</v>
      </c>
      <c r="D2991" t="s">
        <v>5028</v>
      </c>
      <c r="E2991" t="s">
        <v>4069</v>
      </c>
      <c r="F2991" s="125"/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0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0</v>
      </c>
      <c r="R2991" s="115" t="s">
        <v>1013</v>
      </c>
      <c r="S2991" s="125"/>
    </row>
    <row r="2992" spans="1:19">
      <c r="A2992" s="124" t="s">
        <v>5276</v>
      </c>
      <c r="B2992" s="125" t="str">
        <f>IFERROR(VLOOKUP(Proc[[#This Row],[App]],Table2[],3,0),"open")</f>
        <v>open</v>
      </c>
      <c r="C2992" s="124" t="s">
        <v>370</v>
      </c>
      <c r="D2992" t="s">
        <v>5029</v>
      </c>
      <c r="E2992" t="s">
        <v>4069</v>
      </c>
      <c r="F2992" s="125"/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0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0</v>
      </c>
      <c r="R2992" s="115" t="s">
        <v>1013</v>
      </c>
      <c r="S2992" s="125"/>
    </row>
    <row r="2993" spans="1:19">
      <c r="A2993" s="124" t="s">
        <v>5276</v>
      </c>
      <c r="B2993" s="125" t="str">
        <f>IFERROR(VLOOKUP(Proc[[#This Row],[App]],Table2[],3,0),"open")</f>
        <v>open</v>
      </c>
      <c r="C2993" s="124" t="s">
        <v>370</v>
      </c>
      <c r="D2993" t="s">
        <v>5030</v>
      </c>
      <c r="E2993" t="s">
        <v>4069</v>
      </c>
      <c r="F2993" s="125"/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0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0</v>
      </c>
      <c r="R2993" s="115" t="s">
        <v>1013</v>
      </c>
      <c r="S2993" s="125"/>
    </row>
    <row r="2994" spans="1:19">
      <c r="A2994" s="124" t="s">
        <v>5276</v>
      </c>
      <c r="B2994" s="125" t="str">
        <f>IFERROR(VLOOKUP(Proc[[#This Row],[App]],Table2[],3,0),"open")</f>
        <v>open</v>
      </c>
      <c r="C2994" s="124" t="s">
        <v>370</v>
      </c>
      <c r="D2994" t="s">
        <v>5031</v>
      </c>
      <c r="E2994" t="s">
        <v>4069</v>
      </c>
      <c r="F2994" s="125"/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0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0</v>
      </c>
      <c r="R2994" s="115" t="s">
        <v>1013</v>
      </c>
      <c r="S2994" s="125"/>
    </row>
    <row r="2995" spans="1:19">
      <c r="A2995" s="124" t="s">
        <v>5276</v>
      </c>
      <c r="B2995" s="125" t="str">
        <f>IFERROR(VLOOKUP(Proc[[#This Row],[App]],Table2[],3,0),"open")</f>
        <v>open</v>
      </c>
      <c r="C2995" s="124" t="s">
        <v>370</v>
      </c>
      <c r="D2995" t="s">
        <v>5032</v>
      </c>
      <c r="E2995" t="s">
        <v>4069</v>
      </c>
      <c r="F2995" s="125"/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0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0</v>
      </c>
      <c r="R2995" s="115" t="s">
        <v>1013</v>
      </c>
      <c r="S2995" s="125"/>
    </row>
    <row r="2996" spans="1:19">
      <c r="A2996" s="124" t="s">
        <v>5276</v>
      </c>
      <c r="B2996" s="125" t="str">
        <f>IFERROR(VLOOKUP(Proc[[#This Row],[App]],Table2[],3,0),"open")</f>
        <v>open</v>
      </c>
      <c r="C2996" s="124" t="s">
        <v>370</v>
      </c>
      <c r="D2996" t="s">
        <v>5033</v>
      </c>
      <c r="E2996" t="s">
        <v>4069</v>
      </c>
      <c r="F2996" s="125"/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0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0</v>
      </c>
      <c r="R2996" s="115" t="s">
        <v>1013</v>
      </c>
      <c r="S2996" s="125"/>
    </row>
    <row r="2997" spans="1:19">
      <c r="A2997" s="124" t="s">
        <v>5276</v>
      </c>
      <c r="B2997" s="125" t="str">
        <f>IFERROR(VLOOKUP(Proc[[#This Row],[App]],Table2[],3,0),"open")</f>
        <v>open</v>
      </c>
      <c r="C2997" s="124" t="s">
        <v>370</v>
      </c>
      <c r="D2997" t="s">
        <v>5034</v>
      </c>
      <c r="E2997" t="s">
        <v>4069</v>
      </c>
      <c r="F2997" s="125"/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0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0</v>
      </c>
      <c r="R2997" s="115" t="s">
        <v>1013</v>
      </c>
      <c r="S2997" s="125"/>
    </row>
    <row r="2998" spans="1:19">
      <c r="A2998" s="124" t="s">
        <v>5276</v>
      </c>
      <c r="B2998" s="125" t="str">
        <f>IFERROR(VLOOKUP(Proc[[#This Row],[App]],Table2[],3,0),"open")</f>
        <v>open</v>
      </c>
      <c r="C2998" s="124" t="s">
        <v>370</v>
      </c>
      <c r="D2998" t="s">
        <v>5035</v>
      </c>
      <c r="E2998" t="s">
        <v>4069</v>
      </c>
      <c r="F2998" s="125"/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0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0</v>
      </c>
      <c r="R2998" s="115" t="s">
        <v>1013</v>
      </c>
      <c r="S2998" s="125"/>
    </row>
    <row r="2999" spans="1:19">
      <c r="A2999" s="124" t="s">
        <v>5276</v>
      </c>
      <c r="B2999" s="125" t="str">
        <f>IFERROR(VLOOKUP(Proc[[#This Row],[App]],Table2[],3,0),"open")</f>
        <v>open</v>
      </c>
      <c r="C2999" s="124" t="s">
        <v>370</v>
      </c>
      <c r="D2999" t="s">
        <v>5036</v>
      </c>
      <c r="E2999" t="s">
        <v>4069</v>
      </c>
      <c r="F2999" s="125"/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0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0</v>
      </c>
      <c r="R2999" s="115" t="s">
        <v>1013</v>
      </c>
      <c r="S2999" s="125"/>
    </row>
    <row r="3000" spans="1:19">
      <c r="A3000" s="124" t="s">
        <v>5276</v>
      </c>
      <c r="B3000" s="125" t="str">
        <f>IFERROR(VLOOKUP(Proc[[#This Row],[App]],Table2[],3,0),"open")</f>
        <v>open</v>
      </c>
      <c r="C3000" s="124" t="s">
        <v>370</v>
      </c>
      <c r="D3000" t="s">
        <v>5037</v>
      </c>
      <c r="E3000" t="s">
        <v>4069</v>
      </c>
      <c r="F3000" s="125"/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0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0</v>
      </c>
      <c r="R3000" s="115" t="s">
        <v>1013</v>
      </c>
      <c r="S3000" s="125"/>
    </row>
    <row r="3001" spans="1:19">
      <c r="A3001" s="124" t="s">
        <v>5276</v>
      </c>
      <c r="B3001" s="125" t="str">
        <f>IFERROR(VLOOKUP(Proc[[#This Row],[App]],Table2[],3,0),"open")</f>
        <v>open</v>
      </c>
      <c r="C3001" s="124" t="s">
        <v>370</v>
      </c>
      <c r="D3001" t="s">
        <v>5038</v>
      </c>
      <c r="E3001" t="s">
        <v>4069</v>
      </c>
      <c r="F3001" s="125"/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0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0</v>
      </c>
      <c r="R3001" s="115" t="s">
        <v>1013</v>
      </c>
      <c r="S3001" s="125"/>
    </row>
    <row r="3002" spans="1:19">
      <c r="A3002" s="124" t="s">
        <v>5276</v>
      </c>
      <c r="B3002" s="125" t="str">
        <f>IFERROR(VLOOKUP(Proc[[#This Row],[App]],Table2[],3,0),"open")</f>
        <v>open</v>
      </c>
      <c r="C3002" s="124" t="s">
        <v>370</v>
      </c>
      <c r="D3002" t="s">
        <v>5039</v>
      </c>
      <c r="E3002" t="s">
        <v>4069</v>
      </c>
      <c r="F3002" s="125"/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0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0</v>
      </c>
      <c r="R3002" s="115" t="s">
        <v>1013</v>
      </c>
      <c r="S3002" s="125"/>
    </row>
    <row r="3003" spans="1:19">
      <c r="A3003" s="124" t="s">
        <v>5276</v>
      </c>
      <c r="B3003" s="125" t="str">
        <f>IFERROR(VLOOKUP(Proc[[#This Row],[App]],Table2[],3,0),"open")</f>
        <v>open</v>
      </c>
      <c r="C3003" s="124" t="s">
        <v>370</v>
      </c>
      <c r="D3003" t="s">
        <v>5040</v>
      </c>
      <c r="E3003" t="s">
        <v>4069</v>
      </c>
      <c r="F3003" s="125"/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0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0</v>
      </c>
      <c r="R3003" s="115" t="s">
        <v>1013</v>
      </c>
      <c r="S3003" s="125"/>
    </row>
    <row r="3004" spans="1:19">
      <c r="A3004" s="124" t="s">
        <v>5276</v>
      </c>
      <c r="B3004" s="125" t="str">
        <f>IFERROR(VLOOKUP(Proc[[#This Row],[App]],Table2[],3,0),"open")</f>
        <v>open</v>
      </c>
      <c r="C3004" s="124" t="s">
        <v>370</v>
      </c>
      <c r="D3004" t="s">
        <v>5041</v>
      </c>
      <c r="E3004" t="s">
        <v>4069</v>
      </c>
      <c r="F3004" s="125"/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0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0</v>
      </c>
      <c r="R3004" s="115" t="s">
        <v>1013</v>
      </c>
      <c r="S3004" s="125"/>
    </row>
    <row r="3005" spans="1:19">
      <c r="A3005" s="124" t="s">
        <v>5276</v>
      </c>
      <c r="B3005" s="125" t="str">
        <f>IFERROR(VLOOKUP(Proc[[#This Row],[App]],Table2[],3,0),"open")</f>
        <v>open</v>
      </c>
      <c r="C3005" s="124" t="s">
        <v>370</v>
      </c>
      <c r="D3005" t="s">
        <v>5042</v>
      </c>
      <c r="E3005" t="s">
        <v>4069</v>
      </c>
      <c r="F3005" s="125"/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0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0</v>
      </c>
      <c r="R3005" s="115" t="s">
        <v>1013</v>
      </c>
      <c r="S3005" s="125"/>
    </row>
    <row r="3006" spans="1:19">
      <c r="A3006" s="124" t="s">
        <v>5276</v>
      </c>
      <c r="B3006" s="125" t="str">
        <f>IFERROR(VLOOKUP(Proc[[#This Row],[App]],Table2[],3,0),"open")</f>
        <v>open</v>
      </c>
      <c r="C3006" s="124" t="s">
        <v>370</v>
      </c>
      <c r="D3006" t="s">
        <v>5043</v>
      </c>
      <c r="E3006" t="s">
        <v>4069</v>
      </c>
      <c r="F3006" s="125"/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0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0</v>
      </c>
      <c r="R3006" s="115" t="s">
        <v>1013</v>
      </c>
      <c r="S3006" s="125"/>
    </row>
    <row r="3007" spans="1:19">
      <c r="A3007" s="124" t="s">
        <v>5276</v>
      </c>
      <c r="B3007" s="125" t="str">
        <f>IFERROR(VLOOKUP(Proc[[#This Row],[App]],Table2[],3,0),"open")</f>
        <v>open</v>
      </c>
      <c r="C3007" s="124" t="s">
        <v>370</v>
      </c>
      <c r="D3007" t="s">
        <v>5044</v>
      </c>
      <c r="E3007" t="s">
        <v>4069</v>
      </c>
      <c r="F3007" s="125"/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0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0</v>
      </c>
      <c r="R3007" s="115" t="s">
        <v>1013</v>
      </c>
      <c r="S3007" s="125"/>
    </row>
    <row r="3008" spans="1:19">
      <c r="A3008" s="124" t="s">
        <v>5276</v>
      </c>
      <c r="B3008" s="125" t="str">
        <f>IFERROR(VLOOKUP(Proc[[#This Row],[App]],Table2[],3,0),"open")</f>
        <v>open</v>
      </c>
      <c r="C3008" s="124" t="s">
        <v>370</v>
      </c>
      <c r="D3008" t="s">
        <v>5045</v>
      </c>
      <c r="E3008" t="s">
        <v>4069</v>
      </c>
      <c r="F3008" s="125"/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0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0</v>
      </c>
      <c r="R3008" s="115" t="s">
        <v>1013</v>
      </c>
      <c r="S3008" s="125"/>
    </row>
    <row r="3009" spans="1:19">
      <c r="A3009" s="124" t="s">
        <v>5276</v>
      </c>
      <c r="B3009" s="125" t="str">
        <f>IFERROR(VLOOKUP(Proc[[#This Row],[App]],Table2[],3,0),"open")</f>
        <v>open</v>
      </c>
      <c r="C3009" s="124" t="s">
        <v>370</v>
      </c>
      <c r="D3009" t="s">
        <v>5046</v>
      </c>
      <c r="E3009" t="s">
        <v>4069</v>
      </c>
      <c r="F3009" s="125"/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0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0</v>
      </c>
      <c r="R3009" s="115" t="s">
        <v>1013</v>
      </c>
      <c r="S3009" s="125"/>
    </row>
    <row r="3010" spans="1:19">
      <c r="A3010" s="124" t="s">
        <v>5276</v>
      </c>
      <c r="B3010" s="125" t="str">
        <f>IFERROR(VLOOKUP(Proc[[#This Row],[App]],Table2[],3,0),"open")</f>
        <v>open</v>
      </c>
      <c r="C3010" s="124" t="s">
        <v>370</v>
      </c>
      <c r="D3010" t="s">
        <v>5047</v>
      </c>
      <c r="E3010" t="s">
        <v>4069</v>
      </c>
      <c r="F3010" s="125"/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0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0</v>
      </c>
      <c r="R3010" s="115" t="s">
        <v>1013</v>
      </c>
      <c r="S3010" s="125"/>
    </row>
    <row r="3011" spans="1:19">
      <c r="A3011" s="124" t="s">
        <v>5276</v>
      </c>
      <c r="B3011" s="125" t="str">
        <f>IFERROR(VLOOKUP(Proc[[#This Row],[App]],Table2[],3,0),"open")</f>
        <v>open</v>
      </c>
      <c r="C3011" s="124" t="s">
        <v>370</v>
      </c>
      <c r="D3011" t="s">
        <v>5048</v>
      </c>
      <c r="E3011" t="s">
        <v>4069</v>
      </c>
      <c r="F3011" s="125"/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0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0</v>
      </c>
      <c r="R3011" s="115" t="s">
        <v>1013</v>
      </c>
      <c r="S3011" s="125"/>
    </row>
    <row r="3012" spans="1:19">
      <c r="A3012" s="124" t="s">
        <v>5276</v>
      </c>
      <c r="B3012" s="125" t="str">
        <f>IFERROR(VLOOKUP(Proc[[#This Row],[App]],Table2[],3,0),"open")</f>
        <v>open</v>
      </c>
      <c r="C3012" s="124" t="s">
        <v>370</v>
      </c>
      <c r="D3012" t="s">
        <v>5049</v>
      </c>
      <c r="E3012" t="s">
        <v>4069</v>
      </c>
      <c r="F3012" s="125"/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0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0</v>
      </c>
      <c r="R3012" s="115" t="s">
        <v>1013</v>
      </c>
      <c r="S3012" s="125"/>
    </row>
    <row r="3013" spans="1:19">
      <c r="A3013" s="124" t="s">
        <v>5276</v>
      </c>
      <c r="B3013" s="125" t="str">
        <f>IFERROR(VLOOKUP(Proc[[#This Row],[App]],Table2[],3,0),"open")</f>
        <v>open</v>
      </c>
      <c r="C3013" s="124" t="s">
        <v>370</v>
      </c>
      <c r="D3013" t="s">
        <v>5050</v>
      </c>
      <c r="E3013" t="s">
        <v>4069</v>
      </c>
      <c r="F3013" s="125"/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0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0</v>
      </c>
      <c r="R3013" s="115" t="s">
        <v>1013</v>
      </c>
      <c r="S3013" s="125"/>
    </row>
    <row r="3014" spans="1:19">
      <c r="A3014" s="124" t="s">
        <v>5276</v>
      </c>
      <c r="B3014" s="125" t="str">
        <f>IFERROR(VLOOKUP(Proc[[#This Row],[App]],Table2[],3,0),"open")</f>
        <v>open</v>
      </c>
      <c r="C3014" s="124" t="s">
        <v>370</v>
      </c>
      <c r="D3014" t="s">
        <v>5051</v>
      </c>
      <c r="E3014" t="s">
        <v>4069</v>
      </c>
      <c r="F3014" s="125"/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0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0</v>
      </c>
      <c r="R3014" s="115" t="s">
        <v>1013</v>
      </c>
      <c r="S3014" s="125"/>
    </row>
    <row r="3015" spans="1:19">
      <c r="A3015" s="124" t="s">
        <v>5276</v>
      </c>
      <c r="B3015" s="125" t="str">
        <f>IFERROR(VLOOKUP(Proc[[#This Row],[App]],Table2[],3,0),"open")</f>
        <v>open</v>
      </c>
      <c r="C3015" s="124" t="s">
        <v>370</v>
      </c>
      <c r="D3015" t="s">
        <v>5052</v>
      </c>
      <c r="E3015" t="s">
        <v>4069</v>
      </c>
      <c r="F3015" s="125"/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0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0</v>
      </c>
      <c r="R3015" s="115" t="s">
        <v>1013</v>
      </c>
      <c r="S3015" s="125"/>
    </row>
    <row r="3016" spans="1:19">
      <c r="A3016" s="124" t="s">
        <v>5276</v>
      </c>
      <c r="B3016" s="125" t="str">
        <f>IFERROR(VLOOKUP(Proc[[#This Row],[App]],Table2[],3,0),"open")</f>
        <v>open</v>
      </c>
      <c r="C3016" s="124" t="s">
        <v>370</v>
      </c>
      <c r="D3016" t="s">
        <v>5053</v>
      </c>
      <c r="E3016" t="s">
        <v>4069</v>
      </c>
      <c r="F3016" s="125"/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0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0</v>
      </c>
      <c r="R3016" s="115" t="s">
        <v>1013</v>
      </c>
      <c r="S3016" s="125"/>
    </row>
    <row r="3017" spans="1:19">
      <c r="A3017" s="124" t="s">
        <v>5276</v>
      </c>
      <c r="B3017" s="125" t="str">
        <f>IFERROR(VLOOKUP(Proc[[#This Row],[App]],Table2[],3,0),"open")</f>
        <v>open</v>
      </c>
      <c r="C3017" s="124" t="s">
        <v>370</v>
      </c>
      <c r="D3017" t="s">
        <v>5054</v>
      </c>
      <c r="E3017" t="s">
        <v>4069</v>
      </c>
      <c r="F3017" s="125"/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0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0</v>
      </c>
      <c r="R3017" s="115" t="s">
        <v>1013</v>
      </c>
      <c r="S3017" s="125"/>
    </row>
    <row r="3018" spans="1:19">
      <c r="A3018" s="124" t="s">
        <v>5276</v>
      </c>
      <c r="B3018" s="125" t="str">
        <f>IFERROR(VLOOKUP(Proc[[#This Row],[App]],Table2[],3,0),"open")</f>
        <v>open</v>
      </c>
      <c r="C3018" s="124" t="s">
        <v>370</v>
      </c>
      <c r="D3018" t="s">
        <v>5055</v>
      </c>
      <c r="E3018" t="s">
        <v>4069</v>
      </c>
      <c r="F3018" s="125"/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0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0</v>
      </c>
      <c r="R3018" s="115" t="s">
        <v>1013</v>
      </c>
      <c r="S3018" s="125"/>
    </row>
    <row r="3019" spans="1:19">
      <c r="A3019" s="124" t="s">
        <v>5276</v>
      </c>
      <c r="B3019" s="125" t="str">
        <f>IFERROR(VLOOKUP(Proc[[#This Row],[App]],Table2[],3,0),"open")</f>
        <v>open</v>
      </c>
      <c r="C3019" s="124" t="s">
        <v>370</v>
      </c>
      <c r="D3019" t="s">
        <v>5056</v>
      </c>
      <c r="E3019" t="s">
        <v>4069</v>
      </c>
      <c r="F3019" s="125"/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0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0</v>
      </c>
      <c r="R3019" s="115" t="s">
        <v>1013</v>
      </c>
      <c r="S3019" s="125"/>
    </row>
    <row r="3020" spans="1:19">
      <c r="A3020" s="124" t="s">
        <v>5276</v>
      </c>
      <c r="B3020" s="125" t="str">
        <f>IFERROR(VLOOKUP(Proc[[#This Row],[App]],Table2[],3,0),"open")</f>
        <v>open</v>
      </c>
      <c r="C3020" s="124" t="s">
        <v>370</v>
      </c>
      <c r="D3020" t="s">
        <v>5057</v>
      </c>
      <c r="E3020" t="s">
        <v>4069</v>
      </c>
      <c r="F3020" s="125"/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0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0</v>
      </c>
      <c r="R3020" s="115" t="s">
        <v>1013</v>
      </c>
      <c r="S3020" s="125"/>
    </row>
    <row r="3021" spans="1:19">
      <c r="A3021" s="124" t="s">
        <v>5276</v>
      </c>
      <c r="B3021" s="125" t="str">
        <f>IFERROR(VLOOKUP(Proc[[#This Row],[App]],Table2[],3,0),"open")</f>
        <v>open</v>
      </c>
      <c r="C3021" s="124" t="s">
        <v>370</v>
      </c>
      <c r="D3021" t="s">
        <v>5058</v>
      </c>
      <c r="E3021" t="s">
        <v>4069</v>
      </c>
      <c r="F3021" s="125"/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0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0</v>
      </c>
      <c r="R3021" s="115" t="s">
        <v>1013</v>
      </c>
      <c r="S3021" s="125"/>
    </row>
    <row r="3022" spans="1:19">
      <c r="A3022" s="124" t="s">
        <v>5276</v>
      </c>
      <c r="B3022" s="125" t="str">
        <f>IFERROR(VLOOKUP(Proc[[#This Row],[App]],Table2[],3,0),"open")</f>
        <v>open</v>
      </c>
      <c r="C3022" s="124" t="s">
        <v>370</v>
      </c>
      <c r="D3022" t="s">
        <v>5059</v>
      </c>
      <c r="E3022" t="s">
        <v>4069</v>
      </c>
      <c r="F3022" s="125"/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0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0</v>
      </c>
      <c r="R3022" s="115" t="s">
        <v>1013</v>
      </c>
      <c r="S3022" s="125"/>
    </row>
    <row r="3023" spans="1:19">
      <c r="A3023" s="124" t="s">
        <v>5276</v>
      </c>
      <c r="B3023" s="125" t="str">
        <f>IFERROR(VLOOKUP(Proc[[#This Row],[App]],Table2[],3,0),"open")</f>
        <v>open</v>
      </c>
      <c r="C3023" s="124" t="s">
        <v>370</v>
      </c>
      <c r="D3023" t="s">
        <v>5060</v>
      </c>
      <c r="E3023" t="s">
        <v>4069</v>
      </c>
      <c r="F3023" s="125"/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0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0</v>
      </c>
      <c r="R3023" s="115" t="s">
        <v>1013</v>
      </c>
      <c r="S3023" s="125"/>
    </row>
    <row r="3024" spans="1:19">
      <c r="A3024" s="124" t="s">
        <v>5276</v>
      </c>
      <c r="B3024" s="125" t="str">
        <f>IFERROR(VLOOKUP(Proc[[#This Row],[App]],Table2[],3,0),"open")</f>
        <v>open</v>
      </c>
      <c r="C3024" s="124" t="s">
        <v>370</v>
      </c>
      <c r="D3024" t="s">
        <v>5061</v>
      </c>
      <c r="E3024" t="s">
        <v>4069</v>
      </c>
      <c r="F3024" s="125"/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0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0</v>
      </c>
      <c r="R3024" s="115" t="s">
        <v>1013</v>
      </c>
      <c r="S3024" s="125"/>
    </row>
    <row r="3025" spans="1:19">
      <c r="A3025" s="124" t="s">
        <v>5276</v>
      </c>
      <c r="B3025" s="125" t="str">
        <f>IFERROR(VLOOKUP(Proc[[#This Row],[App]],Table2[],3,0),"open")</f>
        <v>open</v>
      </c>
      <c r="C3025" s="124" t="s">
        <v>370</v>
      </c>
      <c r="D3025" t="s">
        <v>5062</v>
      </c>
      <c r="E3025" t="s">
        <v>4069</v>
      </c>
      <c r="F3025" s="125"/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0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0</v>
      </c>
      <c r="R3025" s="115" t="s">
        <v>1013</v>
      </c>
      <c r="S3025" s="125"/>
    </row>
    <row r="3026" spans="1:19">
      <c r="A3026" s="124" t="s">
        <v>5276</v>
      </c>
      <c r="B3026" s="125" t="str">
        <f>IFERROR(VLOOKUP(Proc[[#This Row],[App]],Table2[],3,0),"open")</f>
        <v>open</v>
      </c>
      <c r="C3026" s="124" t="s">
        <v>370</v>
      </c>
      <c r="D3026" t="s">
        <v>5063</v>
      </c>
      <c r="E3026" t="s">
        <v>4069</v>
      </c>
      <c r="F3026" s="125"/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0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0</v>
      </c>
      <c r="R3026" s="115" t="s">
        <v>1013</v>
      </c>
      <c r="S3026" s="125"/>
    </row>
    <row r="3027" spans="1:19">
      <c r="A3027" s="124" t="s">
        <v>5276</v>
      </c>
      <c r="B3027" s="125" t="str">
        <f>IFERROR(VLOOKUP(Proc[[#This Row],[App]],Table2[],3,0),"open")</f>
        <v>open</v>
      </c>
      <c r="C3027" s="124" t="s">
        <v>370</v>
      </c>
      <c r="D3027" t="s">
        <v>5064</v>
      </c>
      <c r="E3027" t="s">
        <v>4069</v>
      </c>
      <c r="F3027" s="125"/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0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0</v>
      </c>
      <c r="R3027" s="115" t="s">
        <v>1013</v>
      </c>
      <c r="S3027" s="125"/>
    </row>
    <row r="3028" spans="1:19">
      <c r="A3028" s="124" t="s">
        <v>5276</v>
      </c>
      <c r="B3028" s="125" t="str">
        <f>IFERROR(VLOOKUP(Proc[[#This Row],[App]],Table2[],3,0),"open")</f>
        <v>open</v>
      </c>
      <c r="C3028" s="124" t="s">
        <v>370</v>
      </c>
      <c r="D3028" t="s">
        <v>5065</v>
      </c>
      <c r="E3028" t="s">
        <v>4069</v>
      </c>
      <c r="F3028" s="125"/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0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0</v>
      </c>
      <c r="R3028" s="115" t="s">
        <v>1013</v>
      </c>
      <c r="S3028" s="125"/>
    </row>
    <row r="3029" spans="1:19">
      <c r="A3029" s="124" t="s">
        <v>5276</v>
      </c>
      <c r="B3029" s="125" t="str">
        <f>IFERROR(VLOOKUP(Proc[[#This Row],[App]],Table2[],3,0),"open")</f>
        <v>open</v>
      </c>
      <c r="C3029" s="124" t="s">
        <v>370</v>
      </c>
      <c r="D3029" t="s">
        <v>5066</v>
      </c>
      <c r="E3029" t="s">
        <v>4069</v>
      </c>
      <c r="F3029" s="125"/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0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0</v>
      </c>
      <c r="R3029" s="115" t="s">
        <v>1013</v>
      </c>
      <c r="S3029" s="125"/>
    </row>
    <row r="3030" spans="1:19">
      <c r="A3030" s="124" t="s">
        <v>5276</v>
      </c>
      <c r="B3030" s="125" t="str">
        <f>IFERROR(VLOOKUP(Proc[[#This Row],[App]],Table2[],3,0),"open")</f>
        <v>open</v>
      </c>
      <c r="C3030" s="124" t="s">
        <v>370</v>
      </c>
      <c r="D3030" t="s">
        <v>5067</v>
      </c>
      <c r="E3030" t="s">
        <v>4069</v>
      </c>
      <c r="F3030" s="125"/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0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0</v>
      </c>
      <c r="R3030" s="115" t="s">
        <v>1013</v>
      </c>
      <c r="S3030" s="125"/>
    </row>
    <row r="3031" spans="1:19">
      <c r="A3031" s="124" t="s">
        <v>5276</v>
      </c>
      <c r="B3031" s="125" t="str">
        <f>IFERROR(VLOOKUP(Proc[[#This Row],[App]],Table2[],3,0),"open")</f>
        <v>open</v>
      </c>
      <c r="C3031" s="124" t="s">
        <v>370</v>
      </c>
      <c r="D3031" t="s">
        <v>5068</v>
      </c>
      <c r="E3031" t="s">
        <v>4069</v>
      </c>
      <c r="F3031" s="125"/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0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0</v>
      </c>
      <c r="R3031" s="115" t="s">
        <v>1013</v>
      </c>
      <c r="S3031" s="125"/>
    </row>
    <row r="3032" spans="1:19">
      <c r="A3032" s="124" t="s">
        <v>5276</v>
      </c>
      <c r="B3032" s="125" t="str">
        <f>IFERROR(VLOOKUP(Proc[[#This Row],[App]],Table2[],3,0),"open")</f>
        <v>open</v>
      </c>
      <c r="C3032" s="124" t="s">
        <v>370</v>
      </c>
      <c r="D3032" t="s">
        <v>5069</v>
      </c>
      <c r="E3032" t="s">
        <v>4069</v>
      </c>
      <c r="F3032" s="125"/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0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0</v>
      </c>
      <c r="R3032" s="115" t="s">
        <v>1013</v>
      </c>
      <c r="S3032" s="125"/>
    </row>
    <row r="3033" spans="1:19">
      <c r="A3033" s="124" t="s">
        <v>5276</v>
      </c>
      <c r="B3033" s="125" t="str">
        <f>IFERROR(VLOOKUP(Proc[[#This Row],[App]],Table2[],3,0),"open")</f>
        <v>open</v>
      </c>
      <c r="C3033" s="124" t="s">
        <v>370</v>
      </c>
      <c r="D3033" t="s">
        <v>5070</v>
      </c>
      <c r="E3033" t="s">
        <v>4069</v>
      </c>
      <c r="F3033" s="125"/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0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0</v>
      </c>
      <c r="R3033" s="115" t="s">
        <v>1013</v>
      </c>
      <c r="S3033" s="125"/>
    </row>
    <row r="3034" spans="1:19">
      <c r="A3034" s="124" t="s">
        <v>5276</v>
      </c>
      <c r="B3034" s="125" t="str">
        <f>IFERROR(VLOOKUP(Proc[[#This Row],[App]],Table2[],3,0),"open")</f>
        <v>open</v>
      </c>
      <c r="C3034" s="124" t="s">
        <v>370</v>
      </c>
      <c r="D3034" t="s">
        <v>5071</v>
      </c>
      <c r="E3034" t="s">
        <v>4069</v>
      </c>
      <c r="F3034" s="125"/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0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0</v>
      </c>
      <c r="R3034" s="115" t="s">
        <v>1013</v>
      </c>
      <c r="S3034" s="125"/>
    </row>
    <row r="3035" spans="1:19">
      <c r="A3035" s="124" t="s">
        <v>5276</v>
      </c>
      <c r="B3035" s="125" t="str">
        <f>IFERROR(VLOOKUP(Proc[[#This Row],[App]],Table2[],3,0),"open")</f>
        <v>open</v>
      </c>
      <c r="C3035" s="124" t="s">
        <v>370</v>
      </c>
      <c r="D3035" t="s">
        <v>5072</v>
      </c>
      <c r="E3035" t="s">
        <v>4069</v>
      </c>
      <c r="F3035" s="125"/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0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0</v>
      </c>
      <c r="R3035" s="115" t="s">
        <v>1013</v>
      </c>
      <c r="S3035" s="125"/>
    </row>
    <row r="3036" spans="1:19">
      <c r="A3036" s="124" t="s">
        <v>5276</v>
      </c>
      <c r="B3036" s="125" t="str">
        <f>IFERROR(VLOOKUP(Proc[[#This Row],[App]],Table2[],3,0),"open")</f>
        <v>open</v>
      </c>
      <c r="C3036" s="124" t="s">
        <v>370</v>
      </c>
      <c r="D3036" t="s">
        <v>5073</v>
      </c>
      <c r="E3036" t="s">
        <v>4069</v>
      </c>
      <c r="F3036" s="125"/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0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0</v>
      </c>
      <c r="R3036" s="115" t="s">
        <v>1013</v>
      </c>
      <c r="S3036" s="125"/>
    </row>
    <row r="3037" spans="1:19">
      <c r="A3037" s="124" t="s">
        <v>5276</v>
      </c>
      <c r="B3037" s="125" t="str">
        <f>IFERROR(VLOOKUP(Proc[[#This Row],[App]],Table2[],3,0),"open")</f>
        <v>open</v>
      </c>
      <c r="C3037" s="124" t="s">
        <v>370</v>
      </c>
      <c r="D3037" t="s">
        <v>5074</v>
      </c>
      <c r="E3037" t="s">
        <v>4069</v>
      </c>
      <c r="F3037" s="125"/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0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0</v>
      </c>
      <c r="R3037" s="115" t="s">
        <v>1013</v>
      </c>
      <c r="S3037" s="125"/>
    </row>
    <row r="3038" spans="1:19">
      <c r="A3038" s="124" t="s">
        <v>5276</v>
      </c>
      <c r="B3038" s="125" t="str">
        <f>IFERROR(VLOOKUP(Proc[[#This Row],[App]],Table2[],3,0),"open")</f>
        <v>open</v>
      </c>
      <c r="C3038" s="124" t="s">
        <v>370</v>
      </c>
      <c r="D3038" t="s">
        <v>5075</v>
      </c>
      <c r="E3038" t="s">
        <v>4069</v>
      </c>
      <c r="F3038" s="125"/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0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0</v>
      </c>
      <c r="R3038" s="115" t="s">
        <v>1013</v>
      </c>
      <c r="S3038" s="125"/>
    </row>
    <row r="3039" spans="1:19">
      <c r="A3039" s="124" t="s">
        <v>5276</v>
      </c>
      <c r="B3039" s="125" t="str">
        <f>IFERROR(VLOOKUP(Proc[[#This Row],[App]],Table2[],3,0),"open")</f>
        <v>open</v>
      </c>
      <c r="C3039" s="124" t="s">
        <v>370</v>
      </c>
      <c r="D3039" t="s">
        <v>5076</v>
      </c>
      <c r="E3039" t="s">
        <v>4069</v>
      </c>
      <c r="F3039" s="125"/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0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0</v>
      </c>
      <c r="R3039" s="115" t="s">
        <v>1013</v>
      </c>
      <c r="S3039" s="125"/>
    </row>
    <row r="3040" spans="1:19">
      <c r="A3040" s="124" t="s">
        <v>5276</v>
      </c>
      <c r="B3040" s="125" t="str">
        <f>IFERROR(VLOOKUP(Proc[[#This Row],[App]],Table2[],3,0),"open")</f>
        <v>open</v>
      </c>
      <c r="C3040" s="124" t="s">
        <v>370</v>
      </c>
      <c r="D3040" t="s">
        <v>5077</v>
      </c>
      <c r="E3040" t="s">
        <v>4069</v>
      </c>
      <c r="F3040" s="125"/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0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0</v>
      </c>
      <c r="R3040" s="115" t="s">
        <v>1013</v>
      </c>
      <c r="S3040" s="125"/>
    </row>
    <row r="3041" spans="1:19">
      <c r="A3041" s="124" t="s">
        <v>5276</v>
      </c>
      <c r="B3041" s="125" t="str">
        <f>IFERROR(VLOOKUP(Proc[[#This Row],[App]],Table2[],3,0),"open")</f>
        <v>open</v>
      </c>
      <c r="C3041" s="124" t="s">
        <v>370</v>
      </c>
      <c r="D3041" t="s">
        <v>5078</v>
      </c>
      <c r="E3041" t="s">
        <v>4069</v>
      </c>
      <c r="F3041" s="125"/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0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0</v>
      </c>
      <c r="R3041" s="115" t="s">
        <v>1013</v>
      </c>
      <c r="S3041" s="125"/>
    </row>
    <row r="3042" spans="1:19">
      <c r="A3042" s="124" t="s">
        <v>5276</v>
      </c>
      <c r="B3042" s="125" t="str">
        <f>IFERROR(VLOOKUP(Proc[[#This Row],[App]],Table2[],3,0),"open")</f>
        <v>open</v>
      </c>
      <c r="C3042" s="124" t="s">
        <v>370</v>
      </c>
      <c r="D3042" t="s">
        <v>5079</v>
      </c>
      <c r="E3042" t="s">
        <v>4069</v>
      </c>
      <c r="F3042" s="125"/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0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0</v>
      </c>
      <c r="R3042" s="115" t="s">
        <v>1013</v>
      </c>
      <c r="S3042" s="125"/>
    </row>
    <row r="3043" spans="1:19">
      <c r="A3043" s="124" t="s">
        <v>5276</v>
      </c>
      <c r="B3043" s="125" t="str">
        <f>IFERROR(VLOOKUP(Proc[[#This Row],[App]],Table2[],3,0),"open")</f>
        <v>open</v>
      </c>
      <c r="C3043" s="124" t="s">
        <v>370</v>
      </c>
      <c r="D3043" t="s">
        <v>5080</v>
      </c>
      <c r="E3043" t="s">
        <v>4069</v>
      </c>
      <c r="F3043" s="125"/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0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0</v>
      </c>
      <c r="R3043" s="115" t="s">
        <v>1013</v>
      </c>
      <c r="S3043" s="125"/>
    </row>
    <row r="3044" spans="1:19">
      <c r="A3044" s="124" t="s">
        <v>5276</v>
      </c>
      <c r="B3044" s="125" t="str">
        <f>IFERROR(VLOOKUP(Proc[[#This Row],[App]],Table2[],3,0),"open")</f>
        <v>open</v>
      </c>
      <c r="C3044" s="124" t="s">
        <v>370</v>
      </c>
      <c r="D3044" t="s">
        <v>5081</v>
      </c>
      <c r="E3044" t="s">
        <v>4069</v>
      </c>
      <c r="F3044" s="125"/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0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0</v>
      </c>
      <c r="R3044" s="115" t="s">
        <v>1013</v>
      </c>
      <c r="S3044" s="125"/>
    </row>
    <row r="3045" spans="1:19">
      <c r="A3045" s="124" t="s">
        <v>5276</v>
      </c>
      <c r="B3045" s="125" t="str">
        <f>IFERROR(VLOOKUP(Proc[[#This Row],[App]],Table2[],3,0),"open")</f>
        <v>open</v>
      </c>
      <c r="C3045" s="124" t="s">
        <v>370</v>
      </c>
      <c r="D3045" t="s">
        <v>5082</v>
      </c>
      <c r="E3045" t="s">
        <v>4069</v>
      </c>
      <c r="F3045" s="125"/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0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0</v>
      </c>
      <c r="R3045" s="115" t="s">
        <v>1013</v>
      </c>
      <c r="S3045" s="125"/>
    </row>
    <row r="3046" spans="1:19">
      <c r="A3046" s="124" t="s">
        <v>5276</v>
      </c>
      <c r="B3046" s="125" t="str">
        <f>IFERROR(VLOOKUP(Proc[[#This Row],[App]],Table2[],3,0),"open")</f>
        <v>open</v>
      </c>
      <c r="C3046" s="124" t="s">
        <v>370</v>
      </c>
      <c r="D3046" t="s">
        <v>5083</v>
      </c>
      <c r="E3046" t="s">
        <v>4069</v>
      </c>
      <c r="F3046" s="125"/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0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0</v>
      </c>
      <c r="R3046" s="115" t="s">
        <v>1013</v>
      </c>
      <c r="S3046" s="125"/>
    </row>
    <row r="3047" spans="1:19">
      <c r="A3047" s="124" t="s">
        <v>5276</v>
      </c>
      <c r="B3047" s="125" t="str">
        <f>IFERROR(VLOOKUP(Proc[[#This Row],[App]],Table2[],3,0),"open")</f>
        <v>open</v>
      </c>
      <c r="C3047" s="124" t="s">
        <v>370</v>
      </c>
      <c r="D3047" t="s">
        <v>5084</v>
      </c>
      <c r="E3047" t="s">
        <v>4069</v>
      </c>
      <c r="F3047" s="125"/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0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0</v>
      </c>
      <c r="R3047" s="115" t="s">
        <v>1013</v>
      </c>
      <c r="S3047" s="125"/>
    </row>
    <row r="3048" spans="1:19">
      <c r="A3048" s="124" t="s">
        <v>5276</v>
      </c>
      <c r="B3048" s="125" t="str">
        <f>IFERROR(VLOOKUP(Proc[[#This Row],[App]],Table2[],3,0),"open")</f>
        <v>open</v>
      </c>
      <c r="C3048" s="124" t="s">
        <v>370</v>
      </c>
      <c r="D3048" t="s">
        <v>5085</v>
      </c>
      <c r="E3048" t="s">
        <v>4069</v>
      </c>
      <c r="F3048" s="125"/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0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0</v>
      </c>
      <c r="R3048" s="115" t="s">
        <v>1013</v>
      </c>
      <c r="S3048" s="125"/>
    </row>
    <row r="3049" spans="1:19">
      <c r="A3049" s="124" t="s">
        <v>5276</v>
      </c>
      <c r="B3049" s="125" t="str">
        <f>IFERROR(VLOOKUP(Proc[[#This Row],[App]],Table2[],3,0),"open")</f>
        <v>open</v>
      </c>
      <c r="C3049" s="124" t="s">
        <v>370</v>
      </c>
      <c r="D3049" t="s">
        <v>5086</v>
      </c>
      <c r="E3049" t="s">
        <v>4069</v>
      </c>
      <c r="F3049" s="125"/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0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0</v>
      </c>
      <c r="R3049" s="115" t="s">
        <v>1013</v>
      </c>
      <c r="S3049" s="125"/>
    </row>
    <row r="3050" spans="1:19">
      <c r="A3050" s="124" t="s">
        <v>5276</v>
      </c>
      <c r="B3050" s="125" t="str">
        <f>IFERROR(VLOOKUP(Proc[[#This Row],[App]],Table2[],3,0),"open")</f>
        <v>open</v>
      </c>
      <c r="C3050" s="124" t="s">
        <v>370</v>
      </c>
      <c r="D3050" t="s">
        <v>5087</v>
      </c>
      <c r="E3050" t="s">
        <v>4069</v>
      </c>
      <c r="F3050" s="125"/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0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0</v>
      </c>
      <c r="R3050" s="115" t="s">
        <v>1013</v>
      </c>
      <c r="S3050" s="125"/>
    </row>
    <row r="3051" spans="1:19">
      <c r="A3051" s="124" t="s">
        <v>5276</v>
      </c>
      <c r="B3051" s="125" t="str">
        <f>IFERROR(VLOOKUP(Proc[[#This Row],[App]],Table2[],3,0),"open")</f>
        <v>open</v>
      </c>
      <c r="C3051" s="124" t="s">
        <v>370</v>
      </c>
      <c r="D3051" t="s">
        <v>5088</v>
      </c>
      <c r="E3051" t="s">
        <v>4069</v>
      </c>
      <c r="F3051" s="125"/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0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0</v>
      </c>
      <c r="R3051" s="115" t="s">
        <v>1013</v>
      </c>
      <c r="S3051" s="125"/>
    </row>
    <row r="3052" spans="1:19">
      <c r="A3052" s="124" t="s">
        <v>5276</v>
      </c>
      <c r="B3052" s="125" t="str">
        <f>IFERROR(VLOOKUP(Proc[[#This Row],[App]],Table2[],3,0),"open")</f>
        <v>open</v>
      </c>
      <c r="C3052" s="124" t="s">
        <v>370</v>
      </c>
      <c r="D3052" t="s">
        <v>5089</v>
      </c>
      <c r="E3052" t="s">
        <v>4069</v>
      </c>
      <c r="F3052" s="125"/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0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0</v>
      </c>
      <c r="R3052" s="115" t="s">
        <v>1013</v>
      </c>
      <c r="S3052" s="125"/>
    </row>
    <row r="3053" spans="1:19">
      <c r="A3053" s="124" t="s">
        <v>5276</v>
      </c>
      <c r="B3053" s="125" t="str">
        <f>IFERROR(VLOOKUP(Proc[[#This Row],[App]],Table2[],3,0),"open")</f>
        <v>open</v>
      </c>
      <c r="C3053" s="124" t="s">
        <v>370</v>
      </c>
      <c r="D3053" t="s">
        <v>5090</v>
      </c>
      <c r="E3053" t="s">
        <v>4069</v>
      </c>
      <c r="F3053" s="125"/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0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0</v>
      </c>
      <c r="R3053" s="115" t="s">
        <v>1013</v>
      </c>
      <c r="S3053" s="125"/>
    </row>
    <row r="3054" spans="1:19">
      <c r="A3054" s="124" t="s">
        <v>5276</v>
      </c>
      <c r="B3054" s="125" t="str">
        <f>IFERROR(VLOOKUP(Proc[[#This Row],[App]],Table2[],3,0),"open")</f>
        <v>open</v>
      </c>
      <c r="C3054" s="124" t="s">
        <v>370</v>
      </c>
      <c r="D3054" t="s">
        <v>5091</v>
      </c>
      <c r="E3054" t="s">
        <v>4069</v>
      </c>
      <c r="F3054" s="125"/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0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0</v>
      </c>
      <c r="R3054" s="115" t="s">
        <v>1013</v>
      </c>
      <c r="S3054" s="125"/>
    </row>
    <row r="3055" spans="1:19">
      <c r="A3055" s="124" t="s">
        <v>5276</v>
      </c>
      <c r="B3055" s="125" t="str">
        <f>IFERROR(VLOOKUP(Proc[[#This Row],[App]],Table2[],3,0),"open")</f>
        <v>open</v>
      </c>
      <c r="C3055" s="124" t="s">
        <v>370</v>
      </c>
      <c r="D3055" t="s">
        <v>5092</v>
      </c>
      <c r="E3055" t="s">
        <v>4069</v>
      </c>
      <c r="F3055" s="125"/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0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0</v>
      </c>
      <c r="R3055" s="115" t="s">
        <v>1013</v>
      </c>
      <c r="S3055" s="125"/>
    </row>
    <row r="3056" spans="1:19">
      <c r="A3056" s="124" t="s">
        <v>5276</v>
      </c>
      <c r="B3056" s="125" t="str">
        <f>IFERROR(VLOOKUP(Proc[[#This Row],[App]],Table2[],3,0),"open")</f>
        <v>open</v>
      </c>
      <c r="C3056" s="124" t="s">
        <v>370</v>
      </c>
      <c r="D3056" t="s">
        <v>5093</v>
      </c>
      <c r="E3056" t="s">
        <v>4069</v>
      </c>
      <c r="F3056" s="125"/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0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0</v>
      </c>
      <c r="R3056" s="115" t="s">
        <v>1013</v>
      </c>
      <c r="S3056" s="125"/>
    </row>
    <row r="3057" spans="1:19">
      <c r="A3057" s="124" t="s">
        <v>5276</v>
      </c>
      <c r="B3057" s="125" t="str">
        <f>IFERROR(VLOOKUP(Proc[[#This Row],[App]],Table2[],3,0),"open")</f>
        <v>open</v>
      </c>
      <c r="C3057" s="124" t="s">
        <v>370</v>
      </c>
      <c r="D3057" t="s">
        <v>5094</v>
      </c>
      <c r="E3057" t="s">
        <v>4069</v>
      </c>
      <c r="F3057" s="125"/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0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0</v>
      </c>
      <c r="R3057" s="115" t="s">
        <v>1013</v>
      </c>
      <c r="S3057" s="125"/>
    </row>
    <row r="3058" spans="1:19">
      <c r="A3058" s="124" t="s">
        <v>5276</v>
      </c>
      <c r="B3058" s="125" t="str">
        <f>IFERROR(VLOOKUP(Proc[[#This Row],[App]],Table2[],3,0),"open")</f>
        <v>open</v>
      </c>
      <c r="C3058" s="124" t="s">
        <v>370</v>
      </c>
      <c r="D3058" t="s">
        <v>5095</v>
      </c>
      <c r="E3058" t="s">
        <v>4069</v>
      </c>
      <c r="F3058" s="125"/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0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0</v>
      </c>
      <c r="R3058" s="115" t="s">
        <v>1013</v>
      </c>
      <c r="S3058" s="125"/>
    </row>
    <row r="3059" spans="1:19">
      <c r="A3059" s="124" t="s">
        <v>5276</v>
      </c>
      <c r="B3059" s="125" t="str">
        <f>IFERROR(VLOOKUP(Proc[[#This Row],[App]],Table2[],3,0),"open")</f>
        <v>open</v>
      </c>
      <c r="C3059" s="124" t="s">
        <v>370</v>
      </c>
      <c r="D3059" t="s">
        <v>5096</v>
      </c>
      <c r="E3059" t="s">
        <v>4069</v>
      </c>
      <c r="F3059" s="125"/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0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0</v>
      </c>
      <c r="R3059" s="115" t="s">
        <v>1013</v>
      </c>
      <c r="S3059" s="125"/>
    </row>
    <row r="3060" spans="1:19">
      <c r="A3060" s="124" t="s">
        <v>5276</v>
      </c>
      <c r="B3060" s="125" t="str">
        <f>IFERROR(VLOOKUP(Proc[[#This Row],[App]],Table2[],3,0),"open")</f>
        <v>open</v>
      </c>
      <c r="C3060" s="124" t="s">
        <v>370</v>
      </c>
      <c r="D3060" t="s">
        <v>5097</v>
      </c>
      <c r="E3060" t="s">
        <v>4069</v>
      </c>
      <c r="F3060" s="125"/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0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0</v>
      </c>
      <c r="R3060" s="115" t="s">
        <v>1013</v>
      </c>
      <c r="S3060" s="125"/>
    </row>
    <row r="3061" spans="1:19">
      <c r="A3061" s="124" t="s">
        <v>5276</v>
      </c>
      <c r="B3061" s="125" t="str">
        <f>IFERROR(VLOOKUP(Proc[[#This Row],[App]],Table2[],3,0),"open")</f>
        <v>open</v>
      </c>
      <c r="C3061" s="124" t="s">
        <v>370</v>
      </c>
      <c r="D3061" t="s">
        <v>5098</v>
      </c>
      <c r="E3061" t="s">
        <v>4069</v>
      </c>
      <c r="F3061" s="125"/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0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0</v>
      </c>
      <c r="R3061" s="115" t="s">
        <v>1013</v>
      </c>
      <c r="S3061" s="125"/>
    </row>
    <row r="3062" spans="1:19">
      <c r="A3062" s="124" t="s">
        <v>5276</v>
      </c>
      <c r="B3062" s="125" t="str">
        <f>IFERROR(VLOOKUP(Proc[[#This Row],[App]],Table2[],3,0),"open")</f>
        <v>open</v>
      </c>
      <c r="C3062" s="124" t="s">
        <v>370</v>
      </c>
      <c r="D3062" t="s">
        <v>5099</v>
      </c>
      <c r="E3062" t="s">
        <v>4069</v>
      </c>
      <c r="F3062" s="125"/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0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0</v>
      </c>
      <c r="R3062" s="115" t="s">
        <v>1013</v>
      </c>
      <c r="S3062" s="125"/>
    </row>
    <row r="3063" spans="1:19">
      <c r="A3063" s="124" t="s">
        <v>5276</v>
      </c>
      <c r="B3063" s="125" t="str">
        <f>IFERROR(VLOOKUP(Proc[[#This Row],[App]],Table2[],3,0),"open")</f>
        <v>open</v>
      </c>
      <c r="C3063" s="124" t="s">
        <v>370</v>
      </c>
      <c r="D3063" t="s">
        <v>5100</v>
      </c>
      <c r="E3063" t="s">
        <v>4069</v>
      </c>
      <c r="F3063" s="125"/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0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0</v>
      </c>
      <c r="R3063" s="115" t="s">
        <v>1013</v>
      </c>
      <c r="S3063" s="125"/>
    </row>
    <row r="3064" spans="1:19">
      <c r="A3064" s="124" t="s">
        <v>5276</v>
      </c>
      <c r="B3064" s="125" t="str">
        <f>IFERROR(VLOOKUP(Proc[[#This Row],[App]],Table2[],3,0),"open")</f>
        <v>open</v>
      </c>
      <c r="C3064" s="124" t="s">
        <v>370</v>
      </c>
      <c r="D3064" t="s">
        <v>5101</v>
      </c>
      <c r="E3064" t="s">
        <v>4069</v>
      </c>
      <c r="F3064" s="125"/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0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0</v>
      </c>
      <c r="R3064" s="115" t="s">
        <v>1013</v>
      </c>
      <c r="S3064" s="125"/>
    </row>
    <row r="3065" spans="1:19">
      <c r="A3065" s="124" t="s">
        <v>5276</v>
      </c>
      <c r="B3065" s="125" t="str">
        <f>IFERROR(VLOOKUP(Proc[[#This Row],[App]],Table2[],3,0),"open")</f>
        <v>open</v>
      </c>
      <c r="C3065" s="124" t="s">
        <v>370</v>
      </c>
      <c r="D3065" t="s">
        <v>5102</v>
      </c>
      <c r="E3065" t="s">
        <v>4069</v>
      </c>
      <c r="F3065" s="125"/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0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0</v>
      </c>
      <c r="R3065" s="115" t="s">
        <v>1013</v>
      </c>
      <c r="S3065" s="125"/>
    </row>
    <row r="3066" spans="1:19">
      <c r="A3066" s="124" t="s">
        <v>5276</v>
      </c>
      <c r="B3066" s="125" t="str">
        <f>IFERROR(VLOOKUP(Proc[[#This Row],[App]],Table2[],3,0),"open")</f>
        <v>open</v>
      </c>
      <c r="C3066" s="124" t="s">
        <v>370</v>
      </c>
      <c r="D3066" t="s">
        <v>5103</v>
      </c>
      <c r="E3066" t="s">
        <v>4069</v>
      </c>
      <c r="F3066" s="125"/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0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0</v>
      </c>
      <c r="R3066" s="115" t="s">
        <v>1013</v>
      </c>
      <c r="S3066" s="125"/>
    </row>
    <row r="3067" spans="1:19">
      <c r="A3067" s="124" t="s">
        <v>5276</v>
      </c>
      <c r="B3067" s="125" t="str">
        <f>IFERROR(VLOOKUP(Proc[[#This Row],[App]],Table2[],3,0),"open")</f>
        <v>open</v>
      </c>
      <c r="C3067" s="124" t="s">
        <v>370</v>
      </c>
      <c r="D3067" t="s">
        <v>5104</v>
      </c>
      <c r="E3067" t="s">
        <v>4069</v>
      </c>
      <c r="F3067" s="125"/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0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0</v>
      </c>
      <c r="R3067" s="115" t="s">
        <v>1013</v>
      </c>
      <c r="S3067" s="125"/>
    </row>
    <row r="3068" spans="1:19">
      <c r="A3068" s="124" t="s">
        <v>5276</v>
      </c>
      <c r="B3068" s="125" t="str">
        <f>IFERROR(VLOOKUP(Proc[[#This Row],[App]],Table2[],3,0),"open")</f>
        <v>open</v>
      </c>
      <c r="C3068" s="124" t="s">
        <v>370</v>
      </c>
      <c r="D3068" t="s">
        <v>5105</v>
      </c>
      <c r="E3068" t="s">
        <v>4069</v>
      </c>
      <c r="F3068" s="125"/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0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0</v>
      </c>
      <c r="R3068" s="115" t="s">
        <v>1013</v>
      </c>
      <c r="S3068" s="125"/>
    </row>
    <row r="3069" spans="1:19">
      <c r="A3069" s="124" t="s">
        <v>5276</v>
      </c>
      <c r="B3069" s="125" t="str">
        <f>IFERROR(VLOOKUP(Proc[[#This Row],[App]],Table2[],3,0),"open")</f>
        <v>open</v>
      </c>
      <c r="C3069" s="124" t="s">
        <v>370</v>
      </c>
      <c r="D3069" t="s">
        <v>5106</v>
      </c>
      <c r="E3069" t="s">
        <v>4069</v>
      </c>
      <c r="F3069" s="125"/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0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0</v>
      </c>
      <c r="R3069" s="115" t="s">
        <v>1013</v>
      </c>
      <c r="S3069" s="125"/>
    </row>
    <row r="3070" spans="1:19">
      <c r="A3070" s="124" t="s">
        <v>5276</v>
      </c>
      <c r="B3070" s="125" t="str">
        <f>IFERROR(VLOOKUP(Proc[[#This Row],[App]],Table2[],3,0),"open")</f>
        <v>open</v>
      </c>
      <c r="C3070" s="124" t="s">
        <v>370</v>
      </c>
      <c r="D3070" t="s">
        <v>5107</v>
      </c>
      <c r="E3070" t="s">
        <v>4069</v>
      </c>
      <c r="F3070" s="125"/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0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0</v>
      </c>
      <c r="R3070" s="115" t="s">
        <v>1013</v>
      </c>
      <c r="S3070" s="125"/>
    </row>
    <row r="3071" spans="1:19">
      <c r="A3071" s="124" t="s">
        <v>5276</v>
      </c>
      <c r="B3071" s="125" t="str">
        <f>IFERROR(VLOOKUP(Proc[[#This Row],[App]],Table2[],3,0),"open")</f>
        <v>open</v>
      </c>
      <c r="C3071" s="124" t="s">
        <v>370</v>
      </c>
      <c r="D3071" t="s">
        <v>5108</v>
      </c>
      <c r="E3071" t="s">
        <v>4069</v>
      </c>
      <c r="F3071" s="125"/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0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0</v>
      </c>
      <c r="R3071" s="115" t="s">
        <v>1013</v>
      </c>
      <c r="S3071" s="125"/>
    </row>
    <row r="3072" spans="1:19">
      <c r="A3072" s="124" t="s">
        <v>5276</v>
      </c>
      <c r="B3072" s="125" t="str">
        <f>IFERROR(VLOOKUP(Proc[[#This Row],[App]],Table2[],3,0),"open")</f>
        <v>open</v>
      </c>
      <c r="C3072" s="124" t="s">
        <v>370</v>
      </c>
      <c r="D3072" t="s">
        <v>5109</v>
      </c>
      <c r="E3072" t="s">
        <v>4069</v>
      </c>
      <c r="F3072" s="125"/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0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0</v>
      </c>
      <c r="R3072" s="115" t="s">
        <v>1013</v>
      </c>
      <c r="S3072" s="125"/>
    </row>
    <row r="3073" spans="1:19">
      <c r="A3073" s="124" t="s">
        <v>5276</v>
      </c>
      <c r="B3073" s="125" t="str">
        <f>IFERROR(VLOOKUP(Proc[[#This Row],[App]],Table2[],3,0),"open")</f>
        <v>open</v>
      </c>
      <c r="C3073" s="124" t="s">
        <v>370</v>
      </c>
      <c r="D3073" t="s">
        <v>5110</v>
      </c>
      <c r="E3073" t="s">
        <v>4069</v>
      </c>
      <c r="F3073" s="125"/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0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0</v>
      </c>
      <c r="R3073" s="115" t="s">
        <v>1013</v>
      </c>
      <c r="S3073" s="125"/>
    </row>
    <row r="3074" spans="1:19">
      <c r="A3074" s="124" t="s">
        <v>5276</v>
      </c>
      <c r="B3074" s="125" t="str">
        <f>IFERROR(VLOOKUP(Proc[[#This Row],[App]],Table2[],3,0),"open")</f>
        <v>open</v>
      </c>
      <c r="C3074" s="124" t="s">
        <v>370</v>
      </c>
      <c r="D3074" t="s">
        <v>5111</v>
      </c>
      <c r="E3074" t="s">
        <v>4069</v>
      </c>
      <c r="F3074" s="125"/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0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0</v>
      </c>
      <c r="R3074" s="115" t="s">
        <v>1013</v>
      </c>
      <c r="S3074" s="125"/>
    </row>
    <row r="3075" spans="1:19">
      <c r="A3075" s="124" t="s">
        <v>5276</v>
      </c>
      <c r="B3075" s="125" t="str">
        <f>IFERROR(VLOOKUP(Proc[[#This Row],[App]],Table2[],3,0),"open")</f>
        <v>open</v>
      </c>
      <c r="C3075" s="124" t="s">
        <v>370</v>
      </c>
      <c r="D3075" t="s">
        <v>5112</v>
      </c>
      <c r="E3075" t="s">
        <v>4069</v>
      </c>
      <c r="F3075" s="125"/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0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0</v>
      </c>
      <c r="R3075" s="115" t="s">
        <v>1013</v>
      </c>
      <c r="S3075" s="125"/>
    </row>
    <row r="3076" spans="1:19">
      <c r="A3076" s="124" t="s">
        <v>5276</v>
      </c>
      <c r="B3076" s="125" t="str">
        <f>IFERROR(VLOOKUP(Proc[[#This Row],[App]],Table2[],3,0),"open")</f>
        <v>open</v>
      </c>
      <c r="C3076" s="124" t="s">
        <v>370</v>
      </c>
      <c r="D3076" t="s">
        <v>5113</v>
      </c>
      <c r="E3076" t="s">
        <v>4069</v>
      </c>
      <c r="F3076" s="125"/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0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0</v>
      </c>
      <c r="R3076" s="115" t="s">
        <v>1013</v>
      </c>
      <c r="S3076" s="125"/>
    </row>
    <row r="3077" spans="1:19">
      <c r="A3077" s="124" t="s">
        <v>5276</v>
      </c>
      <c r="B3077" s="125" t="str">
        <f>IFERROR(VLOOKUP(Proc[[#This Row],[App]],Table2[],3,0),"open")</f>
        <v>open</v>
      </c>
      <c r="C3077" s="124" t="s">
        <v>370</v>
      </c>
      <c r="D3077" t="s">
        <v>5114</v>
      </c>
      <c r="E3077" t="s">
        <v>4069</v>
      </c>
      <c r="F3077" s="125"/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0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0</v>
      </c>
      <c r="R3077" s="115" t="s">
        <v>1013</v>
      </c>
      <c r="S3077" s="125"/>
    </row>
    <row r="3078" spans="1:19">
      <c r="A3078" s="124" t="s">
        <v>5276</v>
      </c>
      <c r="B3078" s="125" t="str">
        <f>IFERROR(VLOOKUP(Proc[[#This Row],[App]],Table2[],3,0),"open")</f>
        <v>open</v>
      </c>
      <c r="C3078" s="124" t="s">
        <v>370</v>
      </c>
      <c r="D3078" t="s">
        <v>5115</v>
      </c>
      <c r="E3078" t="s">
        <v>4069</v>
      </c>
      <c r="F3078" s="125"/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0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0</v>
      </c>
      <c r="R3078" s="115" t="s">
        <v>1013</v>
      </c>
      <c r="S3078" s="125"/>
    </row>
    <row r="3079" spans="1:19">
      <c r="A3079" s="124" t="s">
        <v>5276</v>
      </c>
      <c r="B3079" s="125" t="str">
        <f>IFERROR(VLOOKUP(Proc[[#This Row],[App]],Table2[],3,0),"open")</f>
        <v>open</v>
      </c>
      <c r="C3079" s="124" t="s">
        <v>370</v>
      </c>
      <c r="D3079" t="s">
        <v>5116</v>
      </c>
      <c r="E3079" t="s">
        <v>4069</v>
      </c>
      <c r="F3079" s="125"/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0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0</v>
      </c>
      <c r="R3079" s="115" t="s">
        <v>1013</v>
      </c>
      <c r="S3079" s="125"/>
    </row>
    <row r="3080" spans="1:19">
      <c r="A3080" s="124" t="s">
        <v>5276</v>
      </c>
      <c r="B3080" s="125" t="str">
        <f>IFERROR(VLOOKUP(Proc[[#This Row],[App]],Table2[],3,0),"open")</f>
        <v>open</v>
      </c>
      <c r="C3080" s="124" t="s">
        <v>370</v>
      </c>
      <c r="D3080" t="s">
        <v>5117</v>
      </c>
      <c r="E3080" t="s">
        <v>4069</v>
      </c>
      <c r="F3080" s="125"/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0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0</v>
      </c>
      <c r="R3080" s="115" t="s">
        <v>1013</v>
      </c>
      <c r="S3080" s="125"/>
    </row>
    <row r="3081" spans="1:19">
      <c r="A3081" s="124" t="s">
        <v>5276</v>
      </c>
      <c r="B3081" s="125" t="str">
        <f>IFERROR(VLOOKUP(Proc[[#This Row],[App]],Table2[],3,0),"open")</f>
        <v>open</v>
      </c>
      <c r="C3081" s="124" t="s">
        <v>370</v>
      </c>
      <c r="D3081" t="s">
        <v>5118</v>
      </c>
      <c r="E3081" t="s">
        <v>4069</v>
      </c>
      <c r="F3081" s="125"/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0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0</v>
      </c>
      <c r="R3081" s="115" t="s">
        <v>1013</v>
      </c>
      <c r="S3081" s="125"/>
    </row>
    <row r="3082" spans="1:19">
      <c r="A3082" s="124" t="s">
        <v>5276</v>
      </c>
      <c r="B3082" s="125" t="str">
        <f>IFERROR(VLOOKUP(Proc[[#This Row],[App]],Table2[],3,0),"open")</f>
        <v>open</v>
      </c>
      <c r="C3082" s="124" t="s">
        <v>370</v>
      </c>
      <c r="D3082" t="s">
        <v>5119</v>
      </c>
      <c r="E3082" t="s">
        <v>4069</v>
      </c>
      <c r="F3082" s="125"/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0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0</v>
      </c>
      <c r="R3082" s="115" t="s">
        <v>1013</v>
      </c>
      <c r="S3082" s="125"/>
    </row>
    <row r="3083" spans="1:19">
      <c r="A3083" s="124" t="s">
        <v>5276</v>
      </c>
      <c r="B3083" s="125" t="str">
        <f>IFERROR(VLOOKUP(Proc[[#This Row],[App]],Table2[],3,0),"open")</f>
        <v>open</v>
      </c>
      <c r="C3083" s="124" t="s">
        <v>370</v>
      </c>
      <c r="D3083" t="s">
        <v>5120</v>
      </c>
      <c r="E3083" t="s">
        <v>4069</v>
      </c>
      <c r="F3083" s="125"/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0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0</v>
      </c>
      <c r="R3083" s="115" t="s">
        <v>1013</v>
      </c>
      <c r="S3083" s="125"/>
    </row>
    <row r="3084" spans="1:19">
      <c r="A3084" s="124" t="s">
        <v>5276</v>
      </c>
      <c r="B3084" s="125" t="str">
        <f>IFERROR(VLOOKUP(Proc[[#This Row],[App]],Table2[],3,0),"open")</f>
        <v>open</v>
      </c>
      <c r="C3084" s="124" t="s">
        <v>370</v>
      </c>
      <c r="D3084" t="s">
        <v>5121</v>
      </c>
      <c r="E3084" t="s">
        <v>4069</v>
      </c>
      <c r="F3084" s="125"/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0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0</v>
      </c>
      <c r="R3084" s="115" t="s">
        <v>1013</v>
      </c>
      <c r="S3084" s="125"/>
    </row>
    <row r="3085" spans="1:19">
      <c r="A3085" s="124" t="s">
        <v>5276</v>
      </c>
      <c r="B3085" s="125" t="str">
        <f>IFERROR(VLOOKUP(Proc[[#This Row],[App]],Table2[],3,0),"open")</f>
        <v>open</v>
      </c>
      <c r="C3085" s="124" t="s">
        <v>370</v>
      </c>
      <c r="D3085" t="s">
        <v>5122</v>
      </c>
      <c r="E3085" t="s">
        <v>4069</v>
      </c>
      <c r="F3085" s="125"/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0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0</v>
      </c>
      <c r="R3085" s="115" t="s">
        <v>1013</v>
      </c>
      <c r="S3085" s="125"/>
    </row>
    <row r="3086" spans="1:19">
      <c r="A3086" s="124" t="s">
        <v>5276</v>
      </c>
      <c r="B3086" s="125" t="str">
        <f>IFERROR(VLOOKUP(Proc[[#This Row],[App]],Table2[],3,0),"open")</f>
        <v>open</v>
      </c>
      <c r="C3086" s="124" t="s">
        <v>370</v>
      </c>
      <c r="D3086" t="s">
        <v>5123</v>
      </c>
      <c r="E3086" t="s">
        <v>4069</v>
      </c>
      <c r="F3086" s="125"/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0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0</v>
      </c>
      <c r="R3086" s="115" t="s">
        <v>1013</v>
      </c>
      <c r="S3086" s="125"/>
    </row>
    <row r="3087" spans="1:19">
      <c r="A3087" s="124" t="s">
        <v>5276</v>
      </c>
      <c r="B3087" s="125" t="str">
        <f>IFERROR(VLOOKUP(Proc[[#This Row],[App]],Table2[],3,0),"open")</f>
        <v>open</v>
      </c>
      <c r="C3087" s="124" t="s">
        <v>370</v>
      </c>
      <c r="D3087" t="s">
        <v>5124</v>
      </c>
      <c r="E3087" t="s">
        <v>4069</v>
      </c>
      <c r="F3087" s="125"/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0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0</v>
      </c>
      <c r="R3087" s="115" t="s">
        <v>1013</v>
      </c>
      <c r="S3087" s="125"/>
    </row>
    <row r="3088" spans="1:19">
      <c r="A3088" s="124" t="s">
        <v>5276</v>
      </c>
      <c r="B3088" s="125" t="str">
        <f>IFERROR(VLOOKUP(Proc[[#This Row],[App]],Table2[],3,0),"open")</f>
        <v>open</v>
      </c>
      <c r="C3088" s="124" t="s">
        <v>370</v>
      </c>
      <c r="D3088" t="s">
        <v>5125</v>
      </c>
      <c r="E3088" t="s">
        <v>4069</v>
      </c>
      <c r="F3088" s="125"/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0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0</v>
      </c>
      <c r="R3088" s="115" t="s">
        <v>1013</v>
      </c>
      <c r="S3088" s="125"/>
    </row>
    <row r="3089" spans="1:19">
      <c r="A3089" s="124" t="s">
        <v>5276</v>
      </c>
      <c r="B3089" s="125" t="str">
        <f>IFERROR(VLOOKUP(Proc[[#This Row],[App]],Table2[],3,0),"open")</f>
        <v>open</v>
      </c>
      <c r="C3089" s="124" t="s">
        <v>370</v>
      </c>
      <c r="D3089" t="s">
        <v>5126</v>
      </c>
      <c r="E3089" t="s">
        <v>4069</v>
      </c>
      <c r="F3089" s="125"/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0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0</v>
      </c>
      <c r="R3089" s="115" t="s">
        <v>1013</v>
      </c>
      <c r="S3089" s="125"/>
    </row>
    <row r="3090" spans="1:19">
      <c r="A3090" s="124" t="s">
        <v>5276</v>
      </c>
      <c r="B3090" s="125" t="str">
        <f>IFERROR(VLOOKUP(Proc[[#This Row],[App]],Table2[],3,0),"open")</f>
        <v>open</v>
      </c>
      <c r="C3090" s="124" t="s">
        <v>370</v>
      </c>
      <c r="D3090" t="s">
        <v>5127</v>
      </c>
      <c r="E3090" t="s">
        <v>4069</v>
      </c>
      <c r="F3090" s="125"/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0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0</v>
      </c>
      <c r="R3090" s="115" t="s">
        <v>1013</v>
      </c>
      <c r="S3090" s="125"/>
    </row>
    <row r="3091" spans="1:19">
      <c r="A3091" s="124" t="s">
        <v>5276</v>
      </c>
      <c r="B3091" s="125" t="str">
        <f>IFERROR(VLOOKUP(Proc[[#This Row],[App]],Table2[],3,0),"open")</f>
        <v>open</v>
      </c>
      <c r="C3091" s="124" t="s">
        <v>370</v>
      </c>
      <c r="D3091" t="s">
        <v>5128</v>
      </c>
      <c r="E3091" t="s">
        <v>4069</v>
      </c>
      <c r="F3091" s="125"/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0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0</v>
      </c>
      <c r="R3091" s="115" t="s">
        <v>1013</v>
      </c>
      <c r="S3091" s="125"/>
    </row>
    <row r="3092" spans="1:19">
      <c r="A3092" s="124" t="s">
        <v>5276</v>
      </c>
      <c r="B3092" s="125" t="str">
        <f>IFERROR(VLOOKUP(Proc[[#This Row],[App]],Table2[],3,0),"open")</f>
        <v>open</v>
      </c>
      <c r="C3092" s="124" t="s">
        <v>370</v>
      </c>
      <c r="D3092" t="s">
        <v>5129</v>
      </c>
      <c r="E3092" t="s">
        <v>4069</v>
      </c>
      <c r="F3092" s="125"/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0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0</v>
      </c>
      <c r="R3092" s="115" t="s">
        <v>1013</v>
      </c>
      <c r="S3092" s="125"/>
    </row>
    <row r="3093" spans="1:19">
      <c r="A3093" s="124" t="s">
        <v>5276</v>
      </c>
      <c r="B3093" s="125" t="str">
        <f>IFERROR(VLOOKUP(Proc[[#This Row],[App]],Table2[],3,0),"open")</f>
        <v>open</v>
      </c>
      <c r="C3093" s="124" t="s">
        <v>370</v>
      </c>
      <c r="D3093" t="s">
        <v>5130</v>
      </c>
      <c r="E3093" t="s">
        <v>4069</v>
      </c>
      <c r="F3093" s="125"/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0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0</v>
      </c>
      <c r="R3093" s="115" t="s">
        <v>1013</v>
      </c>
      <c r="S3093" s="125"/>
    </row>
    <row r="3094" spans="1:19">
      <c r="A3094" s="124" t="s">
        <v>5276</v>
      </c>
      <c r="B3094" s="125" t="str">
        <f>IFERROR(VLOOKUP(Proc[[#This Row],[App]],Table2[],3,0),"open")</f>
        <v>open</v>
      </c>
      <c r="C3094" s="124" t="s">
        <v>370</v>
      </c>
      <c r="D3094" t="s">
        <v>5131</v>
      </c>
      <c r="E3094" t="s">
        <v>4069</v>
      </c>
      <c r="F3094" s="125"/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0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0</v>
      </c>
      <c r="R3094" s="115" t="s">
        <v>1013</v>
      </c>
      <c r="S3094" s="125"/>
    </row>
    <row r="3095" spans="1:19">
      <c r="A3095" s="124" t="s">
        <v>5276</v>
      </c>
      <c r="B3095" s="125" t="str">
        <f>IFERROR(VLOOKUP(Proc[[#This Row],[App]],Table2[],3,0),"open")</f>
        <v>open</v>
      </c>
      <c r="C3095" s="124" t="s">
        <v>370</v>
      </c>
      <c r="D3095" t="s">
        <v>5132</v>
      </c>
      <c r="E3095" t="s">
        <v>4069</v>
      </c>
      <c r="F3095" s="125"/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0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0</v>
      </c>
      <c r="R3095" s="115" t="s">
        <v>1013</v>
      </c>
      <c r="S3095" s="125"/>
    </row>
    <row r="3096" spans="1:19">
      <c r="A3096" s="124" t="s">
        <v>5276</v>
      </c>
      <c r="B3096" s="125" t="str">
        <f>IFERROR(VLOOKUP(Proc[[#This Row],[App]],Table2[],3,0),"open")</f>
        <v>open</v>
      </c>
      <c r="C3096" s="124" t="s">
        <v>370</v>
      </c>
      <c r="D3096" t="s">
        <v>5133</v>
      </c>
      <c r="E3096" t="s">
        <v>4069</v>
      </c>
      <c r="F3096" s="125"/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0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0</v>
      </c>
      <c r="R3096" s="115" t="s">
        <v>1013</v>
      </c>
      <c r="S3096" s="125"/>
    </row>
    <row r="3097" spans="1:19">
      <c r="A3097" s="124" t="s">
        <v>5276</v>
      </c>
      <c r="B3097" s="125" t="str">
        <f>IFERROR(VLOOKUP(Proc[[#This Row],[App]],Table2[],3,0),"open")</f>
        <v>open</v>
      </c>
      <c r="C3097" s="124" t="s">
        <v>370</v>
      </c>
      <c r="D3097" t="s">
        <v>5134</v>
      </c>
      <c r="E3097" t="s">
        <v>4069</v>
      </c>
      <c r="F3097" s="125"/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0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0</v>
      </c>
      <c r="R3097" s="115" t="s">
        <v>1013</v>
      </c>
      <c r="S3097" s="125"/>
    </row>
    <row r="3098" spans="1:19">
      <c r="A3098" s="124" t="s">
        <v>5276</v>
      </c>
      <c r="B3098" s="125" t="str">
        <f>IFERROR(VLOOKUP(Proc[[#This Row],[App]],Table2[],3,0),"open")</f>
        <v>open</v>
      </c>
      <c r="C3098" s="124" t="s">
        <v>370</v>
      </c>
      <c r="D3098" t="s">
        <v>5135</v>
      </c>
      <c r="E3098" t="s">
        <v>4069</v>
      </c>
      <c r="F3098" s="125"/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0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0</v>
      </c>
      <c r="R3098" s="115" t="s">
        <v>1013</v>
      </c>
      <c r="S3098" s="125"/>
    </row>
    <row r="3099" spans="1:19">
      <c r="A3099" s="124" t="s">
        <v>5276</v>
      </c>
      <c r="B3099" s="125" t="str">
        <f>IFERROR(VLOOKUP(Proc[[#This Row],[App]],Table2[],3,0),"open")</f>
        <v>open</v>
      </c>
      <c r="C3099" s="124" t="s">
        <v>370</v>
      </c>
      <c r="D3099" t="s">
        <v>5136</v>
      </c>
      <c r="E3099" t="s">
        <v>4069</v>
      </c>
      <c r="F3099" s="125"/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0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0</v>
      </c>
      <c r="R3099" s="115" t="s">
        <v>1013</v>
      </c>
      <c r="S3099" s="125"/>
    </row>
    <row r="3100" spans="1:19">
      <c r="A3100" s="124" t="s">
        <v>5276</v>
      </c>
      <c r="B3100" s="125" t="str">
        <f>IFERROR(VLOOKUP(Proc[[#This Row],[App]],Table2[],3,0),"open")</f>
        <v>open</v>
      </c>
      <c r="C3100" s="124" t="s">
        <v>370</v>
      </c>
      <c r="D3100" t="s">
        <v>5137</v>
      </c>
      <c r="E3100" t="s">
        <v>4069</v>
      </c>
      <c r="F3100" s="125"/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0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0</v>
      </c>
      <c r="R3100" s="115" t="s">
        <v>1013</v>
      </c>
      <c r="S3100" s="125"/>
    </row>
    <row r="3101" spans="1:19">
      <c r="A3101" s="124" t="s">
        <v>5276</v>
      </c>
      <c r="B3101" s="125" t="str">
        <f>IFERROR(VLOOKUP(Proc[[#This Row],[App]],Table2[],3,0),"open")</f>
        <v>open</v>
      </c>
      <c r="C3101" s="124" t="s">
        <v>370</v>
      </c>
      <c r="D3101" t="s">
        <v>5138</v>
      </c>
      <c r="E3101" t="s">
        <v>4069</v>
      </c>
      <c r="F3101" s="125"/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0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0</v>
      </c>
      <c r="R3101" s="115" t="s">
        <v>1013</v>
      </c>
      <c r="S3101" s="125"/>
    </row>
    <row r="3102" spans="1:19">
      <c r="A3102" s="124" t="s">
        <v>5276</v>
      </c>
      <c r="B3102" s="125" t="str">
        <f>IFERROR(VLOOKUP(Proc[[#This Row],[App]],Table2[],3,0),"open")</f>
        <v>open</v>
      </c>
      <c r="C3102" s="124" t="s">
        <v>370</v>
      </c>
      <c r="D3102" t="s">
        <v>5139</v>
      </c>
      <c r="E3102" t="s">
        <v>4069</v>
      </c>
      <c r="F3102" s="125"/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0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0</v>
      </c>
      <c r="R3102" s="115" t="s">
        <v>1013</v>
      </c>
      <c r="S3102" s="125"/>
    </row>
    <row r="3103" spans="1:19">
      <c r="A3103" s="124" t="s">
        <v>5276</v>
      </c>
      <c r="B3103" s="125" t="str">
        <f>IFERROR(VLOOKUP(Proc[[#This Row],[App]],Table2[],3,0),"open")</f>
        <v>open</v>
      </c>
      <c r="C3103" s="124" t="s">
        <v>370</v>
      </c>
      <c r="D3103" t="s">
        <v>5140</v>
      </c>
      <c r="E3103" t="s">
        <v>4069</v>
      </c>
      <c r="F3103" s="125"/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0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0</v>
      </c>
      <c r="R3103" s="115" t="s">
        <v>1013</v>
      </c>
      <c r="S3103" s="125"/>
    </row>
    <row r="3104" spans="1:19">
      <c r="A3104" s="124" t="s">
        <v>5276</v>
      </c>
      <c r="B3104" s="125" t="str">
        <f>IFERROR(VLOOKUP(Proc[[#This Row],[App]],Table2[],3,0),"open")</f>
        <v>open</v>
      </c>
      <c r="C3104" s="124" t="s">
        <v>370</v>
      </c>
      <c r="D3104" t="s">
        <v>5141</v>
      </c>
      <c r="E3104" t="s">
        <v>4069</v>
      </c>
      <c r="F3104" s="125"/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0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0</v>
      </c>
      <c r="R3104" s="115" t="s">
        <v>1013</v>
      </c>
      <c r="S3104" s="125"/>
    </row>
    <row r="3105" spans="1:19">
      <c r="A3105" s="124" t="s">
        <v>5276</v>
      </c>
      <c r="B3105" s="125" t="str">
        <f>IFERROR(VLOOKUP(Proc[[#This Row],[App]],Table2[],3,0),"open")</f>
        <v>open</v>
      </c>
      <c r="C3105" s="124" t="s">
        <v>370</v>
      </c>
      <c r="D3105" t="s">
        <v>5142</v>
      </c>
      <c r="E3105" t="s">
        <v>4069</v>
      </c>
      <c r="F3105" s="125"/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0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0</v>
      </c>
      <c r="R3105" s="115" t="s">
        <v>1013</v>
      </c>
      <c r="S3105" s="125"/>
    </row>
    <row r="3106" spans="1:19">
      <c r="A3106" s="124" t="s">
        <v>5276</v>
      </c>
      <c r="B3106" s="125" t="str">
        <f>IFERROR(VLOOKUP(Proc[[#This Row],[App]],Table2[],3,0),"open")</f>
        <v>open</v>
      </c>
      <c r="C3106" s="124" t="s">
        <v>370</v>
      </c>
      <c r="D3106" t="s">
        <v>5143</v>
      </c>
      <c r="E3106" t="s">
        <v>4069</v>
      </c>
      <c r="F3106" s="125"/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0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0</v>
      </c>
      <c r="R3106" s="115" t="s">
        <v>1013</v>
      </c>
      <c r="S3106" s="125"/>
    </row>
    <row r="3107" spans="1:19">
      <c r="A3107" s="124" t="s">
        <v>5276</v>
      </c>
      <c r="B3107" s="125" t="str">
        <f>IFERROR(VLOOKUP(Proc[[#This Row],[App]],Table2[],3,0),"open")</f>
        <v>open</v>
      </c>
      <c r="C3107" s="124" t="s">
        <v>370</v>
      </c>
      <c r="D3107" t="s">
        <v>5144</v>
      </c>
      <c r="E3107" t="s">
        <v>4069</v>
      </c>
      <c r="F3107" s="125"/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0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0</v>
      </c>
      <c r="R3107" s="115" t="s">
        <v>1013</v>
      </c>
      <c r="S3107" s="125"/>
    </row>
    <row r="3108" spans="1:19">
      <c r="A3108" s="124" t="s">
        <v>5276</v>
      </c>
      <c r="B3108" s="125" t="str">
        <f>IFERROR(VLOOKUP(Proc[[#This Row],[App]],Table2[],3,0),"open")</f>
        <v>open</v>
      </c>
      <c r="C3108" s="124" t="s">
        <v>370</v>
      </c>
      <c r="D3108" t="s">
        <v>5145</v>
      </c>
      <c r="E3108" t="s">
        <v>4069</v>
      </c>
      <c r="F3108" s="125"/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0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0</v>
      </c>
      <c r="R3108" s="115" t="s">
        <v>1013</v>
      </c>
      <c r="S3108" s="125"/>
    </row>
    <row r="3109" spans="1:19">
      <c r="A3109" s="124" t="s">
        <v>5276</v>
      </c>
      <c r="B3109" s="125" t="str">
        <f>IFERROR(VLOOKUP(Proc[[#This Row],[App]],Table2[],3,0),"open")</f>
        <v>open</v>
      </c>
      <c r="C3109" s="124" t="s">
        <v>370</v>
      </c>
      <c r="D3109" t="s">
        <v>5146</v>
      </c>
      <c r="E3109" t="s">
        <v>4069</v>
      </c>
      <c r="F3109" s="125"/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0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0</v>
      </c>
      <c r="R3109" s="115" t="s">
        <v>1013</v>
      </c>
      <c r="S3109" s="125"/>
    </row>
    <row r="3110" spans="1:19">
      <c r="A3110" s="124" t="s">
        <v>5276</v>
      </c>
      <c r="B3110" s="125" t="str">
        <f>IFERROR(VLOOKUP(Proc[[#This Row],[App]],Table2[],3,0),"open")</f>
        <v>open</v>
      </c>
      <c r="C3110" s="124" t="s">
        <v>370</v>
      </c>
      <c r="D3110" t="s">
        <v>5147</v>
      </c>
      <c r="E3110" t="s">
        <v>4069</v>
      </c>
      <c r="F3110" s="125"/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0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0</v>
      </c>
      <c r="R3110" s="115" t="s">
        <v>1013</v>
      </c>
      <c r="S3110" s="125"/>
    </row>
    <row r="3111" spans="1:19">
      <c r="A3111" s="124" t="s">
        <v>5276</v>
      </c>
      <c r="B3111" s="125" t="str">
        <f>IFERROR(VLOOKUP(Proc[[#This Row],[App]],Table2[],3,0),"open")</f>
        <v>open</v>
      </c>
      <c r="C3111" s="124" t="s">
        <v>370</v>
      </c>
      <c r="D3111" t="s">
        <v>5148</v>
      </c>
      <c r="E3111" t="s">
        <v>4069</v>
      </c>
      <c r="F3111" s="125"/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0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0</v>
      </c>
      <c r="R3111" s="115" t="s">
        <v>1013</v>
      </c>
      <c r="S3111" s="125"/>
    </row>
    <row r="3112" spans="1:19">
      <c r="A3112" s="124" t="s">
        <v>5276</v>
      </c>
      <c r="B3112" s="125" t="str">
        <f>IFERROR(VLOOKUP(Proc[[#This Row],[App]],Table2[],3,0),"open")</f>
        <v>open</v>
      </c>
      <c r="C3112" s="124" t="s">
        <v>370</v>
      </c>
      <c r="D3112" t="s">
        <v>5149</v>
      </c>
      <c r="E3112" t="s">
        <v>4069</v>
      </c>
      <c r="F3112" s="125"/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0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0</v>
      </c>
      <c r="R3112" s="115" t="s">
        <v>1013</v>
      </c>
      <c r="S3112" s="125"/>
    </row>
    <row r="3113" spans="1:19">
      <c r="A3113" s="124" t="s">
        <v>5276</v>
      </c>
      <c r="B3113" s="125" t="str">
        <f>IFERROR(VLOOKUP(Proc[[#This Row],[App]],Table2[],3,0),"open")</f>
        <v>open</v>
      </c>
      <c r="C3113" s="124" t="s">
        <v>370</v>
      </c>
      <c r="D3113" t="s">
        <v>5150</v>
      </c>
      <c r="E3113" t="s">
        <v>4069</v>
      </c>
      <c r="F3113" s="125"/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0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0</v>
      </c>
      <c r="R3113" s="115" t="s">
        <v>1013</v>
      </c>
      <c r="S3113" s="125"/>
    </row>
    <row r="3114" spans="1:19">
      <c r="A3114" s="124" t="s">
        <v>5276</v>
      </c>
      <c r="B3114" s="125" t="str">
        <f>IFERROR(VLOOKUP(Proc[[#This Row],[App]],Table2[],3,0),"open")</f>
        <v>open</v>
      </c>
      <c r="C3114" s="124" t="s">
        <v>370</v>
      </c>
      <c r="D3114" t="s">
        <v>5151</v>
      </c>
      <c r="E3114" t="s">
        <v>4069</v>
      </c>
      <c r="F3114" s="125"/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0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0</v>
      </c>
      <c r="R3114" s="115" t="s">
        <v>1013</v>
      </c>
      <c r="S3114" s="125"/>
    </row>
    <row r="3115" spans="1:19">
      <c r="A3115" s="124" t="s">
        <v>5276</v>
      </c>
      <c r="B3115" s="125" t="str">
        <f>IFERROR(VLOOKUP(Proc[[#This Row],[App]],Table2[],3,0),"open")</f>
        <v>open</v>
      </c>
      <c r="C3115" s="124" t="s">
        <v>370</v>
      </c>
      <c r="D3115" t="s">
        <v>5152</v>
      </c>
      <c r="E3115" t="s">
        <v>4069</v>
      </c>
      <c r="F3115" s="125"/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0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0</v>
      </c>
      <c r="R3115" s="115" t="s">
        <v>1013</v>
      </c>
      <c r="S3115" s="125"/>
    </row>
    <row r="3116" spans="1:19">
      <c r="A3116" s="124" t="s">
        <v>5276</v>
      </c>
      <c r="B3116" s="125" t="str">
        <f>IFERROR(VLOOKUP(Proc[[#This Row],[App]],Table2[],3,0),"open")</f>
        <v>open</v>
      </c>
      <c r="C3116" s="124" t="s">
        <v>370</v>
      </c>
      <c r="D3116" t="s">
        <v>5153</v>
      </c>
      <c r="E3116" t="s">
        <v>4069</v>
      </c>
      <c r="F3116" s="125"/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0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0</v>
      </c>
      <c r="R3116" s="115" t="s">
        <v>1013</v>
      </c>
      <c r="S3116" s="125"/>
    </row>
    <row r="3117" spans="1:19">
      <c r="A3117" s="124" t="s">
        <v>5276</v>
      </c>
      <c r="B3117" s="125" t="str">
        <f>IFERROR(VLOOKUP(Proc[[#This Row],[App]],Table2[],3,0),"open")</f>
        <v>open</v>
      </c>
      <c r="C3117" s="124" t="s">
        <v>370</v>
      </c>
      <c r="D3117" t="s">
        <v>5154</v>
      </c>
      <c r="E3117" t="s">
        <v>4069</v>
      </c>
      <c r="F3117" s="125"/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0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0</v>
      </c>
      <c r="R3117" s="115" t="s">
        <v>1013</v>
      </c>
      <c r="S3117" s="125"/>
    </row>
    <row r="3118" spans="1:19">
      <c r="A3118" s="124" t="s">
        <v>5276</v>
      </c>
      <c r="B3118" s="125" t="str">
        <f>IFERROR(VLOOKUP(Proc[[#This Row],[App]],Table2[],3,0),"open")</f>
        <v>open</v>
      </c>
      <c r="C3118" s="124" t="s">
        <v>370</v>
      </c>
      <c r="D3118" t="s">
        <v>5155</v>
      </c>
      <c r="E3118" t="s">
        <v>4069</v>
      </c>
      <c r="F3118" s="125"/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0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0</v>
      </c>
      <c r="R3118" s="115" t="s">
        <v>1013</v>
      </c>
      <c r="S3118" s="125"/>
    </row>
    <row r="3119" spans="1:19">
      <c r="A3119" s="124" t="s">
        <v>5276</v>
      </c>
      <c r="B3119" s="125" t="str">
        <f>IFERROR(VLOOKUP(Proc[[#This Row],[App]],Table2[],3,0),"open")</f>
        <v>open</v>
      </c>
      <c r="C3119" s="124" t="s">
        <v>370</v>
      </c>
      <c r="D3119" t="s">
        <v>5156</v>
      </c>
      <c r="E3119" t="s">
        <v>4069</v>
      </c>
      <c r="F3119" s="125"/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0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0</v>
      </c>
      <c r="R3119" s="115" t="s">
        <v>1013</v>
      </c>
      <c r="S3119" s="125"/>
    </row>
    <row r="3120" spans="1:19">
      <c r="A3120" s="124" t="s">
        <v>5276</v>
      </c>
      <c r="B3120" s="125" t="str">
        <f>IFERROR(VLOOKUP(Proc[[#This Row],[App]],Table2[],3,0),"open")</f>
        <v>open</v>
      </c>
      <c r="C3120" s="124" t="s">
        <v>370</v>
      </c>
      <c r="D3120" t="s">
        <v>5157</v>
      </c>
      <c r="E3120" t="s">
        <v>4069</v>
      </c>
      <c r="F3120" s="125"/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0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0</v>
      </c>
      <c r="R3120" s="115" t="s">
        <v>1013</v>
      </c>
      <c r="S3120" s="125"/>
    </row>
    <row r="3121" spans="1:19">
      <c r="A3121" s="124" t="s">
        <v>5276</v>
      </c>
      <c r="B3121" s="125" t="str">
        <f>IFERROR(VLOOKUP(Proc[[#This Row],[App]],Table2[],3,0),"open")</f>
        <v>open</v>
      </c>
      <c r="C3121" s="124" t="s">
        <v>370</v>
      </c>
      <c r="D3121" t="s">
        <v>5158</v>
      </c>
      <c r="E3121" t="s">
        <v>4069</v>
      </c>
      <c r="F3121" s="125"/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0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0</v>
      </c>
      <c r="R3121" s="115" t="s">
        <v>1013</v>
      </c>
      <c r="S3121" s="125"/>
    </row>
    <row r="3122" spans="1:19">
      <c r="A3122" s="124" t="s">
        <v>5276</v>
      </c>
      <c r="B3122" s="125" t="str">
        <f>IFERROR(VLOOKUP(Proc[[#This Row],[App]],Table2[],3,0),"open")</f>
        <v>open</v>
      </c>
      <c r="C3122" s="124" t="s">
        <v>370</v>
      </c>
      <c r="D3122" t="s">
        <v>5159</v>
      </c>
      <c r="E3122" t="s">
        <v>4069</v>
      </c>
      <c r="F3122" s="125"/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0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0</v>
      </c>
      <c r="R3122" s="115" t="s">
        <v>1013</v>
      </c>
      <c r="S3122" s="125"/>
    </row>
    <row r="3123" spans="1:19">
      <c r="A3123" s="124" t="s">
        <v>5276</v>
      </c>
      <c r="B3123" s="125" t="str">
        <f>IFERROR(VLOOKUP(Proc[[#This Row],[App]],Table2[],3,0),"open")</f>
        <v>open</v>
      </c>
      <c r="C3123" s="124" t="s">
        <v>370</v>
      </c>
      <c r="D3123" t="s">
        <v>5160</v>
      </c>
      <c r="E3123" t="s">
        <v>4069</v>
      </c>
      <c r="F3123" s="125"/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0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0</v>
      </c>
      <c r="R3123" s="115" t="s">
        <v>1013</v>
      </c>
      <c r="S3123" s="125"/>
    </row>
    <row r="3124" spans="1:19">
      <c r="A3124" s="124" t="s">
        <v>5276</v>
      </c>
      <c r="B3124" s="125" t="str">
        <f>IFERROR(VLOOKUP(Proc[[#This Row],[App]],Table2[],3,0),"open")</f>
        <v>open</v>
      </c>
      <c r="C3124" s="124" t="s">
        <v>370</v>
      </c>
      <c r="D3124" t="s">
        <v>5161</v>
      </c>
      <c r="E3124" t="s">
        <v>4069</v>
      </c>
      <c r="F3124" s="125"/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0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0</v>
      </c>
      <c r="R3124" s="115" t="s">
        <v>1013</v>
      </c>
      <c r="S3124" s="125"/>
    </row>
    <row r="3125" spans="1:19">
      <c r="A3125" s="124" t="s">
        <v>5276</v>
      </c>
      <c r="B3125" s="125" t="str">
        <f>IFERROR(VLOOKUP(Proc[[#This Row],[App]],Table2[],3,0),"open")</f>
        <v>open</v>
      </c>
      <c r="C3125" s="124" t="s">
        <v>370</v>
      </c>
      <c r="D3125" t="s">
        <v>5162</v>
      </c>
      <c r="E3125" t="s">
        <v>4069</v>
      </c>
      <c r="F3125" s="125"/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0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0</v>
      </c>
      <c r="R3125" s="115" t="s">
        <v>1013</v>
      </c>
      <c r="S3125" s="125"/>
    </row>
    <row r="3126" spans="1:19">
      <c r="A3126" s="124" t="s">
        <v>5276</v>
      </c>
      <c r="B3126" s="125" t="str">
        <f>IFERROR(VLOOKUP(Proc[[#This Row],[App]],Table2[],3,0),"open")</f>
        <v>open</v>
      </c>
      <c r="C3126" s="124" t="s">
        <v>370</v>
      </c>
      <c r="D3126" t="s">
        <v>5163</v>
      </c>
      <c r="E3126" t="s">
        <v>4069</v>
      </c>
      <c r="F3126" s="125"/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0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0</v>
      </c>
      <c r="R3126" s="115" t="s">
        <v>1013</v>
      </c>
      <c r="S3126" s="125"/>
    </row>
    <row r="3127" spans="1:19">
      <c r="A3127" s="124" t="s">
        <v>5276</v>
      </c>
      <c r="B3127" s="125" t="str">
        <f>IFERROR(VLOOKUP(Proc[[#This Row],[App]],Table2[],3,0),"open")</f>
        <v>open</v>
      </c>
      <c r="C3127" s="124" t="s">
        <v>370</v>
      </c>
      <c r="D3127" t="s">
        <v>5164</v>
      </c>
      <c r="E3127" t="s">
        <v>4069</v>
      </c>
      <c r="F3127" s="125"/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0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0</v>
      </c>
      <c r="R3127" s="115" t="s">
        <v>1013</v>
      </c>
      <c r="S3127" s="125"/>
    </row>
    <row r="3128" spans="1:19">
      <c r="A3128" s="124" t="s">
        <v>5276</v>
      </c>
      <c r="B3128" s="125" t="str">
        <f>IFERROR(VLOOKUP(Proc[[#This Row],[App]],Table2[],3,0),"open")</f>
        <v>open</v>
      </c>
      <c r="C3128" s="124" t="s">
        <v>370</v>
      </c>
      <c r="D3128" t="s">
        <v>5165</v>
      </c>
      <c r="E3128" t="s">
        <v>4069</v>
      </c>
      <c r="F3128" s="125"/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0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0</v>
      </c>
      <c r="R3128" s="115" t="s">
        <v>1013</v>
      </c>
      <c r="S3128" s="125"/>
    </row>
    <row r="3129" spans="1:19">
      <c r="A3129" s="124" t="s">
        <v>5276</v>
      </c>
      <c r="B3129" s="125" t="str">
        <f>IFERROR(VLOOKUP(Proc[[#This Row],[App]],Table2[],3,0),"open")</f>
        <v>open</v>
      </c>
      <c r="C3129" s="124" t="s">
        <v>370</v>
      </c>
      <c r="D3129" t="s">
        <v>5166</v>
      </c>
      <c r="E3129" t="s">
        <v>4069</v>
      </c>
      <c r="F3129" s="125"/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0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0</v>
      </c>
      <c r="R3129" s="115" t="s">
        <v>1013</v>
      </c>
      <c r="S3129" s="125"/>
    </row>
    <row r="3130" spans="1:19">
      <c r="A3130" s="124" t="s">
        <v>5276</v>
      </c>
      <c r="B3130" s="125" t="str">
        <f>IFERROR(VLOOKUP(Proc[[#This Row],[App]],Table2[],3,0),"open")</f>
        <v>open</v>
      </c>
      <c r="C3130" s="124" t="s">
        <v>370</v>
      </c>
      <c r="D3130" t="s">
        <v>5167</v>
      </c>
      <c r="E3130" t="s">
        <v>4069</v>
      </c>
      <c r="F3130" s="125"/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0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0</v>
      </c>
      <c r="R3130" s="115" t="s">
        <v>1013</v>
      </c>
      <c r="S3130" s="125"/>
    </row>
    <row r="3131" spans="1:19">
      <c r="A3131" s="124" t="s">
        <v>5276</v>
      </c>
      <c r="B3131" s="125" t="str">
        <f>IFERROR(VLOOKUP(Proc[[#This Row],[App]],Table2[],3,0),"open")</f>
        <v>open</v>
      </c>
      <c r="C3131" s="124" t="s">
        <v>370</v>
      </c>
      <c r="D3131" t="s">
        <v>5168</v>
      </c>
      <c r="E3131" t="s">
        <v>4069</v>
      </c>
      <c r="F3131" s="125"/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0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0</v>
      </c>
      <c r="R3131" s="115" t="s">
        <v>1013</v>
      </c>
      <c r="S3131" s="125"/>
    </row>
    <row r="3132" spans="1:19">
      <c r="A3132" s="124" t="s">
        <v>5276</v>
      </c>
      <c r="B3132" s="125" t="str">
        <f>IFERROR(VLOOKUP(Proc[[#This Row],[App]],Table2[],3,0),"open")</f>
        <v>open</v>
      </c>
      <c r="C3132" s="124" t="s">
        <v>370</v>
      </c>
      <c r="D3132" t="s">
        <v>5169</v>
      </c>
      <c r="E3132" t="s">
        <v>4069</v>
      </c>
      <c r="F3132" s="125"/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0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0</v>
      </c>
      <c r="R3132" s="115" t="s">
        <v>1013</v>
      </c>
      <c r="S3132" s="125"/>
    </row>
    <row r="3133" spans="1:19">
      <c r="A3133" s="124" t="s">
        <v>5276</v>
      </c>
      <c r="B3133" s="125" t="str">
        <f>IFERROR(VLOOKUP(Proc[[#This Row],[App]],Table2[],3,0),"open")</f>
        <v>open</v>
      </c>
      <c r="C3133" s="124" t="s">
        <v>370</v>
      </c>
      <c r="D3133" t="s">
        <v>5170</v>
      </c>
      <c r="E3133" t="s">
        <v>4069</v>
      </c>
      <c r="F3133" s="125"/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0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0</v>
      </c>
      <c r="R3133" s="115" t="s">
        <v>1013</v>
      </c>
      <c r="S3133" s="125"/>
    </row>
    <row r="3134" spans="1:19">
      <c r="A3134" s="124" t="s">
        <v>5276</v>
      </c>
      <c r="B3134" s="125" t="str">
        <f>IFERROR(VLOOKUP(Proc[[#This Row],[App]],Table2[],3,0),"open")</f>
        <v>open</v>
      </c>
      <c r="C3134" s="124" t="s">
        <v>370</v>
      </c>
      <c r="D3134" t="s">
        <v>5171</v>
      </c>
      <c r="E3134" t="s">
        <v>4069</v>
      </c>
      <c r="F3134" s="125"/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0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0</v>
      </c>
      <c r="R3134" s="115" t="s">
        <v>1013</v>
      </c>
      <c r="S3134" s="125"/>
    </row>
    <row r="3135" spans="1:19">
      <c r="A3135" s="124" t="s">
        <v>5276</v>
      </c>
      <c r="B3135" s="125" t="str">
        <f>IFERROR(VLOOKUP(Proc[[#This Row],[App]],Table2[],3,0),"open")</f>
        <v>open</v>
      </c>
      <c r="C3135" s="124" t="s">
        <v>370</v>
      </c>
      <c r="D3135" t="s">
        <v>5172</v>
      </c>
      <c r="E3135" t="s">
        <v>4069</v>
      </c>
      <c r="F3135" s="125"/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0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0</v>
      </c>
      <c r="R3135" s="115" t="s">
        <v>1013</v>
      </c>
      <c r="S3135" s="125"/>
    </row>
    <row r="3136" spans="1:19">
      <c r="A3136" s="124" t="s">
        <v>5276</v>
      </c>
      <c r="B3136" s="125" t="str">
        <f>IFERROR(VLOOKUP(Proc[[#This Row],[App]],Table2[],3,0),"open")</f>
        <v>open</v>
      </c>
      <c r="C3136" s="124" t="s">
        <v>370</v>
      </c>
      <c r="D3136" t="s">
        <v>5173</v>
      </c>
      <c r="E3136" t="s">
        <v>4069</v>
      </c>
      <c r="F3136" s="125"/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0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0</v>
      </c>
      <c r="R3136" s="115" t="s">
        <v>1013</v>
      </c>
      <c r="S3136" s="125"/>
    </row>
    <row r="3137" spans="1:19">
      <c r="A3137" s="124" t="s">
        <v>5276</v>
      </c>
      <c r="B3137" s="125" t="str">
        <f>IFERROR(VLOOKUP(Proc[[#This Row],[App]],Table2[],3,0),"open")</f>
        <v>open</v>
      </c>
      <c r="C3137" s="124" t="s">
        <v>370</v>
      </c>
      <c r="D3137" t="s">
        <v>5174</v>
      </c>
      <c r="E3137" t="s">
        <v>4069</v>
      </c>
      <c r="F3137" s="125"/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0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0</v>
      </c>
      <c r="R3137" s="115" t="s">
        <v>1013</v>
      </c>
      <c r="S3137" s="125"/>
    </row>
    <row r="3138" spans="1:19">
      <c r="A3138" s="124" t="s">
        <v>5276</v>
      </c>
      <c r="B3138" s="125" t="str">
        <f>IFERROR(VLOOKUP(Proc[[#This Row],[App]],Table2[],3,0),"open")</f>
        <v>open</v>
      </c>
      <c r="C3138" s="124" t="s">
        <v>370</v>
      </c>
      <c r="D3138" t="s">
        <v>5175</v>
      </c>
      <c r="E3138" t="s">
        <v>4069</v>
      </c>
      <c r="F3138" s="125"/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0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0</v>
      </c>
      <c r="R3138" s="115" t="s">
        <v>1013</v>
      </c>
      <c r="S3138" s="125"/>
    </row>
    <row r="3139" spans="1:19">
      <c r="A3139" s="124" t="s">
        <v>5276</v>
      </c>
      <c r="B3139" s="125" t="str">
        <f>IFERROR(VLOOKUP(Proc[[#This Row],[App]],Table2[],3,0),"open")</f>
        <v>open</v>
      </c>
      <c r="C3139" s="124" t="s">
        <v>370</v>
      </c>
      <c r="D3139" t="s">
        <v>5176</v>
      </c>
      <c r="E3139" t="s">
        <v>4069</v>
      </c>
      <c r="F3139" s="125"/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0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0</v>
      </c>
      <c r="R3139" s="115" t="s">
        <v>1013</v>
      </c>
      <c r="S3139" s="125"/>
    </row>
    <row r="3140" spans="1:19">
      <c r="A3140" s="124" t="s">
        <v>5276</v>
      </c>
      <c r="B3140" s="125" t="str">
        <f>IFERROR(VLOOKUP(Proc[[#This Row],[App]],Table2[],3,0),"open")</f>
        <v>open</v>
      </c>
      <c r="C3140" s="124" t="s">
        <v>370</v>
      </c>
      <c r="D3140" t="s">
        <v>5177</v>
      </c>
      <c r="E3140" t="s">
        <v>4069</v>
      </c>
      <c r="F3140" s="125"/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0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0</v>
      </c>
      <c r="R3140" s="115" t="s">
        <v>1013</v>
      </c>
      <c r="S3140" s="125"/>
    </row>
    <row r="3141" spans="1:19">
      <c r="A3141" s="124" t="s">
        <v>5276</v>
      </c>
      <c r="B3141" s="125" t="str">
        <f>IFERROR(VLOOKUP(Proc[[#This Row],[App]],Table2[],3,0),"open")</f>
        <v>open</v>
      </c>
      <c r="C3141" s="124" t="s">
        <v>370</v>
      </c>
      <c r="D3141" t="s">
        <v>5178</v>
      </c>
      <c r="E3141" t="s">
        <v>4069</v>
      </c>
      <c r="F3141" s="125"/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0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0</v>
      </c>
      <c r="R3141" s="115" t="s">
        <v>1013</v>
      </c>
      <c r="S3141" s="125"/>
    </row>
    <row r="3142" spans="1:19">
      <c r="A3142" s="124" t="s">
        <v>5276</v>
      </c>
      <c r="B3142" s="125" t="str">
        <f>IFERROR(VLOOKUP(Proc[[#This Row],[App]],Table2[],3,0),"open")</f>
        <v>open</v>
      </c>
      <c r="C3142" s="124" t="s">
        <v>370</v>
      </c>
      <c r="D3142" t="s">
        <v>5179</v>
      </c>
      <c r="E3142" t="s">
        <v>4069</v>
      </c>
      <c r="F3142" s="125"/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0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0</v>
      </c>
      <c r="R3142" s="115" t="s">
        <v>1013</v>
      </c>
      <c r="S3142" s="125"/>
    </row>
    <row r="3143" spans="1:19">
      <c r="A3143" s="124" t="s">
        <v>5276</v>
      </c>
      <c r="B3143" s="125" t="str">
        <f>IFERROR(VLOOKUP(Proc[[#This Row],[App]],Table2[],3,0),"open")</f>
        <v>open</v>
      </c>
      <c r="C3143" s="124" t="s">
        <v>370</v>
      </c>
      <c r="D3143" t="s">
        <v>5180</v>
      </c>
      <c r="E3143" t="s">
        <v>4069</v>
      </c>
      <c r="F3143" s="125"/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0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0</v>
      </c>
      <c r="R3143" s="115" t="s">
        <v>1013</v>
      </c>
      <c r="S3143" s="125"/>
    </row>
    <row r="3144" spans="1:19">
      <c r="A3144" s="124" t="s">
        <v>5276</v>
      </c>
      <c r="B3144" s="125" t="str">
        <f>IFERROR(VLOOKUP(Proc[[#This Row],[App]],Table2[],3,0),"open")</f>
        <v>open</v>
      </c>
      <c r="C3144" s="124" t="s">
        <v>370</v>
      </c>
      <c r="D3144" t="s">
        <v>5181</v>
      </c>
      <c r="E3144" t="s">
        <v>4069</v>
      </c>
      <c r="F3144" s="125"/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0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0</v>
      </c>
      <c r="R3144" s="115" t="s">
        <v>1013</v>
      </c>
      <c r="S3144" s="125"/>
    </row>
    <row r="3145" spans="1:19">
      <c r="A3145" s="124" t="s">
        <v>5276</v>
      </c>
      <c r="B3145" s="125" t="str">
        <f>IFERROR(VLOOKUP(Proc[[#This Row],[App]],Table2[],3,0),"open")</f>
        <v>open</v>
      </c>
      <c r="C3145" s="124" t="s">
        <v>370</v>
      </c>
      <c r="D3145" t="s">
        <v>5182</v>
      </c>
      <c r="E3145" t="s">
        <v>4069</v>
      </c>
      <c r="F3145" s="125"/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0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0</v>
      </c>
      <c r="R3145" s="115" t="s">
        <v>1013</v>
      </c>
      <c r="S3145" s="125"/>
    </row>
    <row r="3146" spans="1:19">
      <c r="A3146" s="124" t="s">
        <v>5276</v>
      </c>
      <c r="B3146" s="125" t="str">
        <f>IFERROR(VLOOKUP(Proc[[#This Row],[App]],Table2[],3,0),"open")</f>
        <v>open</v>
      </c>
      <c r="C3146" s="124" t="s">
        <v>370</v>
      </c>
      <c r="D3146" t="s">
        <v>5183</v>
      </c>
      <c r="E3146" t="s">
        <v>4069</v>
      </c>
      <c r="F3146" s="125"/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0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0</v>
      </c>
      <c r="R3146" s="115" t="s">
        <v>1013</v>
      </c>
      <c r="S3146" s="125"/>
    </row>
    <row r="3147" spans="1:19">
      <c r="A3147" s="124" t="s">
        <v>5276</v>
      </c>
      <c r="B3147" s="125" t="str">
        <f>IFERROR(VLOOKUP(Proc[[#This Row],[App]],Table2[],3,0),"open")</f>
        <v>open</v>
      </c>
      <c r="C3147" s="124" t="s">
        <v>370</v>
      </c>
      <c r="D3147" t="s">
        <v>5184</v>
      </c>
      <c r="E3147" t="s">
        <v>4069</v>
      </c>
      <c r="F3147" s="125"/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0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0</v>
      </c>
      <c r="R3147" s="115" t="s">
        <v>1013</v>
      </c>
      <c r="S3147" s="125"/>
    </row>
    <row r="3148" spans="1:19">
      <c r="A3148" s="124" t="s">
        <v>5276</v>
      </c>
      <c r="B3148" s="125" t="str">
        <f>IFERROR(VLOOKUP(Proc[[#This Row],[App]],Table2[],3,0),"open")</f>
        <v>open</v>
      </c>
      <c r="C3148" s="124" t="s">
        <v>370</v>
      </c>
      <c r="D3148" t="s">
        <v>5185</v>
      </c>
      <c r="E3148" t="s">
        <v>4069</v>
      </c>
      <c r="F3148" s="125"/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0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0</v>
      </c>
      <c r="R3148" s="115" t="s">
        <v>1013</v>
      </c>
      <c r="S3148" s="125"/>
    </row>
    <row r="3149" spans="1:19">
      <c r="A3149" s="124" t="s">
        <v>5276</v>
      </c>
      <c r="B3149" s="125" t="str">
        <f>IFERROR(VLOOKUP(Proc[[#This Row],[App]],Table2[],3,0),"open")</f>
        <v>open</v>
      </c>
      <c r="C3149" s="124" t="s">
        <v>370</v>
      </c>
      <c r="D3149" t="s">
        <v>5186</v>
      </c>
      <c r="E3149" t="s">
        <v>4069</v>
      </c>
      <c r="F3149" s="125"/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0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0</v>
      </c>
      <c r="R3149" s="115" t="s">
        <v>1013</v>
      </c>
      <c r="S3149" s="125"/>
    </row>
    <row r="3150" spans="1:19">
      <c r="A3150" s="124" t="s">
        <v>5276</v>
      </c>
      <c r="B3150" s="125" t="str">
        <f>IFERROR(VLOOKUP(Proc[[#This Row],[App]],Table2[],3,0),"open")</f>
        <v>open</v>
      </c>
      <c r="C3150" s="124" t="s">
        <v>370</v>
      </c>
      <c r="D3150" t="s">
        <v>5187</v>
      </c>
      <c r="E3150" t="s">
        <v>4069</v>
      </c>
      <c r="F3150" s="125"/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0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0</v>
      </c>
      <c r="R3150" s="115" t="s">
        <v>1013</v>
      </c>
      <c r="S3150" s="125"/>
    </row>
    <row r="3151" spans="1:19">
      <c r="A3151" s="124" t="s">
        <v>5276</v>
      </c>
      <c r="B3151" s="125" t="str">
        <f>IFERROR(VLOOKUP(Proc[[#This Row],[App]],Table2[],3,0),"open")</f>
        <v>open</v>
      </c>
      <c r="C3151" s="124" t="s">
        <v>370</v>
      </c>
      <c r="D3151" t="s">
        <v>5188</v>
      </c>
      <c r="E3151" t="s">
        <v>4069</v>
      </c>
      <c r="F3151" s="125"/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0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0</v>
      </c>
      <c r="R3151" s="115" t="s">
        <v>1013</v>
      </c>
      <c r="S3151" s="125"/>
    </row>
    <row r="3152" spans="1:19">
      <c r="A3152" s="124" t="s">
        <v>5276</v>
      </c>
      <c r="B3152" s="125" t="str">
        <f>IFERROR(VLOOKUP(Proc[[#This Row],[App]],Table2[],3,0),"open")</f>
        <v>open</v>
      </c>
      <c r="C3152" s="124" t="s">
        <v>370</v>
      </c>
      <c r="D3152" t="s">
        <v>5189</v>
      </c>
      <c r="E3152" t="s">
        <v>4069</v>
      </c>
      <c r="F3152" s="125"/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0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0</v>
      </c>
      <c r="R3152" s="115" t="s">
        <v>1013</v>
      </c>
      <c r="S3152" s="125"/>
    </row>
    <row r="3153" spans="1:19">
      <c r="A3153" s="124" t="s">
        <v>5276</v>
      </c>
      <c r="B3153" s="125" t="str">
        <f>IFERROR(VLOOKUP(Proc[[#This Row],[App]],Table2[],3,0),"open")</f>
        <v>open</v>
      </c>
      <c r="C3153" s="124" t="s">
        <v>370</v>
      </c>
      <c r="D3153" t="s">
        <v>5190</v>
      </c>
      <c r="E3153" t="s">
        <v>4069</v>
      </c>
      <c r="F3153" s="125"/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0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0</v>
      </c>
      <c r="R3153" s="115" t="s">
        <v>1013</v>
      </c>
      <c r="S3153" s="125"/>
    </row>
    <row r="3154" spans="1:19">
      <c r="A3154" s="124" t="s">
        <v>5276</v>
      </c>
      <c r="B3154" s="125" t="str">
        <f>IFERROR(VLOOKUP(Proc[[#This Row],[App]],Table2[],3,0),"open")</f>
        <v>open</v>
      </c>
      <c r="C3154" s="124" t="s">
        <v>370</v>
      </c>
      <c r="D3154" t="s">
        <v>5191</v>
      </c>
      <c r="E3154" t="s">
        <v>4069</v>
      </c>
      <c r="F3154" s="125"/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0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0</v>
      </c>
      <c r="R3154" s="115" t="s">
        <v>1013</v>
      </c>
      <c r="S3154" s="125"/>
    </row>
    <row r="3155" spans="1:19">
      <c r="A3155" s="124" t="s">
        <v>5276</v>
      </c>
      <c r="B3155" s="125" t="str">
        <f>IFERROR(VLOOKUP(Proc[[#This Row],[App]],Table2[],3,0),"open")</f>
        <v>open</v>
      </c>
      <c r="C3155" s="124" t="s">
        <v>370</v>
      </c>
      <c r="D3155" t="s">
        <v>5192</v>
      </c>
      <c r="E3155" t="s">
        <v>4069</v>
      </c>
      <c r="F3155" s="125"/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0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0</v>
      </c>
      <c r="R3155" s="115" t="s">
        <v>1013</v>
      </c>
      <c r="S3155" s="125"/>
    </row>
    <row r="3156" spans="1:19">
      <c r="A3156" s="124" t="s">
        <v>5276</v>
      </c>
      <c r="B3156" s="125" t="str">
        <f>IFERROR(VLOOKUP(Proc[[#This Row],[App]],Table2[],3,0),"open")</f>
        <v>open</v>
      </c>
      <c r="C3156" s="124" t="s">
        <v>370</v>
      </c>
      <c r="D3156" t="s">
        <v>5193</v>
      </c>
      <c r="E3156" t="s">
        <v>4069</v>
      </c>
      <c r="F3156" s="125"/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0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0</v>
      </c>
      <c r="R3156" s="115" t="s">
        <v>1013</v>
      </c>
      <c r="S3156" s="125"/>
    </row>
    <row r="3157" spans="1:19">
      <c r="A3157" s="124" t="s">
        <v>5276</v>
      </c>
      <c r="B3157" s="125" t="str">
        <f>IFERROR(VLOOKUP(Proc[[#This Row],[App]],Table2[],3,0),"open")</f>
        <v>open</v>
      </c>
      <c r="C3157" s="124" t="s">
        <v>370</v>
      </c>
      <c r="D3157" t="s">
        <v>5194</v>
      </c>
      <c r="E3157" t="s">
        <v>4069</v>
      </c>
      <c r="F3157" s="125"/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0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0</v>
      </c>
      <c r="R3157" s="115" t="s">
        <v>1013</v>
      </c>
      <c r="S3157" s="125"/>
    </row>
    <row r="3158" spans="1:19">
      <c r="A3158" s="124" t="s">
        <v>5276</v>
      </c>
      <c r="B3158" s="125" t="str">
        <f>IFERROR(VLOOKUP(Proc[[#This Row],[App]],Table2[],3,0),"open")</f>
        <v>open</v>
      </c>
      <c r="C3158" s="124" t="s">
        <v>370</v>
      </c>
      <c r="D3158" t="s">
        <v>5195</v>
      </c>
      <c r="E3158" t="s">
        <v>4069</v>
      </c>
      <c r="F3158" s="125"/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0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0</v>
      </c>
      <c r="R3158" s="115" t="s">
        <v>1013</v>
      </c>
      <c r="S3158" s="125"/>
    </row>
    <row r="3159" spans="1:19">
      <c r="A3159" s="124" t="s">
        <v>5276</v>
      </c>
      <c r="B3159" s="125" t="str">
        <f>IFERROR(VLOOKUP(Proc[[#This Row],[App]],Table2[],3,0),"open")</f>
        <v>open</v>
      </c>
      <c r="C3159" s="124" t="s">
        <v>370</v>
      </c>
      <c r="D3159" t="s">
        <v>5196</v>
      </c>
      <c r="E3159" t="s">
        <v>4069</v>
      </c>
      <c r="F3159" s="125"/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0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0</v>
      </c>
      <c r="R3159" s="115" t="s">
        <v>1013</v>
      </c>
      <c r="S3159" s="125"/>
    </row>
    <row r="3160" spans="1:19">
      <c r="A3160" s="124" t="s">
        <v>5276</v>
      </c>
      <c r="B3160" s="125" t="str">
        <f>IFERROR(VLOOKUP(Proc[[#This Row],[App]],Table2[],3,0),"open")</f>
        <v>open</v>
      </c>
      <c r="C3160" s="124" t="s">
        <v>370</v>
      </c>
      <c r="D3160" t="s">
        <v>5197</v>
      </c>
      <c r="E3160" t="s">
        <v>4069</v>
      </c>
      <c r="F3160" s="125"/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0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0</v>
      </c>
      <c r="R3160" s="115" t="s">
        <v>1013</v>
      </c>
      <c r="S3160" s="125"/>
    </row>
    <row r="3161" spans="1:19">
      <c r="A3161" s="124" t="s">
        <v>5276</v>
      </c>
      <c r="B3161" s="125" t="str">
        <f>IFERROR(VLOOKUP(Proc[[#This Row],[App]],Table2[],3,0),"open")</f>
        <v>open</v>
      </c>
      <c r="C3161" s="124" t="s">
        <v>370</v>
      </c>
      <c r="D3161" t="s">
        <v>5198</v>
      </c>
      <c r="E3161" t="s">
        <v>4069</v>
      </c>
      <c r="F3161" s="125"/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0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0</v>
      </c>
      <c r="R3161" s="115" t="s">
        <v>1013</v>
      </c>
      <c r="S3161" s="125"/>
    </row>
    <row r="3162" spans="1:19">
      <c r="A3162" s="124" t="s">
        <v>5276</v>
      </c>
      <c r="B3162" s="125" t="str">
        <f>IFERROR(VLOOKUP(Proc[[#This Row],[App]],Table2[],3,0),"open")</f>
        <v>open</v>
      </c>
      <c r="C3162" s="124" t="s">
        <v>370</v>
      </c>
      <c r="D3162" t="s">
        <v>5199</v>
      </c>
      <c r="E3162" t="s">
        <v>4069</v>
      </c>
      <c r="F3162" s="125"/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0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0</v>
      </c>
      <c r="R3162" s="115" t="s">
        <v>1013</v>
      </c>
      <c r="S3162" s="125"/>
    </row>
    <row r="3163" spans="1:19">
      <c r="A3163" s="124" t="s">
        <v>5276</v>
      </c>
      <c r="B3163" s="125" t="str">
        <f>IFERROR(VLOOKUP(Proc[[#This Row],[App]],Table2[],3,0),"open")</f>
        <v>open</v>
      </c>
      <c r="C3163" s="124" t="s">
        <v>370</v>
      </c>
      <c r="D3163" t="s">
        <v>5200</v>
      </c>
      <c r="E3163" t="s">
        <v>4069</v>
      </c>
      <c r="F3163" s="125"/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0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0</v>
      </c>
      <c r="R3163" s="115" t="s">
        <v>1013</v>
      </c>
      <c r="S3163" s="125"/>
    </row>
    <row r="3164" spans="1:19">
      <c r="A3164" s="124" t="s">
        <v>5276</v>
      </c>
      <c r="B3164" s="125" t="str">
        <f>IFERROR(VLOOKUP(Proc[[#This Row],[App]],Table2[],3,0),"open")</f>
        <v>open</v>
      </c>
      <c r="C3164" s="124" t="s">
        <v>370</v>
      </c>
      <c r="D3164" t="s">
        <v>5201</v>
      </c>
      <c r="E3164" t="s">
        <v>4069</v>
      </c>
      <c r="F3164" s="125"/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0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0</v>
      </c>
      <c r="R3164" s="115" t="s">
        <v>1013</v>
      </c>
      <c r="S3164" s="125"/>
    </row>
    <row r="3165" spans="1:19">
      <c r="A3165" s="124" t="s">
        <v>5276</v>
      </c>
      <c r="B3165" s="125" t="str">
        <f>IFERROR(VLOOKUP(Proc[[#This Row],[App]],Table2[],3,0),"open")</f>
        <v>open</v>
      </c>
      <c r="C3165" s="124" t="s">
        <v>370</v>
      </c>
      <c r="D3165" t="s">
        <v>5202</v>
      </c>
      <c r="E3165" t="s">
        <v>4069</v>
      </c>
      <c r="F3165" s="125"/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0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0</v>
      </c>
      <c r="R3165" s="115" t="s">
        <v>1013</v>
      </c>
      <c r="S3165" s="125"/>
    </row>
    <row r="3166" spans="1:19">
      <c r="A3166" s="124" t="s">
        <v>5276</v>
      </c>
      <c r="B3166" s="125" t="str">
        <f>IFERROR(VLOOKUP(Proc[[#This Row],[App]],Table2[],3,0),"open")</f>
        <v>open</v>
      </c>
      <c r="C3166" s="124" t="s">
        <v>370</v>
      </c>
      <c r="D3166" t="s">
        <v>5203</v>
      </c>
      <c r="E3166" t="s">
        <v>4069</v>
      </c>
      <c r="F3166" s="125"/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0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0</v>
      </c>
      <c r="R3166" s="115" t="s">
        <v>1013</v>
      </c>
      <c r="S3166" s="125"/>
    </row>
    <row r="3167" spans="1:19">
      <c r="A3167" s="124" t="s">
        <v>5276</v>
      </c>
      <c r="B3167" s="125" t="str">
        <f>IFERROR(VLOOKUP(Proc[[#This Row],[App]],Table2[],3,0),"open")</f>
        <v>open</v>
      </c>
      <c r="C3167" s="124" t="s">
        <v>370</v>
      </c>
      <c r="D3167" t="s">
        <v>5204</v>
      </c>
      <c r="E3167" t="s">
        <v>4069</v>
      </c>
      <c r="F3167" s="125"/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0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0</v>
      </c>
      <c r="R3167" s="115" t="s">
        <v>1013</v>
      </c>
      <c r="S3167" s="125"/>
    </row>
    <row r="3168" spans="1:19">
      <c r="A3168" s="124" t="s">
        <v>5276</v>
      </c>
      <c r="B3168" s="125" t="str">
        <f>IFERROR(VLOOKUP(Proc[[#This Row],[App]],Table2[],3,0),"open")</f>
        <v>open</v>
      </c>
      <c r="C3168" s="124" t="s">
        <v>370</v>
      </c>
      <c r="D3168" t="s">
        <v>5205</v>
      </c>
      <c r="E3168" t="s">
        <v>4069</v>
      </c>
      <c r="F3168" s="125"/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0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0</v>
      </c>
      <c r="R3168" s="115" t="s">
        <v>1013</v>
      </c>
      <c r="S3168" s="125"/>
    </row>
    <row r="3169" spans="1:19">
      <c r="A3169" s="124" t="s">
        <v>5276</v>
      </c>
      <c r="B3169" s="125" t="str">
        <f>IFERROR(VLOOKUP(Proc[[#This Row],[App]],Table2[],3,0),"open")</f>
        <v>open</v>
      </c>
      <c r="C3169" s="124" t="s">
        <v>370</v>
      </c>
      <c r="D3169" t="s">
        <v>5206</v>
      </c>
      <c r="E3169" t="s">
        <v>4069</v>
      </c>
      <c r="F3169" s="125"/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0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0</v>
      </c>
      <c r="R3169" s="115" t="s">
        <v>1013</v>
      </c>
      <c r="S3169" s="125"/>
    </row>
    <row r="3170" spans="1:19">
      <c r="A3170" s="124" t="s">
        <v>5276</v>
      </c>
      <c r="B3170" s="125" t="str">
        <f>IFERROR(VLOOKUP(Proc[[#This Row],[App]],Table2[],3,0),"open")</f>
        <v>open</v>
      </c>
      <c r="C3170" s="124" t="s">
        <v>370</v>
      </c>
      <c r="D3170" t="s">
        <v>5207</v>
      </c>
      <c r="E3170" t="s">
        <v>4069</v>
      </c>
      <c r="F3170" s="125"/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0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0</v>
      </c>
      <c r="R3170" s="115" t="s">
        <v>1013</v>
      </c>
      <c r="S3170" s="125"/>
    </row>
    <row r="3171" spans="1:19">
      <c r="A3171" s="124" t="s">
        <v>5276</v>
      </c>
      <c r="B3171" s="125" t="str">
        <f>IFERROR(VLOOKUP(Proc[[#This Row],[App]],Table2[],3,0),"open")</f>
        <v>open</v>
      </c>
      <c r="C3171" s="124" t="s">
        <v>370</v>
      </c>
      <c r="D3171" t="s">
        <v>5208</v>
      </c>
      <c r="E3171" t="s">
        <v>4069</v>
      </c>
      <c r="F3171" s="125"/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0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0</v>
      </c>
      <c r="R3171" s="115" t="s">
        <v>1013</v>
      </c>
      <c r="S3171" s="125"/>
    </row>
    <row r="3172" spans="1:19">
      <c r="A3172" s="124" t="s">
        <v>5276</v>
      </c>
      <c r="B3172" s="125" t="str">
        <f>IFERROR(VLOOKUP(Proc[[#This Row],[App]],Table2[],3,0),"open")</f>
        <v>open</v>
      </c>
      <c r="C3172" s="124" t="s">
        <v>370</v>
      </c>
      <c r="D3172" t="s">
        <v>5209</v>
      </c>
      <c r="E3172" t="s">
        <v>4069</v>
      </c>
      <c r="F3172" s="125"/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0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0</v>
      </c>
      <c r="R3172" s="115" t="s">
        <v>1013</v>
      </c>
      <c r="S3172" s="125"/>
    </row>
    <row r="3173" spans="1:19">
      <c r="A3173" s="124" t="s">
        <v>5276</v>
      </c>
      <c r="B3173" s="125" t="str">
        <f>IFERROR(VLOOKUP(Proc[[#This Row],[App]],Table2[],3,0),"open")</f>
        <v>open</v>
      </c>
      <c r="C3173" s="124" t="s">
        <v>370</v>
      </c>
      <c r="D3173" t="s">
        <v>5210</v>
      </c>
      <c r="E3173" t="s">
        <v>4069</v>
      </c>
      <c r="F3173" s="125"/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0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0</v>
      </c>
      <c r="R3173" s="115" t="s">
        <v>1013</v>
      </c>
      <c r="S3173" s="125"/>
    </row>
    <row r="3174" spans="1:19">
      <c r="A3174" s="124" t="s">
        <v>5276</v>
      </c>
      <c r="B3174" s="125" t="str">
        <f>IFERROR(VLOOKUP(Proc[[#This Row],[App]],Table2[],3,0),"open")</f>
        <v>open</v>
      </c>
      <c r="C3174" s="124" t="s">
        <v>370</v>
      </c>
      <c r="D3174" t="s">
        <v>5211</v>
      </c>
      <c r="E3174" t="s">
        <v>4069</v>
      </c>
      <c r="F3174" s="125"/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0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0</v>
      </c>
      <c r="R3174" s="115" t="s">
        <v>1013</v>
      </c>
      <c r="S3174" s="125"/>
    </row>
    <row r="3175" spans="1:19">
      <c r="A3175" s="124" t="s">
        <v>5276</v>
      </c>
      <c r="B3175" s="125" t="str">
        <f>IFERROR(VLOOKUP(Proc[[#This Row],[App]],Table2[],3,0),"open")</f>
        <v>open</v>
      </c>
      <c r="C3175" s="124" t="s">
        <v>370</v>
      </c>
      <c r="D3175" t="s">
        <v>5212</v>
      </c>
      <c r="E3175" t="s">
        <v>4069</v>
      </c>
      <c r="F3175" s="125"/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0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0</v>
      </c>
      <c r="R3175" s="115" t="s">
        <v>1013</v>
      </c>
      <c r="S3175" s="125"/>
    </row>
    <row r="3176" spans="1:19">
      <c r="A3176" s="124" t="s">
        <v>5276</v>
      </c>
      <c r="B3176" s="125" t="str">
        <f>IFERROR(VLOOKUP(Proc[[#This Row],[App]],Table2[],3,0),"open")</f>
        <v>open</v>
      </c>
      <c r="C3176" s="124" t="s">
        <v>370</v>
      </c>
      <c r="D3176" t="s">
        <v>5213</v>
      </c>
      <c r="E3176" t="s">
        <v>4069</v>
      </c>
      <c r="F3176" s="125"/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0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0</v>
      </c>
      <c r="R3176" s="115" t="s">
        <v>1013</v>
      </c>
      <c r="S3176" s="125"/>
    </row>
    <row r="3177" spans="1:19">
      <c r="A3177" s="124" t="s">
        <v>5276</v>
      </c>
      <c r="B3177" s="125" t="str">
        <f>IFERROR(VLOOKUP(Proc[[#This Row],[App]],Table2[],3,0),"open")</f>
        <v>open</v>
      </c>
      <c r="C3177" s="124" t="s">
        <v>370</v>
      </c>
      <c r="D3177" t="s">
        <v>5214</v>
      </c>
      <c r="E3177" t="s">
        <v>4069</v>
      </c>
      <c r="F3177" s="125"/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0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0</v>
      </c>
      <c r="R3177" s="115" t="s">
        <v>1013</v>
      </c>
      <c r="S3177" s="125"/>
    </row>
    <row r="3178" spans="1:19">
      <c r="A3178" s="124" t="s">
        <v>5276</v>
      </c>
      <c r="B3178" s="125" t="str">
        <f>IFERROR(VLOOKUP(Proc[[#This Row],[App]],Table2[],3,0),"open")</f>
        <v>open</v>
      </c>
      <c r="C3178" s="124" t="s">
        <v>370</v>
      </c>
      <c r="D3178" t="s">
        <v>5215</v>
      </c>
      <c r="E3178" t="s">
        <v>4069</v>
      </c>
      <c r="F3178" s="125"/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0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0</v>
      </c>
      <c r="R3178" s="115" t="s">
        <v>1013</v>
      </c>
      <c r="S3178" s="125"/>
    </row>
    <row r="3179" spans="1:19">
      <c r="A3179" s="124" t="s">
        <v>5276</v>
      </c>
      <c r="B3179" s="125" t="str">
        <f>IFERROR(VLOOKUP(Proc[[#This Row],[App]],Table2[],3,0),"open")</f>
        <v>open</v>
      </c>
      <c r="C3179" s="124" t="s">
        <v>370</v>
      </c>
      <c r="D3179" t="s">
        <v>5216</v>
      </c>
      <c r="E3179" t="s">
        <v>4069</v>
      </c>
      <c r="F3179" s="125"/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0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0</v>
      </c>
      <c r="R3179" s="115" t="s">
        <v>1013</v>
      </c>
      <c r="S3179" s="125"/>
    </row>
    <row r="3180" spans="1:19">
      <c r="A3180" s="124" t="s">
        <v>5276</v>
      </c>
      <c r="B3180" s="125" t="str">
        <f>IFERROR(VLOOKUP(Proc[[#This Row],[App]],Table2[],3,0),"open")</f>
        <v>open</v>
      </c>
      <c r="C3180" s="124" t="s">
        <v>370</v>
      </c>
      <c r="D3180" t="s">
        <v>5217</v>
      </c>
      <c r="E3180" t="s">
        <v>4069</v>
      </c>
      <c r="F3180" s="125"/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0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0</v>
      </c>
      <c r="R3180" s="115" t="s">
        <v>1013</v>
      </c>
      <c r="S3180" s="125"/>
    </row>
    <row r="3181" spans="1:19">
      <c r="A3181" s="124" t="s">
        <v>5276</v>
      </c>
      <c r="B3181" s="125" t="str">
        <f>IFERROR(VLOOKUP(Proc[[#This Row],[App]],Table2[],3,0),"open")</f>
        <v>open</v>
      </c>
      <c r="C3181" s="124" t="s">
        <v>370</v>
      </c>
      <c r="D3181" t="s">
        <v>5218</v>
      </c>
      <c r="E3181" t="s">
        <v>4069</v>
      </c>
      <c r="F3181" s="125"/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0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0</v>
      </c>
      <c r="R3181" s="115" t="s">
        <v>1013</v>
      </c>
      <c r="S3181" s="125"/>
    </row>
    <row r="3182" spans="1:19">
      <c r="A3182" s="124" t="s">
        <v>5276</v>
      </c>
      <c r="B3182" s="125" t="str">
        <f>IFERROR(VLOOKUP(Proc[[#This Row],[App]],Table2[],3,0),"open")</f>
        <v>open</v>
      </c>
      <c r="C3182" s="124" t="s">
        <v>370</v>
      </c>
      <c r="D3182" t="s">
        <v>5219</v>
      </c>
      <c r="E3182" t="s">
        <v>4069</v>
      </c>
      <c r="F3182" s="125"/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0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0</v>
      </c>
      <c r="R3182" s="115" t="s">
        <v>1013</v>
      </c>
      <c r="S3182" s="125"/>
    </row>
    <row r="3183" spans="1:19">
      <c r="A3183" s="124" t="s">
        <v>5276</v>
      </c>
      <c r="B3183" s="125" t="str">
        <f>IFERROR(VLOOKUP(Proc[[#This Row],[App]],Table2[],3,0),"open")</f>
        <v>open</v>
      </c>
      <c r="C3183" s="124" t="s">
        <v>370</v>
      </c>
      <c r="D3183" t="s">
        <v>5220</v>
      </c>
      <c r="E3183" t="s">
        <v>4069</v>
      </c>
      <c r="F3183" s="125"/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0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0</v>
      </c>
      <c r="R3183" s="115" t="s">
        <v>1013</v>
      </c>
      <c r="S3183" s="125"/>
    </row>
    <row r="3184" spans="1:19">
      <c r="A3184" s="124" t="s">
        <v>5276</v>
      </c>
      <c r="B3184" s="125" t="str">
        <f>IFERROR(VLOOKUP(Proc[[#This Row],[App]],Table2[],3,0),"open")</f>
        <v>open</v>
      </c>
      <c r="C3184" s="124" t="s">
        <v>370</v>
      </c>
      <c r="D3184" t="s">
        <v>5221</v>
      </c>
      <c r="E3184" t="s">
        <v>4069</v>
      </c>
      <c r="F3184" s="125"/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0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0</v>
      </c>
      <c r="R3184" s="115" t="s">
        <v>1013</v>
      </c>
      <c r="S3184" s="125"/>
    </row>
    <row r="3185" spans="1:19">
      <c r="A3185" s="124" t="s">
        <v>5276</v>
      </c>
      <c r="B3185" s="125" t="str">
        <f>IFERROR(VLOOKUP(Proc[[#This Row],[App]],Table2[],3,0),"open")</f>
        <v>open</v>
      </c>
      <c r="C3185" s="124" t="s">
        <v>370</v>
      </c>
      <c r="D3185" t="s">
        <v>5222</v>
      </c>
      <c r="E3185" t="s">
        <v>4069</v>
      </c>
      <c r="F3185" s="125"/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0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0</v>
      </c>
      <c r="R3185" s="115" t="s">
        <v>1013</v>
      </c>
      <c r="S3185" s="125"/>
    </row>
    <row r="3186" spans="1:19">
      <c r="A3186" s="124" t="s">
        <v>5276</v>
      </c>
      <c r="B3186" s="125" t="str">
        <f>IFERROR(VLOOKUP(Proc[[#This Row],[App]],Table2[],3,0),"open")</f>
        <v>open</v>
      </c>
      <c r="C3186" s="124" t="s">
        <v>370</v>
      </c>
      <c r="D3186" t="s">
        <v>5223</v>
      </c>
      <c r="E3186" t="s">
        <v>4069</v>
      </c>
      <c r="F3186" s="125"/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0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0</v>
      </c>
      <c r="R3186" s="115" t="s">
        <v>1013</v>
      </c>
      <c r="S3186" s="125"/>
    </row>
    <row r="3187" spans="1:19">
      <c r="A3187" s="124" t="s">
        <v>5276</v>
      </c>
      <c r="B3187" s="125" t="str">
        <f>IFERROR(VLOOKUP(Proc[[#This Row],[App]],Table2[],3,0),"open")</f>
        <v>open</v>
      </c>
      <c r="C3187" s="124" t="s">
        <v>370</v>
      </c>
      <c r="D3187" t="s">
        <v>5224</v>
      </c>
      <c r="E3187" t="s">
        <v>4069</v>
      </c>
      <c r="F3187" s="125"/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0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0</v>
      </c>
      <c r="R3187" s="115" t="s">
        <v>1013</v>
      </c>
      <c r="S3187" s="125"/>
    </row>
    <row r="3188" spans="1:19">
      <c r="A3188" s="124" t="s">
        <v>5276</v>
      </c>
      <c r="B3188" s="125" t="str">
        <f>IFERROR(VLOOKUP(Proc[[#This Row],[App]],Table2[],3,0),"open")</f>
        <v>open</v>
      </c>
      <c r="C3188" s="124" t="s">
        <v>370</v>
      </c>
      <c r="D3188" t="s">
        <v>5225</v>
      </c>
      <c r="E3188" t="s">
        <v>4069</v>
      </c>
      <c r="F3188" s="125"/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0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0</v>
      </c>
      <c r="R3188" s="115" t="s">
        <v>1013</v>
      </c>
      <c r="S3188" s="125"/>
    </row>
    <row r="3189" spans="1:19">
      <c r="A3189" s="124" t="s">
        <v>5276</v>
      </c>
      <c r="B3189" s="125" t="str">
        <f>IFERROR(VLOOKUP(Proc[[#This Row],[App]],Table2[],3,0),"open")</f>
        <v>open</v>
      </c>
      <c r="C3189" s="124" t="s">
        <v>370</v>
      </c>
      <c r="D3189" t="s">
        <v>5226</v>
      </c>
      <c r="E3189" t="s">
        <v>4069</v>
      </c>
      <c r="F3189" s="125"/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0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0</v>
      </c>
      <c r="R3189" s="115" t="s">
        <v>1013</v>
      </c>
      <c r="S3189" s="125"/>
    </row>
    <row r="3190" spans="1:19">
      <c r="A3190" s="124" t="s">
        <v>5276</v>
      </c>
      <c r="B3190" s="125" t="str">
        <f>IFERROR(VLOOKUP(Proc[[#This Row],[App]],Table2[],3,0),"open")</f>
        <v>open</v>
      </c>
      <c r="C3190" s="124" t="s">
        <v>370</v>
      </c>
      <c r="D3190" t="s">
        <v>5227</v>
      </c>
      <c r="E3190" t="s">
        <v>4069</v>
      </c>
      <c r="F3190" s="125"/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0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0</v>
      </c>
      <c r="R3190" s="115" t="s">
        <v>1013</v>
      </c>
      <c r="S3190" s="125"/>
    </row>
    <row r="3191" spans="1:19">
      <c r="A3191" s="124" t="s">
        <v>5276</v>
      </c>
      <c r="B3191" s="125" t="str">
        <f>IFERROR(VLOOKUP(Proc[[#This Row],[App]],Table2[],3,0),"open")</f>
        <v>open</v>
      </c>
      <c r="C3191" s="124" t="s">
        <v>370</v>
      </c>
      <c r="D3191" t="s">
        <v>5228</v>
      </c>
      <c r="E3191" t="s">
        <v>4069</v>
      </c>
      <c r="F3191" s="125"/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0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0</v>
      </c>
      <c r="R3191" s="115" t="s">
        <v>1013</v>
      </c>
      <c r="S3191" s="125"/>
    </row>
    <row r="3192" spans="1:19">
      <c r="A3192" s="124" t="s">
        <v>5276</v>
      </c>
      <c r="B3192" s="125" t="str">
        <f>IFERROR(VLOOKUP(Proc[[#This Row],[App]],Table2[],3,0),"open")</f>
        <v>open</v>
      </c>
      <c r="C3192" s="124" t="s">
        <v>370</v>
      </c>
      <c r="D3192" t="s">
        <v>5229</v>
      </c>
      <c r="E3192" t="s">
        <v>4069</v>
      </c>
      <c r="F3192" s="125"/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0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0</v>
      </c>
      <c r="R3192" s="115" t="s">
        <v>1013</v>
      </c>
      <c r="S3192" s="125"/>
    </row>
    <row r="3193" spans="1:19">
      <c r="A3193" s="124" t="s">
        <v>5276</v>
      </c>
      <c r="B3193" s="125" t="str">
        <f>IFERROR(VLOOKUP(Proc[[#This Row],[App]],Table2[],3,0),"open")</f>
        <v>open</v>
      </c>
      <c r="C3193" s="124" t="s">
        <v>370</v>
      </c>
      <c r="D3193" t="s">
        <v>5230</v>
      </c>
      <c r="E3193" t="s">
        <v>4069</v>
      </c>
      <c r="F3193" s="125"/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0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0</v>
      </c>
      <c r="R3193" s="115" t="s">
        <v>1013</v>
      </c>
      <c r="S3193" s="125"/>
    </row>
    <row r="3194" spans="1:19">
      <c r="A3194" s="124" t="s">
        <v>5276</v>
      </c>
      <c r="B3194" s="125" t="str">
        <f>IFERROR(VLOOKUP(Proc[[#This Row],[App]],Table2[],3,0),"open")</f>
        <v>open</v>
      </c>
      <c r="C3194" s="124" t="s">
        <v>370</v>
      </c>
      <c r="D3194" t="s">
        <v>5231</v>
      </c>
      <c r="E3194" t="s">
        <v>4069</v>
      </c>
      <c r="F3194" s="125"/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0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0</v>
      </c>
      <c r="R3194" s="115" t="s">
        <v>1013</v>
      </c>
      <c r="S3194" s="125"/>
    </row>
    <row r="3195" spans="1:19">
      <c r="A3195" s="124" t="s">
        <v>5276</v>
      </c>
      <c r="B3195" s="125" t="str">
        <f>IFERROR(VLOOKUP(Proc[[#This Row],[App]],Table2[],3,0),"open")</f>
        <v>open</v>
      </c>
      <c r="C3195" s="124" t="s">
        <v>370</v>
      </c>
      <c r="D3195" t="s">
        <v>5232</v>
      </c>
      <c r="E3195" t="s">
        <v>4069</v>
      </c>
      <c r="F3195" s="125"/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0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0</v>
      </c>
      <c r="R3195" s="115" t="s">
        <v>1013</v>
      </c>
      <c r="S3195" s="125"/>
    </row>
    <row r="3196" spans="1:19">
      <c r="A3196" s="124" t="s">
        <v>5276</v>
      </c>
      <c r="B3196" s="125" t="str">
        <f>IFERROR(VLOOKUP(Proc[[#This Row],[App]],Table2[],3,0),"open")</f>
        <v>open</v>
      </c>
      <c r="C3196" s="124" t="s">
        <v>370</v>
      </c>
      <c r="D3196" t="s">
        <v>5233</v>
      </c>
      <c r="E3196" t="s">
        <v>4069</v>
      </c>
      <c r="F3196" s="125"/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0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0</v>
      </c>
      <c r="R3196" s="115" t="s">
        <v>1013</v>
      </c>
      <c r="S3196" s="125"/>
    </row>
    <row r="3197" spans="1:19">
      <c r="A3197" s="124" t="s">
        <v>5276</v>
      </c>
      <c r="B3197" s="125" t="str">
        <f>IFERROR(VLOOKUP(Proc[[#This Row],[App]],Table2[],3,0),"open")</f>
        <v>open</v>
      </c>
      <c r="C3197" s="124" t="s">
        <v>370</v>
      </c>
      <c r="D3197" t="s">
        <v>5234</v>
      </c>
      <c r="E3197" t="s">
        <v>4069</v>
      </c>
      <c r="F3197" s="125"/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0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0</v>
      </c>
      <c r="R3197" s="115" t="s">
        <v>1013</v>
      </c>
      <c r="S3197" s="125"/>
    </row>
    <row r="3198" spans="1:19">
      <c r="A3198" s="124" t="s">
        <v>5276</v>
      </c>
      <c r="B3198" s="125" t="str">
        <f>IFERROR(VLOOKUP(Proc[[#This Row],[App]],Table2[],3,0),"open")</f>
        <v>open</v>
      </c>
      <c r="C3198" s="124" t="s">
        <v>370</v>
      </c>
      <c r="D3198" t="s">
        <v>5235</v>
      </c>
      <c r="E3198" t="s">
        <v>4069</v>
      </c>
      <c r="F3198" s="125"/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0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0</v>
      </c>
      <c r="R3198" s="115" t="s">
        <v>1013</v>
      </c>
      <c r="S3198" s="125"/>
    </row>
    <row r="3199" spans="1:19">
      <c r="A3199" s="124" t="s">
        <v>5276</v>
      </c>
      <c r="B3199" s="125" t="str">
        <f>IFERROR(VLOOKUP(Proc[[#This Row],[App]],Table2[],3,0),"open")</f>
        <v>open</v>
      </c>
      <c r="C3199" s="124" t="s">
        <v>370</v>
      </c>
      <c r="D3199" t="s">
        <v>5236</v>
      </c>
      <c r="E3199" t="s">
        <v>4069</v>
      </c>
      <c r="F3199" s="125"/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0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0</v>
      </c>
      <c r="R3199" s="115" t="s">
        <v>1013</v>
      </c>
      <c r="S3199" s="125"/>
    </row>
    <row r="3200" spans="1:19">
      <c r="A3200" s="124" t="s">
        <v>5276</v>
      </c>
      <c r="B3200" s="125" t="str">
        <f>IFERROR(VLOOKUP(Proc[[#This Row],[App]],Table2[],3,0),"open")</f>
        <v>open</v>
      </c>
      <c r="C3200" s="124" t="s">
        <v>370</v>
      </c>
      <c r="D3200" t="s">
        <v>5237</v>
      </c>
      <c r="E3200" t="s">
        <v>4069</v>
      </c>
      <c r="F3200" s="125"/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0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0</v>
      </c>
      <c r="R3200" s="115" t="s">
        <v>1013</v>
      </c>
      <c r="S3200" s="125"/>
    </row>
    <row r="3201" spans="1:19">
      <c r="A3201" s="124" t="s">
        <v>5276</v>
      </c>
      <c r="B3201" s="125" t="str">
        <f>IFERROR(VLOOKUP(Proc[[#This Row],[App]],Table2[],3,0),"open")</f>
        <v>open</v>
      </c>
      <c r="C3201" s="124" t="s">
        <v>370</v>
      </c>
      <c r="D3201" t="s">
        <v>5238</v>
      </c>
      <c r="E3201" t="s">
        <v>4069</v>
      </c>
      <c r="F3201" s="125"/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0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0</v>
      </c>
      <c r="R3201" s="115" t="s">
        <v>1013</v>
      </c>
      <c r="S3201" s="125"/>
    </row>
    <row r="3202" spans="1:19">
      <c r="A3202" s="124" t="s">
        <v>5276</v>
      </c>
      <c r="B3202" s="125" t="str">
        <f>IFERROR(VLOOKUP(Proc[[#This Row],[App]],Table2[],3,0),"open")</f>
        <v>open</v>
      </c>
      <c r="C3202" s="124" t="s">
        <v>370</v>
      </c>
      <c r="D3202" t="s">
        <v>5239</v>
      </c>
      <c r="E3202" t="s">
        <v>4069</v>
      </c>
      <c r="F3202" s="125"/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0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0</v>
      </c>
      <c r="R3202" s="115" t="s">
        <v>1013</v>
      </c>
      <c r="S3202" s="125"/>
    </row>
    <row r="3203" spans="1:19">
      <c r="A3203" s="124" t="s">
        <v>5276</v>
      </c>
      <c r="B3203" s="125" t="str">
        <f>IFERROR(VLOOKUP(Proc[[#This Row],[App]],Table2[],3,0),"open")</f>
        <v>open</v>
      </c>
      <c r="C3203" s="124" t="s">
        <v>370</v>
      </c>
      <c r="D3203" t="s">
        <v>5240</v>
      </c>
      <c r="E3203" t="s">
        <v>4069</v>
      </c>
      <c r="F3203" s="125"/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0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0</v>
      </c>
      <c r="R3203" s="115" t="s">
        <v>1013</v>
      </c>
      <c r="S3203" s="125"/>
    </row>
    <row r="3204" spans="1:19">
      <c r="A3204" s="124" t="s">
        <v>5276</v>
      </c>
      <c r="B3204" s="125" t="str">
        <f>IFERROR(VLOOKUP(Proc[[#This Row],[App]],Table2[],3,0),"open")</f>
        <v>open</v>
      </c>
      <c r="C3204" s="124" t="s">
        <v>370</v>
      </c>
      <c r="D3204" t="s">
        <v>5241</v>
      </c>
      <c r="E3204" t="s">
        <v>4069</v>
      </c>
      <c r="F3204" s="125"/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0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0</v>
      </c>
      <c r="R3204" s="115" t="s">
        <v>1013</v>
      </c>
      <c r="S3204" s="125"/>
    </row>
    <row r="3205" spans="1:19">
      <c r="A3205" s="124" t="s">
        <v>5276</v>
      </c>
      <c r="B3205" s="125" t="str">
        <f>IFERROR(VLOOKUP(Proc[[#This Row],[App]],Table2[],3,0),"open")</f>
        <v>open</v>
      </c>
      <c r="C3205" s="124" t="s">
        <v>370</v>
      </c>
      <c r="D3205" t="s">
        <v>5242</v>
      </c>
      <c r="E3205" t="s">
        <v>4069</v>
      </c>
      <c r="F3205" s="125"/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0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0</v>
      </c>
      <c r="R3205" s="115" t="s">
        <v>1013</v>
      </c>
      <c r="S3205" s="125"/>
    </row>
    <row r="3206" spans="1:19">
      <c r="A3206" s="124" t="s">
        <v>5276</v>
      </c>
      <c r="B3206" s="125" t="str">
        <f>IFERROR(VLOOKUP(Proc[[#This Row],[App]],Table2[],3,0),"open")</f>
        <v>open</v>
      </c>
      <c r="C3206" s="124" t="s">
        <v>370</v>
      </c>
      <c r="D3206" t="s">
        <v>5243</v>
      </c>
      <c r="E3206" t="s">
        <v>4069</v>
      </c>
      <c r="F3206" s="125"/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0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0</v>
      </c>
      <c r="R3206" s="115" t="s">
        <v>1013</v>
      </c>
      <c r="S3206" s="125"/>
    </row>
    <row r="3207" spans="1:19">
      <c r="A3207" s="124" t="s">
        <v>5276</v>
      </c>
      <c r="B3207" s="125" t="str">
        <f>IFERROR(VLOOKUP(Proc[[#This Row],[App]],Table2[],3,0),"open")</f>
        <v>open</v>
      </c>
      <c r="C3207" s="124" t="s">
        <v>370</v>
      </c>
      <c r="D3207" t="s">
        <v>5244</v>
      </c>
      <c r="E3207" t="s">
        <v>4069</v>
      </c>
      <c r="F3207" s="125"/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0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0</v>
      </c>
      <c r="R3207" s="115" t="s">
        <v>1013</v>
      </c>
      <c r="S3207" s="125"/>
    </row>
    <row r="3208" spans="1:19">
      <c r="A3208" s="124" t="s">
        <v>5276</v>
      </c>
      <c r="B3208" s="125" t="str">
        <f>IFERROR(VLOOKUP(Proc[[#This Row],[App]],Table2[],3,0),"open")</f>
        <v>open</v>
      </c>
      <c r="C3208" s="124" t="s">
        <v>370</v>
      </c>
      <c r="D3208" t="s">
        <v>5245</v>
      </c>
      <c r="E3208" t="s">
        <v>5271</v>
      </c>
      <c r="F3208" s="125"/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0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0</v>
      </c>
      <c r="R3208" s="115" t="s">
        <v>1013</v>
      </c>
      <c r="S3208" s="125"/>
    </row>
    <row r="3209" spans="1:19">
      <c r="A3209" s="124" t="s">
        <v>5276</v>
      </c>
      <c r="B3209" s="125" t="str">
        <f>IFERROR(VLOOKUP(Proc[[#This Row],[App]],Table2[],3,0),"open")</f>
        <v>open</v>
      </c>
      <c r="C3209" s="124" t="s">
        <v>370</v>
      </c>
      <c r="D3209" t="s">
        <v>5246</v>
      </c>
      <c r="E3209" t="s">
        <v>5271</v>
      </c>
      <c r="F3209" s="125"/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0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0</v>
      </c>
      <c r="R3209" s="115" t="s">
        <v>1013</v>
      </c>
      <c r="S3209" s="125"/>
    </row>
    <row r="3210" spans="1:19">
      <c r="A3210" s="124" t="s">
        <v>5276</v>
      </c>
      <c r="B3210" s="125" t="str">
        <f>IFERROR(VLOOKUP(Proc[[#This Row],[App]],Table2[],3,0),"open")</f>
        <v>open</v>
      </c>
      <c r="C3210" s="124" t="s">
        <v>370</v>
      </c>
      <c r="D3210" t="s">
        <v>5247</v>
      </c>
      <c r="E3210" t="s">
        <v>5271</v>
      </c>
      <c r="F3210" s="125"/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0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0</v>
      </c>
      <c r="R3210" s="115" t="s">
        <v>1013</v>
      </c>
      <c r="S3210" s="125"/>
    </row>
    <row r="3211" spans="1:19">
      <c r="A3211" s="124" t="s">
        <v>5276</v>
      </c>
      <c r="B3211" s="125" t="str">
        <f>IFERROR(VLOOKUP(Proc[[#This Row],[App]],Table2[],3,0),"open")</f>
        <v>open</v>
      </c>
      <c r="C3211" s="124" t="s">
        <v>370</v>
      </c>
      <c r="D3211" t="s">
        <v>5248</v>
      </c>
      <c r="E3211" t="s">
        <v>3741</v>
      </c>
      <c r="F3211" s="125"/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0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0</v>
      </c>
      <c r="R3211" s="115" t="s">
        <v>1013</v>
      </c>
      <c r="S3211" s="125"/>
    </row>
    <row r="3212" spans="1:19">
      <c r="A3212" s="124" t="s">
        <v>5276</v>
      </c>
      <c r="B3212" s="125" t="str">
        <f>IFERROR(VLOOKUP(Proc[[#This Row],[App]],Table2[],3,0),"open")</f>
        <v>open</v>
      </c>
      <c r="C3212" s="124" t="s">
        <v>370</v>
      </c>
      <c r="D3212" t="s">
        <v>5249</v>
      </c>
      <c r="E3212" t="s">
        <v>5271</v>
      </c>
      <c r="F3212" s="125"/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0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0</v>
      </c>
      <c r="R3212" s="115" t="s">
        <v>1013</v>
      </c>
      <c r="S3212" s="125"/>
    </row>
    <row r="3213" spans="1:19">
      <c r="A3213" s="124" t="s">
        <v>5276</v>
      </c>
      <c r="B3213" s="125" t="str">
        <f>IFERROR(VLOOKUP(Proc[[#This Row],[App]],Table2[],3,0),"open")</f>
        <v>open</v>
      </c>
      <c r="C3213" s="124" t="s">
        <v>370</v>
      </c>
      <c r="D3213" t="s">
        <v>5250</v>
      </c>
      <c r="E3213" t="s">
        <v>5272</v>
      </c>
      <c r="F3213" s="125"/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0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0</v>
      </c>
      <c r="R3213" s="115" t="s">
        <v>1013</v>
      </c>
      <c r="S3213" s="125"/>
    </row>
    <row r="3214" spans="1:19">
      <c r="A3214" s="124" t="s">
        <v>5276</v>
      </c>
      <c r="B3214" s="125" t="str">
        <f>IFERROR(VLOOKUP(Proc[[#This Row],[App]],Table2[],3,0),"open")</f>
        <v>open</v>
      </c>
      <c r="C3214" s="124" t="s">
        <v>370</v>
      </c>
      <c r="D3214" t="s">
        <v>5251</v>
      </c>
      <c r="E3214" t="s">
        <v>5273</v>
      </c>
      <c r="F3214" s="125"/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0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0</v>
      </c>
      <c r="R3214" s="115" t="s">
        <v>1013</v>
      </c>
      <c r="S3214" s="125"/>
    </row>
    <row r="3215" spans="1:19">
      <c r="A3215" s="124" t="s">
        <v>5276</v>
      </c>
      <c r="B3215" s="125" t="str">
        <f>IFERROR(VLOOKUP(Proc[[#This Row],[App]],Table2[],3,0),"open")</f>
        <v>open</v>
      </c>
      <c r="C3215" s="124" t="s">
        <v>370</v>
      </c>
      <c r="D3215" t="s">
        <v>5252</v>
      </c>
      <c r="E3215" t="s">
        <v>5273</v>
      </c>
      <c r="F3215" s="125"/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0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0</v>
      </c>
      <c r="R3215" s="115" t="s">
        <v>1013</v>
      </c>
      <c r="S3215" s="125"/>
    </row>
    <row r="3216" spans="1:19">
      <c r="A3216" s="124" t="s">
        <v>5276</v>
      </c>
      <c r="B3216" s="125" t="str">
        <f>IFERROR(VLOOKUP(Proc[[#This Row],[App]],Table2[],3,0),"open")</f>
        <v>open</v>
      </c>
      <c r="C3216" s="124" t="s">
        <v>370</v>
      </c>
      <c r="D3216" t="s">
        <v>5253</v>
      </c>
      <c r="E3216" t="s">
        <v>5273</v>
      </c>
      <c r="F3216" s="125"/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0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0</v>
      </c>
      <c r="R3216" s="115" t="s">
        <v>1013</v>
      </c>
      <c r="S3216" s="125"/>
    </row>
    <row r="3217" spans="1:19">
      <c r="A3217" s="124" t="s">
        <v>5276</v>
      </c>
      <c r="B3217" s="125" t="str">
        <f>IFERROR(VLOOKUP(Proc[[#This Row],[App]],Table2[],3,0),"open")</f>
        <v>open</v>
      </c>
      <c r="C3217" s="124" t="s">
        <v>370</v>
      </c>
      <c r="D3217" t="s">
        <v>5254</v>
      </c>
      <c r="E3217" t="s">
        <v>5274</v>
      </c>
      <c r="F3217" s="125"/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0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0</v>
      </c>
      <c r="R3217" s="115" t="s">
        <v>1013</v>
      </c>
      <c r="S3217" s="125"/>
    </row>
    <row r="3218" spans="1:19">
      <c r="A3218" s="124" t="s">
        <v>5276</v>
      </c>
      <c r="B3218" s="125" t="str">
        <f>IFERROR(VLOOKUP(Proc[[#This Row],[App]],Table2[],3,0),"open")</f>
        <v>open</v>
      </c>
      <c r="C3218" s="124" t="s">
        <v>370</v>
      </c>
      <c r="D3218" t="s">
        <v>5255</v>
      </c>
      <c r="E3218" t="s">
        <v>5274</v>
      </c>
      <c r="F3218" s="125"/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0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0</v>
      </c>
      <c r="R3218" s="115" t="s">
        <v>1013</v>
      </c>
      <c r="S3218" s="125"/>
    </row>
    <row r="3219" spans="1:19">
      <c r="A3219" s="124" t="s">
        <v>5276</v>
      </c>
      <c r="B3219" s="125" t="str">
        <f>IFERROR(VLOOKUP(Proc[[#This Row],[App]],Table2[],3,0),"open")</f>
        <v>open</v>
      </c>
      <c r="C3219" s="124" t="s">
        <v>370</v>
      </c>
      <c r="D3219" t="s">
        <v>5256</v>
      </c>
      <c r="E3219" t="s">
        <v>5275</v>
      </c>
      <c r="F3219" s="125"/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0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0</v>
      </c>
      <c r="R3219" s="115" t="s">
        <v>1013</v>
      </c>
      <c r="S3219" s="125"/>
    </row>
    <row r="3220" spans="1:19">
      <c r="A3220" s="124" t="s">
        <v>5276</v>
      </c>
      <c r="B3220" s="125" t="str">
        <f>IFERROR(VLOOKUP(Proc[[#This Row],[App]],Table2[],3,0),"open")</f>
        <v>open</v>
      </c>
      <c r="C3220" s="124" t="s">
        <v>370</v>
      </c>
      <c r="D3220" t="s">
        <v>5257</v>
      </c>
      <c r="E3220" t="s">
        <v>5275</v>
      </c>
      <c r="F3220" s="125"/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0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0</v>
      </c>
      <c r="R3220" s="115" t="s">
        <v>1013</v>
      </c>
      <c r="S3220" s="125"/>
    </row>
    <row r="3221" spans="1:19">
      <c r="A3221" s="124" t="s">
        <v>5276</v>
      </c>
      <c r="B3221" s="125" t="str">
        <f>IFERROR(VLOOKUP(Proc[[#This Row],[App]],Table2[],3,0),"open")</f>
        <v>open</v>
      </c>
      <c r="C3221" s="124" t="s">
        <v>370</v>
      </c>
      <c r="D3221" t="s">
        <v>5258</v>
      </c>
      <c r="E3221" t="s">
        <v>5275</v>
      </c>
      <c r="F3221" s="125"/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0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0</v>
      </c>
      <c r="R3221" s="115" t="s">
        <v>1013</v>
      </c>
      <c r="S3221" s="125"/>
    </row>
    <row r="3222" spans="1:19">
      <c r="A3222" s="124" t="s">
        <v>5276</v>
      </c>
      <c r="B3222" s="125" t="str">
        <f>IFERROR(VLOOKUP(Proc[[#This Row],[App]],Table2[],3,0),"open")</f>
        <v>open</v>
      </c>
      <c r="C3222" s="124" t="s">
        <v>370</v>
      </c>
      <c r="D3222" t="s">
        <v>5259</v>
      </c>
      <c r="E3222" t="s">
        <v>5275</v>
      </c>
      <c r="F3222" s="125"/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0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0</v>
      </c>
      <c r="R3222" s="115" t="s">
        <v>1013</v>
      </c>
      <c r="S3222" s="125"/>
    </row>
    <row r="3223" spans="1:19">
      <c r="A3223" s="124" t="s">
        <v>5276</v>
      </c>
      <c r="B3223" s="125" t="str">
        <f>IFERROR(VLOOKUP(Proc[[#This Row],[App]],Table2[],3,0),"open")</f>
        <v>open</v>
      </c>
      <c r="C3223" s="124" t="s">
        <v>370</v>
      </c>
      <c r="D3223" t="s">
        <v>5260</v>
      </c>
      <c r="E3223" t="s">
        <v>3402</v>
      </c>
      <c r="F3223" s="125"/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0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0</v>
      </c>
      <c r="R3223" s="115" t="s">
        <v>1013</v>
      </c>
      <c r="S3223" s="125"/>
    </row>
    <row r="3224" spans="1:19">
      <c r="A3224" s="124" t="s">
        <v>5276</v>
      </c>
      <c r="B3224" s="125" t="str">
        <f>IFERROR(VLOOKUP(Proc[[#This Row],[App]],Table2[],3,0),"open")</f>
        <v>open</v>
      </c>
      <c r="C3224" s="124" t="s">
        <v>370</v>
      </c>
      <c r="D3224" t="s">
        <v>5261</v>
      </c>
      <c r="E3224" t="s">
        <v>3402</v>
      </c>
      <c r="F3224" s="125"/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0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0</v>
      </c>
      <c r="R3224" s="115" t="s">
        <v>1013</v>
      </c>
      <c r="S3224" s="125"/>
    </row>
    <row r="3225" spans="1:19">
      <c r="A3225" s="124" t="s">
        <v>5276</v>
      </c>
      <c r="B3225" s="125" t="str">
        <f>IFERROR(VLOOKUP(Proc[[#This Row],[App]],Table2[],3,0),"open")</f>
        <v>open</v>
      </c>
      <c r="C3225" s="124" t="s">
        <v>370</v>
      </c>
      <c r="D3225" t="s">
        <v>5262</v>
      </c>
      <c r="E3225" t="s">
        <v>3402</v>
      </c>
      <c r="F3225" s="125"/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0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0</v>
      </c>
      <c r="R3225" s="115" t="s">
        <v>1013</v>
      </c>
      <c r="S3225" s="125"/>
    </row>
    <row r="3226" spans="1:19">
      <c r="A3226" s="124" t="s">
        <v>5276</v>
      </c>
      <c r="B3226" s="125" t="str">
        <f>IFERROR(VLOOKUP(Proc[[#This Row],[App]],Table2[],3,0),"open")</f>
        <v>open</v>
      </c>
      <c r="C3226" s="124" t="s">
        <v>370</v>
      </c>
      <c r="D3226" t="s">
        <v>5263</v>
      </c>
      <c r="E3226" t="s">
        <v>3746</v>
      </c>
      <c r="F3226" s="125"/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0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0</v>
      </c>
      <c r="R3226" s="115" t="s">
        <v>1013</v>
      </c>
      <c r="S3226" s="125"/>
    </row>
    <row r="3227" spans="1:19">
      <c r="A3227" s="124" t="s">
        <v>5276</v>
      </c>
      <c r="B3227" s="125" t="str">
        <f>IFERROR(VLOOKUP(Proc[[#This Row],[App]],Table2[],3,0),"open")</f>
        <v>open</v>
      </c>
      <c r="C3227" s="124" t="s">
        <v>370</v>
      </c>
      <c r="D3227" t="s">
        <v>5264</v>
      </c>
      <c r="E3227" t="s">
        <v>3402</v>
      </c>
      <c r="F3227" s="125"/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0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0</v>
      </c>
      <c r="R3227" s="115" t="s">
        <v>1013</v>
      </c>
      <c r="S3227" s="125"/>
    </row>
    <row r="3228" spans="1:19">
      <c r="A3228" s="124" t="s">
        <v>5276</v>
      </c>
      <c r="B3228" s="125" t="str">
        <f>IFERROR(VLOOKUP(Proc[[#This Row],[App]],Table2[],3,0),"open")</f>
        <v>open</v>
      </c>
      <c r="C3228" s="124" t="s">
        <v>370</v>
      </c>
      <c r="D3228" t="s">
        <v>5265</v>
      </c>
      <c r="E3228" t="s">
        <v>3746</v>
      </c>
      <c r="F3228" s="125"/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0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0</v>
      </c>
      <c r="R3228" s="115" t="s">
        <v>1013</v>
      </c>
      <c r="S3228" s="125"/>
    </row>
    <row r="3229" spans="1:19">
      <c r="A3229" s="124" t="s">
        <v>5276</v>
      </c>
      <c r="B3229" s="125" t="str">
        <f>IFERROR(VLOOKUP(Proc[[#This Row],[App]],Table2[],3,0),"open")</f>
        <v>open</v>
      </c>
      <c r="C3229" s="124" t="s">
        <v>370</v>
      </c>
      <c r="D3229" t="s">
        <v>5266</v>
      </c>
      <c r="E3229" t="s">
        <v>3402</v>
      </c>
      <c r="F3229" s="125"/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0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0</v>
      </c>
      <c r="R3229" s="115" t="s">
        <v>1013</v>
      </c>
      <c r="S3229" s="125"/>
    </row>
    <row r="3230" spans="1:19">
      <c r="A3230" s="124" t="s">
        <v>5276</v>
      </c>
      <c r="B3230" s="125" t="str">
        <f>IFERROR(VLOOKUP(Proc[[#This Row],[App]],Table2[],3,0),"open")</f>
        <v>open</v>
      </c>
      <c r="C3230" s="124" t="s">
        <v>370</v>
      </c>
      <c r="D3230" t="s">
        <v>5267</v>
      </c>
      <c r="E3230" t="s">
        <v>3402</v>
      </c>
      <c r="F3230" s="125"/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0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0</v>
      </c>
      <c r="R3230" s="115" t="s">
        <v>1013</v>
      </c>
      <c r="S3230" s="125"/>
    </row>
    <row r="3231" spans="1:19">
      <c r="A3231" s="124" t="s">
        <v>5276</v>
      </c>
      <c r="B3231" s="125" t="str">
        <f>IFERROR(VLOOKUP(Proc[[#This Row],[App]],Table2[],3,0),"open")</f>
        <v>open</v>
      </c>
      <c r="C3231" s="124" t="s">
        <v>370</v>
      </c>
      <c r="D3231" t="s">
        <v>5268</v>
      </c>
      <c r="E3231" t="s">
        <v>3402</v>
      </c>
      <c r="F3231" s="125"/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0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0</v>
      </c>
      <c r="R3231" s="115" t="s">
        <v>1013</v>
      </c>
      <c r="S3231" s="125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G2:G3231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2025-08-04T12:16:56Z</dcterms:modified>
  <cp:category/>
  <cp:contentStatus/>
</cp:coreProperties>
</file>