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97190161-F85E-42AC-846C-651C9E2C0D86}" xr6:coauthVersionLast="47" xr6:coauthVersionMax="47" xr10:uidLastSave="{00000000-0000-0000-0000-000000000000}"/>
  <bookViews>
    <workbookView minimized="1" xWindow="1500" yWindow="1464" windowWidth="13404" windowHeight="11124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25" i="1" l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/>
  <c r="Q4226" i="1"/>
  <c r="P4226" i="1"/>
  <c r="Q4227" i="1"/>
  <c r="P4227" i="1"/>
  <c r="Q4228" i="1"/>
  <c r="P4228" i="1"/>
  <c r="Q4229" i="1"/>
  <c r="P4229" i="1"/>
  <c r="Q4230" i="1"/>
  <c r="P4230" i="1"/>
  <c r="Q4231" i="1"/>
  <c r="P4231" i="1"/>
  <c r="Q4232" i="1"/>
  <c r="P4232" i="1"/>
  <c r="Q4233" i="1"/>
  <c r="P4233" i="1"/>
  <c r="Q4234" i="1"/>
  <c r="P4234" i="1"/>
  <c r="Q4235" i="1"/>
  <c r="P4235" i="1"/>
  <c r="Q4236" i="1"/>
  <c r="P4236" i="1"/>
  <c r="Q4237" i="1"/>
  <c r="P4237" i="1"/>
  <c r="Q4238" i="1"/>
  <c r="P4238" i="1"/>
  <c r="Q4239" i="1"/>
  <c r="P4239" i="1"/>
  <c r="Q4240" i="1"/>
  <c r="P4240" i="1"/>
  <c r="Q4241" i="1"/>
  <c r="P4241" i="1"/>
  <c r="Q4242" i="1"/>
  <c r="P4242" i="1"/>
  <c r="Q4243" i="1"/>
  <c r="P4243" i="1"/>
  <c r="Q4244" i="1"/>
  <c r="P4244" i="1"/>
  <c r="Q4245" i="1"/>
  <c r="P4245" i="1"/>
  <c r="Q4246" i="1"/>
  <c r="P4246" i="1"/>
  <c r="Q4247" i="1"/>
  <c r="P4247" i="1"/>
  <c r="Q4248" i="1"/>
  <c r="P4248" i="1"/>
  <c r="Q4249" i="1"/>
  <c r="P4249" i="1"/>
  <c r="Q4250" i="1"/>
  <c r="P4250" i="1"/>
  <c r="Q4251" i="1"/>
  <c r="P4251" i="1"/>
  <c r="Q4252" i="1"/>
  <c r="P4252" i="1"/>
  <c r="Q4253" i="1"/>
  <c r="P4253" i="1"/>
  <c r="Q4254" i="1"/>
  <c r="P4254" i="1"/>
  <c r="Q4255" i="1"/>
  <c r="P4255" i="1"/>
  <c r="Q4256" i="1"/>
  <c r="P4256" i="1"/>
  <c r="Q4257" i="1"/>
  <c r="P4257" i="1"/>
  <c r="Q4258" i="1"/>
  <c r="P4258" i="1"/>
  <c r="Q4259" i="1"/>
  <c r="P4259" i="1"/>
  <c r="Q4260" i="1"/>
  <c r="P4260" i="1"/>
  <c r="Q4261" i="1"/>
  <c r="P4261" i="1"/>
  <c r="Q4262" i="1"/>
  <c r="P4262" i="1"/>
  <c r="Q4263" i="1"/>
  <c r="P4263" i="1"/>
  <c r="Q4264" i="1"/>
  <c r="P4264" i="1"/>
  <c r="Q4265" i="1"/>
  <c r="P4265" i="1"/>
  <c r="Q4266" i="1"/>
  <c r="P4266" i="1"/>
  <c r="Q4267" i="1"/>
  <c r="P4267" i="1"/>
  <c r="Q4268" i="1"/>
  <c r="P4268" i="1"/>
  <c r="Q4269" i="1"/>
  <c r="P4269" i="1"/>
  <c r="Q4270" i="1"/>
  <c r="P4270" i="1"/>
  <c r="Q4271" i="1"/>
  <c r="P4271" i="1"/>
  <c r="Q4272" i="1"/>
  <c r="P4272" i="1"/>
  <c r="B4224" i="1"/>
  <c r="H4224" i="1"/>
  <c r="J4224" i="1"/>
  <c r="K4224" i="1"/>
  <c r="Q4224" i="1"/>
  <c r="P4224" i="1"/>
  <c r="B4223" i="1"/>
  <c r="H4223" i="1"/>
  <c r="J4223" i="1"/>
  <c r="K4223" i="1"/>
  <c r="Q4223" i="1"/>
  <c r="P4223" i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/>
  <c r="Q4212" i="1"/>
  <c r="P4212" i="1"/>
  <c r="Q4213" i="1"/>
  <c r="P4213" i="1"/>
  <c r="Q4214" i="1"/>
  <c r="P4214" i="1"/>
  <c r="Q4215" i="1"/>
  <c r="P4215" i="1"/>
  <c r="Q4216" i="1"/>
  <c r="P4216" i="1"/>
  <c r="Q4217" i="1"/>
  <c r="P4217" i="1"/>
  <c r="Q4218" i="1"/>
  <c r="P4218" i="1"/>
  <c r="Q4219" i="1"/>
  <c r="P4219" i="1"/>
  <c r="Q4220" i="1"/>
  <c r="P4220" i="1"/>
  <c r="Q4221" i="1"/>
  <c r="P4221" i="1"/>
  <c r="Q4222" i="1"/>
  <c r="P4222" i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/>
  <c r="Q4201" i="1"/>
  <c r="P4201" i="1"/>
  <c r="Q4202" i="1"/>
  <c r="P4202" i="1"/>
  <c r="Q4203" i="1"/>
  <c r="P4203" i="1"/>
  <c r="Q4204" i="1"/>
  <c r="P4204" i="1"/>
  <c r="Q4205" i="1"/>
  <c r="P4205" i="1"/>
  <c r="Q4206" i="1"/>
  <c r="P4206" i="1"/>
  <c r="Q4207" i="1"/>
  <c r="P4207" i="1"/>
  <c r="Q4208" i="1"/>
  <c r="P4208" i="1"/>
  <c r="Q4209" i="1"/>
  <c r="P4209" i="1"/>
  <c r="Q4210" i="1"/>
  <c r="P4210" i="1"/>
  <c r="B4199" i="1"/>
  <c r="H4199" i="1"/>
  <c r="K4199" i="1"/>
  <c r="Q4199" i="1"/>
  <c r="P4199" i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/>
  <c r="Q4197" i="1"/>
  <c r="P4197" i="1"/>
  <c r="Q4198" i="1"/>
  <c r="P419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/>
  <c r="Q4180" i="1"/>
  <c r="P4180" i="1"/>
  <c r="Q4181" i="1"/>
  <c r="P4181" i="1"/>
  <c r="Q4182" i="1"/>
  <c r="P4182" i="1"/>
  <c r="Q4183" i="1"/>
  <c r="P4183" i="1"/>
  <c r="Q4184" i="1"/>
  <c r="P4184" i="1"/>
  <c r="Q4185" i="1"/>
  <c r="P4185" i="1"/>
  <c r="Q4186" i="1"/>
  <c r="P4186" i="1"/>
  <c r="Q4187" i="1"/>
  <c r="P4187" i="1"/>
  <c r="Q4188" i="1"/>
  <c r="P4188" i="1"/>
  <c r="Q4189" i="1"/>
  <c r="P4189" i="1"/>
  <c r="Q4190" i="1"/>
  <c r="P4190" i="1"/>
  <c r="Q4191" i="1"/>
  <c r="P4191" i="1"/>
  <c r="Q4192" i="1"/>
  <c r="P4192" i="1"/>
  <c r="Q4193" i="1"/>
  <c r="P4193" i="1"/>
  <c r="Q4194" i="1"/>
  <c r="P4194" i="1"/>
  <c r="Q4195" i="1"/>
  <c r="P4195" i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/>
  <c r="Q4174" i="1"/>
  <c r="P4174" i="1"/>
  <c r="Q4175" i="1"/>
  <c r="P4175" i="1"/>
  <c r="Q4176" i="1"/>
  <c r="P4176" i="1"/>
  <c r="Q4177" i="1"/>
  <c r="P4177" i="1"/>
  <c r="Q4178" i="1"/>
  <c r="P4178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/>
  <c r="Q4164" i="1"/>
  <c r="P4164" i="1"/>
  <c r="Q4165" i="1"/>
  <c r="P4165" i="1"/>
  <c r="Q4166" i="1"/>
  <c r="P4166" i="1"/>
  <c r="Q4167" i="1"/>
  <c r="P4167" i="1"/>
  <c r="Q4168" i="1"/>
  <c r="P4168" i="1"/>
  <c r="Q4169" i="1"/>
  <c r="P4169" i="1"/>
  <c r="Q4170" i="1"/>
  <c r="P4170" i="1"/>
  <c r="Q4171" i="1"/>
  <c r="P4171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H4151" i="1"/>
  <c r="J4151" i="1"/>
  <c r="Q4151" i="1"/>
  <c r="P4151" i="1"/>
  <c r="H4150" i="1"/>
  <c r="J4150" i="1"/>
  <c r="Q4150" i="1"/>
  <c r="P4150" i="1"/>
  <c r="H4149" i="1"/>
  <c r="J4149" i="1"/>
  <c r="Q4149" i="1"/>
  <c r="P4149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Q4131" i="1"/>
  <c r="P4131" i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H4119" i="1"/>
  <c r="Q4119" i="1"/>
  <c r="P4119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H4005" i="1"/>
  <c r="J4005" i="1"/>
  <c r="Q4005" i="1"/>
  <c r="P4005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H3948" i="1"/>
  <c r="Q3948" i="1"/>
  <c r="P3948" i="1"/>
  <c r="H3947" i="1"/>
  <c r="J3947" i="1"/>
  <c r="Q3947" i="1"/>
  <c r="P3947" i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P3693" i="1"/>
  <c r="Q3692" i="1"/>
  <c r="P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<sst xmlns="http://schemas.openxmlformats.org/spreadsheetml/2006/main" count="38111" uniqueCount="6410">
  <si>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</si>
  <si>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</si>
  <si>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</si>
  <si>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</si>
  <si>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</si>
  <si>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</si>
  <si>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</si>
  <si>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</si>
  <si>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</si>
  <si>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</si>
  <si>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</si>
  <si>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</si>
  <si>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</si>
  <si>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</si>
  <si>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</si>
  <si>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</si>
  <si>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</si>
  <si>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</si>
  <si>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</si>
  <si>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</si>
  <si>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</si>
  <si>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</si>
  <si>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</si>
  <si>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</si>
  <si>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</si>
  <si>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</si>
  <si>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</si>
  <si>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</si>
  <si>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</si>
  <si>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</si>
  <si>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</si>
  <si>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</si>
  <si>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</si>
  <si>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</si>
  <si>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</si>
  <si>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</si>
  <si>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</si>
  <si>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</si>
  <si>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</si>
  <si>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</si>
  <si>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</si>
  <si>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</si>
  <si>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</si>
  <si>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</si>
  <si>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</si>
  <si>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</si>
  <si>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</si>
  <si>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</si>
  <si>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</si>
  <si>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</si>
  <si>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</si>
  <si>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</si>
  <si>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</si>
  <si>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</si>
  <si>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</si>
  <si>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</si>
  <si>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</si>
  <si>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</si>
  <si>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</si>
  <si>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</si>
  <si>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</si>
  <si>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</si>
  <si>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</si>
  <si>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</si>
  <si>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</si>
  <si>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</si>
  <si>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</si>
  <si>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</si>
  <si>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</si>
  <si>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</si>
  <si>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</si>
  <si>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</si>
  <si>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</si>
  <si>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</si>
  <si>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</si>
  <si>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</si>
  <si>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</si>
  <si>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</si>
  <si>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</si>
  <si>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</si>
  <si>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</si>
  <si>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</si>
  <si>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</si>
  <si>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</si>
  <si>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</si>
  <si>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</si>
  <si>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</si>
  <si>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</si>
  <si>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</si>
  <si>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</si>
  <si>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</si>
  <si>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</si>
  <si>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</si>
  <si>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</si>
  <si>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</si>
  <si>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</si>
  <si>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</si>
  <si>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</si>
  <si>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</si>
  <si>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</si>
  <si>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</si>
  <si>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</si>
  <si>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</si>
  <si>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</si>
  <si>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</si>
  <si>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</si>
  <si>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</si>
  <si>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</si>
  <si>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</si>
  <si>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</si>
  <si>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</si>
  <si>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</si>
  <si>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</si>
  <si>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</si>
  <si>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</si>
  <si>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</si>
  <si>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</si>
  <si>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</si>
  <si>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</si>
  <si>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</si>
  <si>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</si>
  <si>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</si>
  <si>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</si>
  <si>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</si>
  <si>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</si>
  <si>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</si>
  <si>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</si>
  <si>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</si>
  <si>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</si>
  <si>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</si>
  <si>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</si>
  <si>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</si>
  <si>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</si>
  <si>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</si>
  <si>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</si>
  <si>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</si>
  <si>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</si>
  <si>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</si>
  <si>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</si>
  <si>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</si>
  <si>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</si>
  <si>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</si>
  <si>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</si>
  <si>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</si>
  <si>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</si>
  <si>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</si>
  <si>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</si>
  <si>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</si>
  <si>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</si>
  <si>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</si>
  <si>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</si>
  <si>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</si>
  <si>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</si>
  <si>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</si>
  <si>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</si>
  <si>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</si>
  <si>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</si>
  <si>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</si>
  <si>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</si>
  <si>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</si>
  <si>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</si>
  <si>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</si>
  <si>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</si>
  <si>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</si>
  <si>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</si>
  <si>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</si>
  <si>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</si>
  <si>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</si>
  <si>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</si>
  <si>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</si>
  <si>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</si>
  <si>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</si>
  <si>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</si>
  <si>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</si>
  <si>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</si>
  <si>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</si>
  <si>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</si>
  <si>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</si>
  <si>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</si>
  <si>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</si>
  <si>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</si>
  <si>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</si>
  <si>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</si>
  <si>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</si>
  <si>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</si>
  <si>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</si>
  <si>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</si>
  <si>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</si>
  <si>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</si>
  <si>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</si>
  <si>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</si>
  <si>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</si>
  <si>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</si>
  <si>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</si>
  <si>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</si>
  <si>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</si>
  <si>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</si>
  <si>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</si>
  <si>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</si>
  <si>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</si>
  <si>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</si>
  <si>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</si>
  <si>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</si>
  <si>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</si>
  <si>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</si>
  <si>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</si>
  <si>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</si>
  <si>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</si>
  <si>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</si>
  <si>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</si>
  <si>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</si>
  <si>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</si>
  <si>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</si>
  <si>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</si>
  <si>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</si>
  <si>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</si>
  <si>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</si>
  <si>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</si>
  <si>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</si>
  <si>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</si>
  <si>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</si>
  <si>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</si>
  <si>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</si>
  <si>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</si>
  <si>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</si>
  <si>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</si>
  <si>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</si>
  <si>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</si>
  <si>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</si>
  <si>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</si>
  <si>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</si>
  <si>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</si>
  <si>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</si>
  <si>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</si>
  <si>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</si>
  <si>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</si>
  <si>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</si>
  <si>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</si>
  <si>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</si>
  <si>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</si>
  <si>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</si>
  <si>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</si>
  <si>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</si>
  <si>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</si>
  <si>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</si>
  <si>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</si>
  <si>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</si>
  <si>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</si>
  <si>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</si>
  <si>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</si>
  <si>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</si>
  <si>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</si>
  <si>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</si>
  <si>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</si>
  <si>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</si>
  <si>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</si>
  <si>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</si>
  <si>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</si>
  <si>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</si>
  <si>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</si>
  <si>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</si>
  <si>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</si>
  <si>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</si>
  <si>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</si>
  <si>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</si>
  <si>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</si>
  <si>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</si>
  <si>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</si>
  <si>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</si>
  <si>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</si>
  <si>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</si>
  <si>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</si>
  <si>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</si>
  <si>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</si>
  <si>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</si>
  <si>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</si>
  <si>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</si>
  <si>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</si>
  <si>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</si>
  <si>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</si>
  <si>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</si>
  <si>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</si>
  <si>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</si>
  <si>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</si>
  <si>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</si>
  <si>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</si>
  <si>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</si>
  <si>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</si>
  <si>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</si>
  <si>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</si>
  <si>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</si>
  <si>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</si>
  <si>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</si>
  <si>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</si>
  <si>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</si>
  <si>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</si>
  <si>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</si>
  <si>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</si>
  <si>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</si>
  <si>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</si>
  <si>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</si>
  <si>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</si>
  <si>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</si>
  <si>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</si>
  <si>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</si>
  <si>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</si>
  <si>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</si>
  <si>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</si>
  <si>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</si>
  <si>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</si>
  <si>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</si>
  <si>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</si>
  <si>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</si>
  <si>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</si>
  <si>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</si>
  <si>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</si>
  <si>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</si>
  <si>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</si>
  <si>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</si>
  <si>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</si>
  <si>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</si>
  <si>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</si>
  <si>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</si>
  <si>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</si>
  <si>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</si>
  <si>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</si>
  <si>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</si>
  <si>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</si>
  <si>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</si>
  <si>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</si>
  <si>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</si>
  <si>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</si>
  <si>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</si>
  <si>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</si>
  <si>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</si>
  <si>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</si>
  <si>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</si>
  <si>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</si>
  <si>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</si>
  <si>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</si>
  <si>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</si>
  <si>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</si>
  <si>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</si>
  <si>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</si>
  <si>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</si>
  <si>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</si>
  <si>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</si>
  <si>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</si>
  <si>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</si>
  <si>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</si>
  <si>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</si>
  <si>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</si>
  <si>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</si>
  <si>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</si>
  <si>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</si>
  <si>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</si>
  <si>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</si>
  <si>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</si>
  <si>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</si>
  <si>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</si>
  <si>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</si>
  <si>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</si>
  <si>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</si>
  <si>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</si>
  <si>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</si>
  <si>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</si>
  <si>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</si>
  <si>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</si>
  <si>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</si>
  <si>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</si>
  <si>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</si>
  <si>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</si>
  <si>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</si>
  <si>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</si>
  <si>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</si>
  <si>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</si>
  <si>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</si>
  <si>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</si>
  <si>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</si>
  <si>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</si>
  <si>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</si>
  <si>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</si>
  <si>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</si>
  <si>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</si>
  <si>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</si>
  <si>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</si>
  <si>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</si>
  <si>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</si>
  <si>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</si>
  <si>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</si>
  <si>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</si>
  <si>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</si>
  <si>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</si>
  <si>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</si>
  <si>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</si>
  <si>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</si>
  <si>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</si>
  <si>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</si>
  <si>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</si>
  <si>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</si>
  <si>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</si>
  <si>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</si>
  <si>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</si>
  <si>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</si>
  <si>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</si>
  <si>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</si>
  <si>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</si>
  <si>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</si>
  <si>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</si>
  <si>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</si>
  <si>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</si>
  <si>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</si>
  <si>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</si>
  <si>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</si>
  <si>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</si>
  <si>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</si>
  <si>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</si>
  <si>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</si>
  <si>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</si>
  <si>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</si>
  <si>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</si>
  <si>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</si>
  <si>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</si>
  <si>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</si>
  <si>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</si>
  <si>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</si>
  <si>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</si>
  <si>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</si>
  <si>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</si>
  <si>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</si>
  <si>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</si>
  <si>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</si>
  <si>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</si>
  <si>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</si>
  <si>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</si>
  <si>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</si>
  <si>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</si>
  <si>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</si>
  <si>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</si>
  <si>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</si>
  <si>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</si>
  <si>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</si>
  <si>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</si>
  <si>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</si>
  <si>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</si>
  <si>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</si>
  <si>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</si>
  <si>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</si>
  <si>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</si>
  <si>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</si>
  <si>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</si>
  <si>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</si>
  <si>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</si>
  <si>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</si>
  <si>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</si>
  <si>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</si>
  <si>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</si>
  <si>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</si>
  <si>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</si>
  <si>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</si>
  <si>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</si>
  <si>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</si>
  <si>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</si>
  <si>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</si>
  <si>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</si>
  <si>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</si>
  <si>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</si>
  <si>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</si>
  <si>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</si>
  <si>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</si>
  <si>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</si>
  <si>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</si>
  <si>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</si>
  <si>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</si>
  <si>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</si>
  <si>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</si>
  <si>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</si>
  <si>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</si>
  <si>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</si>
  <si>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</si>
  <si>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</si>
  <si>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</si>
  <si>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</si>
  <si>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</si>
  <si>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</si>
  <si>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</si>
  <si>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</si>
  <si>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</si>
  <si>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</si>
  <si>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</si>
  <si>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</si>
  <si>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</si>
  <si>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</si>
  <si>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</si>
  <si>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</si>
  <si>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</si>
  <si>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</si>
  <si>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</si>
  <si>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</si>
  <si>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</si>
  <si>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</si>
  <si>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</si>
  <si>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</si>
  <si>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</si>
  <si>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</si>
  <si>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</si>
  <si>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</si>
  <si>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</si>
  <si>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</si>
  <si>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</si>
  <si>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</si>
  <si>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</si>
  <si>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</si>
  <si>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</si>
  <si>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</si>
  <si>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</si>
  <si>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</si>
  <si>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</si>
  <si>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</si>
  <si>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</si>
  <si>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</si>
  <si>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</si>
  <si>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</si>
  <si>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</si>
  <si>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</si>
  <si>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</si>
  <si>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</si>
  <si>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</si>
  <si>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</si>
  <si>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</si>
  <si>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</si>
  <si>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</si>
  <si>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</si>
  <si>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</si>
  <si>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</si>
  <si>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</si>
  <si>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</si>
  <si>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</si>
  <si>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</si>
  <si>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</si>
  <si>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</si>
  <si>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</si>
  <si>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</si>
  <si>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</si>
  <si>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</si>
  <si>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</si>
  <si>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</si>
  <si>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</si>
  <si>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</si>
  <si>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</si>
  <si>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</si>
  <si>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</si>
  <si>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</si>
  <si>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</si>
  <si>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</si>
  <si>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</si>
  <si>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</si>
  <si>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</si>
  <si>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</si>
  <si>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</si>
  <si>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</si>
  <si>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</si>
  <si>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</si>
  <si>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</si>
  <si>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</si>
  <si>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</si>
  <si>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</si>
  <si>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</si>
  <si>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</si>
  <si>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</si>
  <si>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</si>
  <si>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</si>
  <si>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</si>
  <si>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</si>
  <si>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</si>
  <si>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</si>
  <si>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</si>
  <si>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</si>
  <si>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</si>
  <si>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</si>
  <si>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</si>
  <si>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</si>
  <si>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</si>
  <si>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</si>
  <si>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</si>
  <si>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</si>
  <si>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</si>
  <si>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</si>
  <si>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</si>
  <si>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</si>
  <si>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</si>
  <si>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</si>
  <si>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</si>
  <si>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</si>
  <si>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</si>
  <si>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</si>
  <si>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</si>
  <si>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</si>
  <si>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</si>
  <si>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</si>
  <si>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</si>
  <si>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</si>
  <si>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</si>
  <si>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</si>
  <si>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</si>
  <si>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</si>
  <si>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</si>
  <si>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</si>
  <si>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</si>
  <si>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</si>
  <si>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</si>
  <si>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</si>
  <si>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</si>
  <si>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</si>
  <si>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</si>
  <si>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</si>
  <si>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</si>
  <si>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</si>
  <si>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</si>
  <si>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</si>
  <si>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</si>
  <si>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</si>
  <si>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</si>
  <si>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</si>
  <si>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</si>
  <si>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</si>
  <si>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</si>
  <si>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</si>
  <si>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</si>
  <si>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</si>
  <si>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</si>
  <si>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</si>
  <si>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</si>
  <si>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</si>
  <si>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</si>
  <si>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</si>
  <si>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</si>
  <si>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</si>
  <si>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</si>
  <si>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</si>
  <si>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</si>
  <si>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</si>
  <si>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</si>
  <si>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</si>
  <si>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</si>
  <si>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</si>
  <si>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</si>
  <si>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</si>
  <si>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</si>
  <si>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</si>
  <si>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</si>
  <si>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</si>
  <si>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</si>
  <si>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</si>
  <si>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</si>
  <si>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</si>
  <si>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</si>
  <si>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</si>
  <si>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</si>
  <si>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</si>
  <si>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</si>
  <si>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</si>
  <si>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</si>
  <si>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</si>
  <si>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</si>
  <si>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</si>
  <si>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</si>
  <si>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</si>
  <si>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</si>
  <si>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</si>
  <si>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</si>
  <si>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</si>
  <si>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</si>
  <si>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</si>
  <si>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</si>
  <si>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</si>
  <si>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</si>
  <si>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</si>
  <si>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</si>
  <si>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</si>
  <si>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</si>
  <si>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</si>
  <si>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</si>
  <si>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</si>
  <si>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</si>
  <si>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</si>
  <si>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</si>
  <si>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</si>
  <si>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</si>
  <si>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</si>
  <si>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</si>
  <si>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</si>
  <si>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</si>
  <si>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</si>
  <si>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</si>
  <si>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</si>
  <si>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</si>
  <si>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</si>
  <si>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</si>
  <si>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</si>
  <si>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</si>
  <si>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</si>
  <si>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</si>
  <si>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</si>
  <si>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</si>
  <si>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</si>
  <si>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</si>
  <si>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</si>
  <si>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</si>
  <si>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</si>
  <si>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</si>
  <si>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</si>
  <si>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</si>
  <si>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</si>
  <si>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</si>
  <si>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</si>
  <si>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</si>
  <si>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</si>
  <si>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</si>
  <si>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</si>
  <si>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</si>
  <si>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</si>
  <si>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</si>
  <si>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</si>
  <si>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</si>
  <si>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</si>
  <si>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</si>
  <si>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</si>
  <si>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</si>
  <si>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</si>
  <si>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</si>
  <si>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</si>
  <si>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</si>
  <si>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</si>
  <si>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</si>
  <si>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</si>
  <si>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</si>
  <si>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</si>
  <si>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</si>
  <si>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</si>
  <si>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</si>
  <si>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</si>
  <si>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</si>
  <si>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</si>
  <si>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</si>
  <si>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</si>
  <si>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</si>
  <si>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</si>
  <si>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</si>
  <si>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</si>
  <si>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</si>
  <si>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</si>
  <si>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</si>
  <si>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</si>
  <si>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</si>
  <si>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</si>
  <si>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</si>
  <si>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</si>
  <si>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</si>
  <si>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</si>
  <si>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</si>
  <si>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</si>
  <si>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</si>
  <si>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</si>
  <si>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</si>
  <si>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</si>
  <si>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</si>
  <si>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</si>
  <si>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</si>
  <si>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</si>
  <si>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</si>
  <si>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</si>
  <si>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</si>
  <si>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</si>
  <si>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</si>
  <si>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</si>
  <si>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</si>
  <si>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</si>
  <si>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</si>
  <si>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</si>
  <si>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</si>
  <si>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</si>
  <si>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</si>
  <si>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</si>
  <si>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</si>
  <si>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</si>
  <si>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</si>
  <si>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</si>
  <si>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</si>
  <si>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</si>
  <si>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</si>
  <si>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</si>
  <si>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</si>
  <si>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</si>
  <si>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</si>
  <si>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</si>
  <si>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</si>
  <si>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</si>
  <si>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</si>
  <si>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</si>
  <si>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</si>
  <si>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</si>
  <si>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</si>
  <si>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</si>
  <si>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</si>
  <si>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</si>
  <si>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</si>
  <si>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</si>
  <si>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</si>
  <si>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</si>
  <si>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</si>
  <si>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</si>
  <si>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</si>
  <si>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</si>
  <si>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</si>
  <si>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</si>
  <si>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</si>
  <si>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</si>
  <si>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</si>
  <si>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</si>
  <si>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</si>
  <si>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</si>
  <si>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</si>
  <si>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</si>
  <si>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</si>
  <si>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</si>
  <si>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</si>
  <si>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</si>
  <si>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</si>
  <si>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</si>
  <si>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</si>
  <si>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</si>
  <si>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</si>
  <si>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</si>
  <si>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</si>
  <si>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</si>
  <si>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</si>
  <si>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</si>
  <si>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</si>
  <si>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</si>
  <si>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</si>
  <si>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</si>
  <si>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</si>
  <si>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</si>
  <si>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</si>
  <si>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</si>
  <si>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</si>
  <si>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</si>
  <si>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</si>
  <si>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</si>
  <si>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</si>
  <si>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</si>
  <si>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</si>
  <si>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</si>
  <si>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</si>
  <si>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</si>
  <si>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</si>
  <si>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</si>
  <si>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</si>
  <si>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</si>
  <si>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</si>
  <si>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</si>
  <si>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</si>
  <si>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</si>
  <si>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</si>
  <si>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</si>
  <si>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</si>
  <si>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</si>
  <si>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</si>
  <si>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</si>
  <si>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</si>
  <si>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</si>
  <si>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</si>
  <si>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</si>
  <si>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</si>
  <si>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</si>
  <si>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</si>
  <si>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</si>
  <si>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</si>
  <si>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</si>
  <si>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</si>
  <si>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</si>
  <si>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</si>
  <si>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</si>
  <si>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</si>
  <si>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</si>
  <si>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</si>
  <si>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</si>
  <si>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</si>
  <si>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</si>
  <si>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</si>
  <si>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</si>
  <si>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</si>
  <si>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</si>
  <si>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</si>
  <si>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</si>
  <si>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</si>
  <si>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</si>
  <si>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</si>
  <si>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</si>
  <si>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</si>
  <si>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</si>
  <si>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</si>
  <si>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</si>
  <si>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</si>
  <si>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</si>
  <si>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</si>
  <si>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</si>
  <si>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</si>
  <si>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</si>
  <si>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</si>
  <si>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</si>
  <si>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</si>
  <si>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</si>
  <si>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</si>
  <si>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</si>
  <si>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</si>
  <si>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</si>
  <si>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</si>
  <si>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</si>
  <si>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</si>
  <si>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</si>
  <si>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</si>
  <si>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</si>
  <si>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</si>
  <si>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</si>
  <si>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</si>
  <si>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</si>
  <si>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</si>
  <si>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</si>
  <si>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</si>
  <si>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</si>
  <si>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</si>
  <si>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</si>
  <si>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</si>
  <si>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</si>
  <si>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</si>
  <si>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</si>
  <si>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</si>
  <si>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</si>
  <si>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</si>
  <si>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</si>
  <si>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</si>
  <si>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</si>
  <si>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</si>
  <si>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</si>
  <si>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</si>
  <si>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</si>
  <si>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</si>
  <si>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</si>
  <si>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</si>
  <si>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</si>
  <si>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</si>
  <si>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</si>
  <si>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</si>
  <si>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</si>
  <si>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</si>
  <si>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</si>
  <si>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</si>
  <si>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</si>
  <si>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</si>
  <si>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</si>
  <si>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</si>
  <si>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</si>
  <si>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</si>
  <si>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</si>
  <si>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</si>
  <si>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</si>
  <si>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</si>
  <si>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</si>
  <si>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</si>
  <si>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</si>
  <si>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</si>
  <si>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</si>
  <si>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</si>
  <si>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</si>
  <si>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</si>
  <si>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</si>
  <si>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</si>
  <si>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</si>
  <si>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</si>
  <si>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</si>
  <si>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</si>
  <si>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</si>
  <si>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</si>
  <si>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</si>
  <si>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</si>
  <si>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</si>
  <si>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</si>
  <si>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</si>
  <si>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</si>
  <si>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</si>
  <si>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</si>
  <si>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</si>
  <si>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</si>
  <si>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</si>
  <si>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</si>
  <si>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</si>
  <si>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</si>
  <si>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</si>
  <si>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</si>
  <si>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</si>
  <si>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</si>
  <si>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</si>
  <si>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</si>
  <si>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</si>
  <si>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</si>
  <si>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</si>
  <si>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</si>
  <si>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</si>
  <si>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</si>
  <si>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</si>
  <si>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</si>
  <si>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</si>
  <si>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</si>
  <si>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</si>
  <si>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</si>
  <si>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</si>
  <si>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</si>
  <si>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</si>
  <si>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</si>
  <si>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</si>
  <si>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</si>
  <si>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</si>
  <si>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</si>
  <si>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</si>
  <si>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</si>
  <si>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</si>
  <si>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</si>
  <si>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</si>
  <si>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</si>
  <si>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</si>
  <si>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</si>
  <si>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</si>
  <si>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</si>
  <si>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</si>
  <si>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</si>
  <si>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</si>
  <si>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</si>
  <si>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</si>
  <si>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</si>
  <si>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</si>
  <si>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</si>
  <si>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</si>
  <si>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</si>
  <si>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</si>
  <si>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</si>
  <si>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</si>
  <si>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</si>
  <si>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</si>
  <si>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</si>
  <si>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</si>
  <si>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</si>
  <si>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</si>
  <si>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</si>
  <si>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</si>
  <si>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</si>
  <si>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</si>
  <si>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</si>
  <si>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</si>
  <si>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</si>
  <si>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</si>
  <si>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</si>
  <si>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</si>
  <si>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</si>
  <si>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</si>
  <si>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</si>
  <si>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</si>
  <si>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</si>
  <si>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</si>
  <si>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</si>
  <si>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</si>
  <si>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</si>
  <si>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</si>
  <si>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</si>
  <si>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</si>
  <si>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</si>
  <si>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</si>
  <si>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</si>
  <si>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</si>
  <si>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</si>
  <si>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</si>
  <si>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</si>
  <si>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</si>
  <si>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</si>
  <si>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</si>
  <si>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</si>
  <si>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</si>
  <si>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</si>
  <si>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</si>
  <si>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</si>
  <si>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</si>
  <si>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</si>
  <si>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</si>
  <si>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</si>
  <si>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</si>
  <si>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</si>
  <si>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</si>
  <si>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</si>
  <si>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</si>
  <si>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</si>
  <si>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</si>
  <si>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</si>
  <si>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</si>
  <si>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</si>
  <si>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</si>
  <si>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</si>
  <si>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</si>
  <si>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</si>
  <si>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</si>
  <si>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</si>
  <si>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</si>
  <si>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</si>
  <si>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</si>
  <si>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</si>
  <si>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</si>
  <si>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</si>
  <si>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</si>
  <si>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</si>
  <si>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</si>
  <si>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</si>
  <si>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</si>
  <si>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</si>
  <si>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</si>
  <si>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</si>
  <si>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</si>
  <si>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</si>
  <si>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</si>
  <si>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</si>
  <si>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</si>
  <si>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</si>
  <si>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</si>
  <si>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</si>
  <si>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</si>
  <si>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</si>
  <si>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</si>
  <si>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</si>
  <si>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</si>
  <si>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</si>
  <si>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</si>
  <si>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</si>
  <si>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</si>
  <si>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</si>
  <si>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</si>
  <si>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</si>
  <si>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</si>
  <si>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</si>
  <si>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</si>
  <si>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</si>
  <si>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</si>
  <si>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</si>
  <si>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</si>
  <si>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</si>
  <si>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</si>
  <si>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</si>
  <si>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</si>
  <si>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</si>
  <si>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</si>
  <si>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</si>
  <si>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</si>
  <si>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</si>
  <si>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</si>
  <si>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</si>
  <si>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</si>
  <si>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</si>
  <si>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</si>
  <si>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</si>
  <si>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</si>
  <si>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</si>
  <si>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</si>
  <si>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</si>
  <si>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</si>
  <si>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</si>
  <si>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</si>
  <si>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</si>
  <si>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</si>
  <si>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</si>
  <si>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</si>
  <si>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</si>
  <si>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</si>
  <si>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</si>
  <si>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</si>
  <si>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</si>
  <si>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</si>
  <si>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</si>
  <si>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</si>
  <si>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</si>
  <si>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</si>
  <si>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</si>
  <si>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</si>
  <si>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</si>
  <si>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</si>
  <si>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</si>
  <si>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</si>
  <si>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</si>
  <si>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</si>
  <si>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</si>
  <si>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</si>
  <si>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</si>
  <si>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</si>
  <si>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</si>
  <si>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</si>
  <si>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</si>
  <si>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</si>
  <si>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</si>
  <si>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</si>
  <si>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</si>
  <si>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</si>
  <si>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</si>
  <si>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</si>
  <si>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</si>
  <si>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</si>
  <si>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</si>
  <si>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</si>
  <si>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</si>
  <si>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</si>
  <si>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</si>
  <si>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</si>
  <si>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</si>
  <si>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</si>
  <si>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</si>
  <si>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</si>
  <si>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</si>
  <si>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</si>
  <si>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</si>
  <si>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</si>
  <si>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</si>
  <si>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</si>
  <si>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</si>
  <si>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</si>
  <si>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</si>
  <si>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</si>
  <si>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</si>
  <si>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</si>
  <si>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</si>
  <si>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</si>
  <si>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</si>
  <si>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</si>
  <si>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</si>
  <si>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</si>
  <si>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</si>
  <si>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</si>
  <si>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</si>
  <si>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</si>
  <si>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</si>
  <si>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</si>
  <si>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</si>
  <si>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</si>
  <si>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</si>
  <si>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</si>
  <si>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</si>
  <si>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</si>
  <si>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</si>
  <si>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</si>
  <si>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</si>
  <si>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</si>
  <si>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</si>
  <si>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</si>
  <si>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</si>
  <si>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</si>
  <si>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</si>
  <si>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</si>
  <si>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</si>
  <si>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</si>
  <si>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</si>
  <si>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</si>
  <si>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</si>
  <si>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</si>
  <si>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</si>
  <si>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</si>
  <si>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</si>
  <si>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</si>
  <si>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</si>
  <si>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</si>
  <si>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</si>
  <si>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</si>
  <si>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</si>
  <si>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</si>
  <si>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</si>
  <si>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</si>
  <si>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</si>
  <si>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</si>
  <si>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</si>
  <si>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</si>
  <si>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</si>
  <si>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</si>
  <si>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</si>
  <si>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</si>
  <si>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</si>
  <si>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</si>
  <si>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</si>
  <si>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</si>
  <si>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</si>
  <si>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</si>
  <si>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</si>
  <si>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</si>
  <si>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</si>
  <si>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</si>
  <si>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</si>
  <si>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</si>
  <si>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</si>
  <si>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</si>
  <si>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</si>
  <si>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</si>
  <si>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</si>
  <si>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</si>
  <si>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</si>
  <si>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</si>
  <si>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</si>
  <si>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</si>
  <si>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</si>
  <si>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</si>
  <si>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</si>
  <si>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</si>
  <si>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</si>
  <si>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</si>
  <si>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</si>
  <si>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</si>
  <si>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</si>
  <si>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</si>
  <si>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</si>
  <si>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</si>
  <si>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</si>
  <si>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</si>
  <si>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</si>
  <si>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</si>
  <si>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</si>
  <si>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</si>
  <si>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</si>
  <si>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</si>
  <si>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</si>
  <si>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</si>
  <si>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</si>
  <si>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</si>
  <si>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</si>
  <si>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</si>
  <si>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</si>
  <si>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</si>
  <si>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</si>
  <si>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</si>
  <si>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</si>
  <si>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</si>
  <si>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</si>
  <si>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</si>
  <si>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</si>
  <si>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</si>
  <si>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</si>
  <si>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</si>
  <si>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</si>
  <si>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</si>
  <si>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</si>
  <si>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</si>
  <si>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</si>
  <si>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</si>
  <si>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</si>
  <si>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</si>
  <si>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</si>
  <si>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</si>
  <si>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</si>
  <si>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</si>
  <si>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</si>
  <si>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</si>
  <si>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</si>
  <si>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</si>
  <si>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</si>
  <si>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</si>
  <si>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</si>
  <si>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</si>
  <si>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</si>
  <si>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</si>
  <si>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</si>
  <si>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</si>
  <si>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</si>
  <si>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</si>
  <si>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</si>
  <si>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</si>
  <si>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</si>
  <si>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</si>
  <si>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</si>
  <si>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</si>
  <si>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</si>
  <si>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</si>
  <si>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</si>
  <si>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</si>
  <si>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</si>
  <si>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</si>
  <si>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</si>
  <si>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</si>
  <si>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</si>
  <si>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</si>
  <si>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</si>
  <si>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</si>
  <si>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</si>
  <si>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</si>
  <si>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</si>
  <si>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</si>
  <si>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</si>
  <si>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</si>
  <si>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</si>
  <si>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</si>
  <si>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</si>
  <si>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</si>
  <si>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</si>
  <si>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</si>
  <si>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</si>
  <si>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</si>
  <si>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</si>
  <si>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</si>
  <si>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</si>
  <si>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</si>
  <si>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</si>
  <si>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</si>
  <si>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</si>
  <si>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</si>
  <si>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</si>
  <si>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</si>
  <si>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</si>
  <si>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</si>
  <si>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</si>
  <si>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</si>
  <si>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</si>
  <si>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</si>
  <si>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</si>
  <si>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</si>
  <si>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</si>
  <si>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</si>
  <si>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</si>
  <si>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</si>
  <si>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</si>
  <si>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</si>
  <si>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</si>
  <si>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</si>
  <si>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</si>
  <si>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</si>
  <si>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</si>
  <si>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</si>
  <si>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</si>
  <si>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</si>
  <si>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</si>
  <si>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</si>
  <si>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</si>
  <si>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</si>
  <si>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</si>
  <si>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</si>
  <si>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</si>
  <si>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</si>
  <si>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</si>
  <si>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</si>
  <si>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</si>
  <si>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</si>
  <si>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</si>
  <si>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</si>
  <si>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</si>
  <si>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</si>
  <si>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</si>
  <si>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</si>
  <si>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</si>
  <si>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</si>
  <si>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</si>
  <si>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</si>
  <si>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</si>
  <si>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</si>
  <si>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</si>
  <si>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</si>
  <si>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</si>
  <si>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</si>
  <si>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</si>
  <si>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</si>
  <si>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</si>
  <si>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</si>
  <si>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</si>
  <si>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</si>
  <si>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</si>
  <si>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</si>
  <si>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</si>
  <si>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</si>
  <si>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</si>
  <si>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</si>
  <si>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</si>
  <si>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</si>
  <si>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</si>
  <si>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</si>
  <si>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</si>
  <si>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</si>
  <si>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</si>
  <si>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</si>
  <si>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</si>
  <si>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</si>
  <si>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</si>
  <si>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</si>
  <si>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</si>
  <si>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</si>
  <si>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</si>
  <si>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</si>
  <si>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</si>
  <si>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</si>
  <si>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</si>
  <si>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</si>
  <si>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</si>
  <si>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</si>
  <si>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</si>
  <si>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</si>
  <si>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</si>
  <si>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</si>
  <si>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</si>
  <si>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</si>
  <si>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</si>
  <si>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</si>
  <si>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</si>
  <si>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</si>
  <si>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</si>
  <si>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</si>
  <si>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</si>
  <si>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</si>
  <si>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</si>
  <si>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</si>
  <si>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</si>
  <si>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</si>
  <si>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</si>
  <si>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</si>
  <si>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</si>
  <si>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</si>
  <si>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</si>
  <si>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</si>
  <si>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</si>
  <si>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</si>
  <si>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</si>
  <si>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</si>
  <si>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</si>
  <si>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</si>
  <si>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</si>
  <si>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</si>
  <si>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</si>
  <si>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</si>
  <si>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</si>
  <si>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</si>
  <si>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</si>
  <si>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</si>
  <si>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</si>
  <si>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</si>
  <si>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</si>
  <si>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</si>
  <si>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</si>
  <si>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</si>
  <si>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</si>
  <si>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</si>
  <si>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</si>
  <si>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</si>
  <si>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</si>
  <si>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</si>
  <si>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</si>
  <si>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</si>
  <si>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</si>
  <si>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</si>
  <si>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</si>
  <si>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</si>
  <si>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</si>
  <si>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</si>
  <si>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</si>
  <si>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</si>
  <si>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</si>
  <si>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</si>
  <si>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</si>
  <si>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</si>
  <si>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</si>
  <si>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</si>
  <si>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</si>
  <si>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</si>
  <si>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</si>
  <si>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</si>
  <si>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</si>
  <si>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</si>
  <si>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</si>
  <si>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</si>
  <si>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</si>
  <si>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</si>
  <si>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</si>
  <si>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</si>
  <si>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</si>
  <si>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</si>
  <si>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</si>
  <si>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</si>
  <si>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</si>
  <si>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</si>
  <si>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</si>
  <si>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</si>
  <si>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</si>
  <si>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</si>
  <si>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</si>
  <si>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</si>
  <si>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</si>
  <si>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</si>
  <si>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</si>
  <si>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</si>
  <si>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</si>
  <si>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</si>
  <si>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</si>
  <si>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</si>
  <si>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</si>
  <si>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</si>
  <si>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</si>
  <si>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</si>
  <si>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</si>
  <si>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</si>
  <si>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</si>
  <si>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</si>
  <si>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</si>
  <si>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</si>
  <si>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</si>
  <si>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</si>
  <si>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</si>
  <si>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</si>
  <si>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</si>
  <si>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</si>
  <si>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</si>
  <si>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</si>
  <si>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</si>
  <si>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</si>
  <si>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</si>
  <si>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</si>
  <si>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</si>
  <si>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</si>
  <si>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</si>
  <si>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</si>
  <si>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</si>
  <si>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</si>
  <si>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</si>
  <si>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</si>
  <si>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</si>
  <si>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</si>
  <si>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</si>
  <si>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</si>
  <si>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</si>
  <si>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</si>
  <si>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</si>
  <si>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</si>
  <si>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</si>
  <si>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</si>
  <si>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</si>
  <si>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</si>
  <si>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</si>
  <si>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</si>
  <si>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</si>
  <si>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</si>
  <si>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</si>
  <si>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</si>
  <si>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</si>
  <si>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</si>
  <si>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</si>
  <si>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</si>
  <si>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</si>
  <si>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</si>
  <si>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</si>
  <si>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</si>
  <si>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</si>
  <si>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</si>
  <si>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</si>
  <si>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</si>
  <si>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</si>
  <si>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</si>
  <si>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</si>
  <si>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</si>
  <si>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</si>
  <si>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</si>
  <si>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</si>
  <si>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</si>
  <si>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</si>
  <si>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</si>
  <si>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</si>
  <si>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</si>
  <si>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</si>
  <si>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</si>
  <si>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</si>
  <si>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</si>
  <si>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</si>
  <si>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</si>
  <si>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</si>
  <si>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</si>
  <si>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</si>
  <si>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</si>
  <si>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</si>
  <si>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</si>
  <si>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</si>
  <si>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</si>
  <si>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</si>
  <si>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</si>
  <si>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</si>
  <si>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</si>
  <si>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</si>
  <si>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</si>
  <si>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</si>
  <si>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</si>
  <si>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</si>
  <si>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</si>
  <si>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</si>
  <si>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</si>
  <si>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</si>
  <si>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</si>
  <si>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</si>
  <si>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</si>
  <si>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</si>
  <si>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</si>
  <si>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</si>
  <si>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</si>
  <si>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</si>
  <si>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</si>
  <si>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</si>
  <si>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</si>
  <si>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</si>
  <si>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</si>
  <si>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</si>
  <si>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</si>
  <si>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</si>
  <si>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</si>
  <si>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</si>
  <si>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</si>
  <si>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</si>
  <si>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</si>
  <si>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</si>
  <si>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</si>
  <si>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</si>
  <si>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</si>
  <si>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</si>
  <si>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</si>
  <si>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</si>
  <si>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</si>
  <si>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</si>
  <si>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</si>
  <si>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</si>
  <si>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</si>
  <si>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</si>
  <si>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</si>
  <si>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</si>
  <si>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</si>
  <si>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</si>
  <si>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</si>
  <si>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</si>
  <si>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</si>
  <si>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</si>
  <si>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</si>
  <si>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</si>
  <si>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</si>
  <si>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</si>
  <si>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</si>
  <si>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</si>
  <si>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</si>
  <si>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</si>
  <si>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</si>
  <si>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</si>
  <si>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</si>
  <si>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</si>
  <si>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</si>
  <si>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</si>
  <si>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</si>
  <si>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</si>
  <si>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</si>
  <si>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</si>
  <si>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</si>
  <si>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</si>
  <si>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</si>
  <si>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</si>
  <si>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</si>
  <si>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</si>
  <si>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</si>
  <si>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</si>
  <si>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</si>
  <si>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</si>
  <si>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</si>
  <si>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</si>
  <si>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</si>
  <si>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</si>
  <si>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</si>
  <si>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</si>
  <si>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</si>
  <si>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</si>
  <si>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</si>
  <si>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</si>
  <si>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</si>
  <si>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</si>
  <si>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</si>
  <si>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</si>
  <si>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</si>
  <si>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</si>
  <si>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</si>
  <si>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</si>
  <si>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</si>
  <si>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</si>
  <si>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</si>
  <si>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</si>
  <si>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</si>
  <si>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</si>
  <si>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</si>
  <si>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</si>
  <si>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</si>
  <si>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</si>
  <si>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</si>
  <si>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</si>
  <si>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</si>
  <si>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</si>
  <si>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</si>
  <si>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</si>
  <si>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</si>
  <si>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</si>
  <si>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</si>
  <si>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</si>
  <si>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</si>
  <si>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</si>
  <si>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</si>
  <si>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</si>
  <si>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</si>
  <si>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</si>
  <si>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</si>
  <si>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</si>
  <si>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</si>
  <si>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</si>
  <si>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</si>
  <si>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</si>
  <si>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</si>
  <si>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</si>
  <si>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</si>
  <si>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</si>
  <si>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</si>
  <si>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</si>
  <si>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</si>
  <si>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</si>
  <si>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</si>
  <si>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</si>
  <si>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</si>
  <si>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</si>
  <si>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</si>
  <si>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</si>
  <si>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</si>
  <si>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</si>
  <si>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</si>
  <si>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</si>
  <si>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</si>
  <si>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</si>
  <si>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</si>
  <si>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</si>
  <si>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</si>
  <si>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</si>
  <si>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</si>
  <si>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</si>
  <si>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</si>
  <si>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</si>
  <si>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</si>
  <si>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</si>
  <si>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</si>
  <si>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</si>
  <si>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</si>
  <si>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</si>
  <si>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</si>
  <si>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</si>
  <si>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</si>
  <si>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</si>
  <si>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</si>
  <si>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</si>
  <si>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</si>
  <si>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</si>
  <si>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</si>
  <si>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</si>
  <si>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</si>
  <si>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</si>
  <si>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</si>
  <si>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</si>
  <si>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</si>
  <si>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</si>
  <si>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</si>
  <si>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</si>
  <si>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</si>
  <si>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</si>
  <si>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</si>
  <si>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</si>
  <si>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</si>
  <si>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</si>
  <si>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</si>
  <si>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</si>
  <si>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</si>
  <si>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</si>
  <si>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</si>
  <si>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</si>
  <si>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</si>
  <si>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</si>
  <si>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</si>
  <si>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</si>
  <si>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</si>
  <si>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</si>
  <si>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</si>
  <si>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</si>
  <si>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</si>
  <si>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</si>
  <si>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</si>
  <si>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</si>
  <si>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</si>
  <si>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</si>
  <si>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</si>
  <si>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</si>
  <si>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</si>
  <si>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</si>
  <si>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</si>
  <si>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</si>
  <si>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</si>
  <si>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</si>
  <si>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</si>
  <si>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</si>
  <si>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</si>
  <si>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</si>
  <si>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</si>
  <si>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</si>
  <si>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</si>
  <si>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</si>
  <si>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</si>
  <si>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</si>
  <si>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</si>
  <si>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</si>
  <si>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</si>
  <si>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</si>
  <si>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</si>
  <si>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</si>
  <si>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</si>
  <si>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</si>
  <si>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</si>
  <si>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</si>
  <si>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</si>
  <si>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</si>
  <si>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</si>
  <si>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</si>
  <si>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</si>
  <si>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</si>
  <si>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</si>
  <si>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</si>
  <si>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</si>
  <si>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</si>
  <si>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</si>
  <si>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</si>
  <si>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</si>
  <si>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</si>
  <si>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</si>
  <si>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</si>
  <si>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</si>
  <si>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</si>
  <si>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</si>
  <si>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</si>
  <si>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</si>
  <si>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</si>
  <si>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</si>
  <si>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</si>
  <si>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</si>
  <si>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</si>
  <si>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</si>
  <si>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</si>
  <si>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</si>
  <si>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</si>
  <si>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</si>
  <si>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</si>
  <si>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</si>
  <si>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</si>
  <si>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</si>
  <si>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</si>
  <si>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</si>
  <si>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</si>
  <si>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</si>
  <si>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</si>
  <si>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</si>
  <si>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</si>
  <si>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</si>
  <si>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</si>
  <si>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</si>
  <si>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</si>
  <si>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</si>
  <si>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</si>
  <si>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</si>
  <si>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</si>
  <si>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</si>
  <si>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</si>
  <si>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</si>
  <si>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</si>
  <si>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</si>
  <si>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</si>
  <si>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</si>
  <si>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</si>
  <si>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</si>
  <si>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</si>
  <si>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</si>
  <si>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</si>
  <si>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</si>
  <si>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</si>
  <si>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</si>
  <si>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</si>
  <si>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</si>
  <si>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</si>
  <si>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</si>
  <si>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</si>
  <si>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</si>
  <si>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</si>
  <si>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</si>
  <si>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</si>
  <si>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</si>
  <si>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</si>
  <si>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</si>
  <si>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</si>
  <si>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</si>
  <si>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</si>
  <si>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</si>
  <si>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</si>
  <si>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</si>
  <si>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</si>
  <si>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</si>
  <si>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</si>
  <si>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</si>
  <si>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</si>
  <si>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</si>
  <si>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</si>
  <si>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</si>
  <si>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</si>
  <si>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</si>
  <si>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</si>
  <si>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</si>
  <si>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</si>
  <si>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</si>
  <si>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</si>
  <si>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</si>
  <si>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</si>
  <si>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</si>
  <si>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</si>
  <si>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</si>
  <si>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</si>
  <si>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</si>
  <si>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</si>
  <si>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</si>
  <si>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</si>
  <si>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</si>
  <si>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</si>
  <si>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</si>
  <si>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</si>
  <si>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</si>
  <si>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</si>
  <si>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</si>
  <si>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</si>
  <si>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</si>
  <si>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</si>
  <si>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</si>
  <si>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</si>
  <si>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</si>
  <si>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</si>
  <si>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</si>
  <si>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</si>
  <si>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</si>
  <si>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</si>
  <si>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</si>
  <si>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</si>
  <si>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</si>
  <si>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</si>
  <si>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</si>
  <si>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</si>
  <si>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</si>
  <si>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</si>
  <si>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</si>
  <si>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</si>
  <si>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</si>
  <si>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</si>
  <si>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</si>
  <si>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</si>
  <si>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</si>
  <si>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</si>
  <si>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</si>
  <si>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</si>
  <si>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</si>
  <si>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</si>
  <si>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</si>
  <si>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</si>
  <si>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</si>
  <si>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</si>
  <si>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</si>
  <si>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</si>
  <si>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</si>
  <si>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</si>
  <si>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</si>
  <si>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</si>
  <si>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</si>
  <si>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</si>
  <si>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</si>
  <si>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</si>
  <si>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</si>
  <si>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</si>
  <si>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</si>
  <si>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</si>
  <si>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</si>
  <si>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</si>
  <si>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</si>
  <si>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</si>
  <si>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</si>
  <si>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</si>
  <si>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</si>
  <si>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</si>
  <si>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</si>
  <si>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</si>
  <si>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</si>
  <si>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</si>
  <si>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</si>
  <si>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</si>
  <si>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</si>
  <si>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</si>
  <si>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</si>
  <si>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</si>
  <si>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</si>
  <si>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</si>
  <si>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</si>
  <si>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</si>
  <si>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</si>
  <si>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</si>
  <si>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</si>
  <si>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</si>
  <si>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</si>
  <si>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</si>
  <si>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</si>
  <si>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</si>
  <si>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</si>
  <si>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</si>
  <si>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</si>
  <si>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</si>
  <si>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</si>
  <si>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</si>
  <si>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</si>
  <si>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</si>
  <si>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</si>
  <si>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</si>
  <si>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</si>
  <si>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</si>
  <si>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</si>
  <si>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</si>
  <si>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</si>
  <si>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</si>
  <si>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</si>
  <si>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</si>
  <si>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</si>
  <si>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</si>
  <si>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</si>
  <si>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</si>
  <si>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</si>
  <si>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</si>
  <si>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</si>
  <si>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</si>
  <si>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</si>
  <si>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</si>
  <si>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</si>
  <si>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</si>
  <si>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</si>
  <si>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</si>
  <si>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</si>
  <si>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</si>
  <si>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</si>
  <si>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</si>
  <si>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</si>
  <si>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</si>
  <si>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</si>
  <si>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</si>
  <si>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</si>
  <si>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</si>
  <si>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</si>
  <si>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</si>
  <si>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</si>
  <si>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</si>
  <si>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</si>
  <si>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</si>
  <si>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</si>
  <si>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</si>
  <si>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</si>
  <si>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</si>
  <si>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</si>
  <si>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</si>
  <si>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</si>
  <si>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</si>
  <si>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</si>
  <si>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</si>
  <si>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</si>
  <si>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</si>
  <si>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</si>
  <si>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</si>
  <si>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</si>
  <si>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</si>
  <si>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</si>
  <si>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</si>
  <si>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</si>
  <si>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</si>
  <si>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</si>
  <si>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</si>
  <si>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</si>
  <si>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</si>
  <si>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</si>
  <si>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</si>
  <si>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</si>
  <si>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</si>
  <si>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</si>
  <si>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</si>
  <si>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</si>
  <si>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</si>
  <si>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</si>
  <si>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</si>
  <si>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</si>
  <si>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</si>
  <si>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</si>
  <si>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</si>
  <si>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</si>
  <si>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</si>
  <si>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</si>
  <si>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</si>
  <si>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</si>
  <si>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</si>
  <si>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</si>
  <si>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</si>
  <si>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</si>
  <si>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</si>
  <si>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</si>
  <si>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</si>
  <si>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</si>
  <si>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</si>
  <si>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</si>
  <si>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</si>
  <si>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</si>
  <si>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</si>
  <si>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</si>
  <si>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</si>
  <si>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</si>
  <si>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</si>
  <si>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</si>
  <si>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</si>
  <si>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</si>
  <si>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</si>
  <si>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</si>
  <si>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</si>
  <si>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</si>
  <si>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</si>
  <si>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</si>
  <si>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</si>
  <si>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</si>
  <si>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</si>
  <si>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</si>
  <si>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</si>
  <si>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</si>
  <si>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</si>
  <si>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</si>
  <si>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</si>
  <si>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</si>
  <si>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</si>
  <si>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</si>
  <si>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</si>
  <si>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</si>
  <si>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</si>
  <si>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</si>
  <si>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</si>
  <si>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</si>
  <si>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</si>
  <si>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</si>
  <si>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</si>
  <si>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</si>
  <si>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</si>
  <si>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</si>
  <si>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</si>
  <si>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</si>
  <si>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</si>
  <si>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</si>
  <si>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</si>
  <si>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</si>
  <si>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</si>
  <si>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</si>
  <si>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</si>
  <si>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</si>
  <si>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</si>
  <si>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</si>
  <si>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</si>
  <si>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</si>
  <si>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</si>
  <si>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</si>
  <si>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</si>
  <si>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</si>
  <si>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</si>
  <si>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</si>
  <si>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</si>
  <si>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</si>
  <si>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</si>
  <si>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</si>
  <si>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</si>
  <si>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</si>
  <si>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</si>
  <si>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</si>
  <si>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</si>
  <si>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</si>
  <si>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</si>
  <si>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</si>
  <si>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</si>
  <si>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</si>
  <si>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</si>
  <si>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</si>
  <si>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</si>
  <si>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</si>
  <si>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</si>
  <si>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</si>
  <si>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</si>
  <si>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</si>
  <si>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</si>
  <si>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</si>
  <si>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</si>
  <si>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</si>
  <si>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</si>
  <si>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</si>
  <si>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</si>
  <si>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</si>
  <si>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</si>
  <si>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</si>
  <si>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</si>
  <si>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</si>
  <si>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</si>
  <si>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</si>
  <si>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</si>
  <si>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</si>
  <si>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</si>
  <si>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</si>
  <si>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</si>
  <si>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</si>
  <si>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</si>
  <si>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</si>
  <si>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</si>
  <si>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</si>
  <si>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</si>
  <si>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</si>
  <si>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</si>
  <si>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</si>
  <si>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</si>
  <si>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</si>
  <si>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</si>
  <si>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</si>
  <si>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</si>
  <si>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</si>
  <si>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</si>
  <si>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</si>
  <si>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</si>
  <si>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</si>
  <si>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</si>
  <si>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</si>
  <si>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</si>
  <si>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</si>
  <si>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</si>
  <si>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</si>
  <si>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</si>
  <si>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</si>
  <si>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</si>
  <si>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</si>
  <si>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</si>
  <si>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</si>
  <si>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</si>
  <si>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</si>
  <si>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</si>
  <si>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</si>
  <si>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</si>
  <si>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</si>
  <si>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</si>
  <si>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</si>
  <si>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</si>
  <si>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</si>
  <si>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</si>
  <si>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</si>
  <si>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</si>
  <si>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</si>
  <si>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</si>
  <si>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</si>
  <si>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</si>
  <si>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</si>
  <si>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</si>
  <si>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</si>
  <si>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</si>
  <si>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</si>
  <si>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</si>
  <si>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</si>
  <si>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</si>
  <si>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</si>
  <si>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</si>
  <si>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</si>
  <si>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</si>
  <si>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</si>
  <si>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</si>
  <si>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</si>
  <si>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</si>
  <si>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</si>
  <si>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</si>
  <si>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</si>
  <si>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</si>
  <si>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</si>
  <si>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</si>
  <si>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</si>
  <si>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</si>
  <si>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</si>
  <si>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</si>
  <si>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</si>
  <si>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</si>
  <si>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</si>
  <si>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</si>
  <si>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</si>
  <si>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</si>
  <si>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</si>
  <si>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</si>
  <si>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</si>
  <si>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</si>
  <si>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</si>
  <si>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</si>
  <si>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</si>
  <si>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</si>
  <si>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</si>
  <si>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</si>
  <si>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</si>
  <si>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</si>
  <si>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</si>
  <si>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</si>
  <si>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</si>
  <si>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</si>
  <si>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</si>
  <si>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</si>
  <si>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</si>
  <si>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</si>
  <si>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</si>
  <si>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</si>
  <si>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</si>
  <si>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</si>
  <si>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</si>
  <si>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</si>
  <si>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</si>
  <si>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</si>
  <si>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</si>
  <si>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</si>
  <si>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</si>
  <si>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</si>
  <si>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</si>
  <si>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</si>
  <si>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</si>
  <si>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</si>
  <si>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</si>
  <si>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</si>
  <si>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</si>
  <si>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</si>
  <si>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</si>
  <si>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</si>
  <si>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</si>
  <si>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</si>
  <si>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</si>
  <si>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</si>
  <si>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</si>
  <si>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</si>
  <si>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</si>
  <si>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</si>
  <si>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</si>
  <si>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</si>
  <si>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</si>
  <si>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</si>
  <si>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</si>
  <si>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</si>
  <si>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</si>
  <si>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</si>
  <si>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</si>
  <si>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</si>
  <si>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</si>
  <si>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</si>
  <si>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</si>
  <si>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</si>
  <si>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</si>
  <si>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</si>
  <si>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</si>
  <si>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</si>
  <si>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</si>
  <si>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</si>
  <si>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</si>
  <si>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</si>
  <si>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</si>
  <si>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</si>
  <si>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</si>
  <si>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</si>
  <si>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</si>
  <si>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</si>
  <si>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</si>
  <si>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</si>
  <si>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</si>
  <si>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</si>
  <si>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</si>
  <si>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</si>
  <si>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</si>
  <si>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</si>
  <si>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</si>
  <si>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</si>
  <si>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</si>
  <si>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</si>
  <si>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</si>
  <si>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</si>
  <si>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</si>
  <si>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</si>
  <si>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</si>
  <si>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</si>
  <si>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</si>
  <si>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</si>
  <si>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</si>
  <si>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</si>
  <si>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</si>
  <si>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</si>
  <si>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</si>
  <si>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</si>
  <si>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</si>
  <si>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</si>
  <si>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</si>
  <si>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</si>
  <si>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</si>
  <si>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</si>
  <si>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</si>
  <si>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</si>
  <si>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</si>
  <si>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</si>
  <si>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</si>
  <si>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</si>
  <si>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</si>
  <si>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</si>
  <si>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</si>
  <si>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</si>
  <si>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</si>
  <si>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</si>
  <si>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</si>
  <si>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</si>
  <si>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</si>
  <si>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</si>
  <si>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</si>
  <si>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</si>
  <si>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</si>
  <si>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</si>
  <si>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</si>
  <si>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</si>
  <si>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</si>
  <si>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</si>
  <si>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</si>
  <si>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</si>
  <si>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</si>
  <si>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</si>
  <si>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</si>
  <si>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</si>
  <si>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</si>
  <si>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</si>
  <si>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</si>
  <si>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</si>
  <si>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</si>
  <si>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</si>
  <si>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</si>
  <si>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</si>
  <si>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</si>
  <si>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</si>
  <si>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</si>
  <si>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</si>
  <si>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</si>
  <si>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</si>
  <si>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</si>
  <si>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</si>
  <si>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</si>
  <si>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</si>
  <si>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</si>
  <si>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</si>
  <si>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</si>
  <si>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</si>
  <si>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</si>
  <si>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</si>
  <si>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</si>
  <si>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</si>
  <si>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</si>
  <si>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</si>
  <si>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</si>
  <si>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</si>
  <si>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</si>
  <si>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</si>
  <si>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</si>
  <si>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</si>
  <si>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</si>
  <si>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</si>
  <si>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</si>
  <si>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</si>
  <si>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</si>
  <si>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</si>
  <si>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</si>
  <si>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</si>
  <si>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</si>
  <si>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</si>
  <si>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</si>
  <si>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</si>
  <si>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</si>
  <si>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</si>
  <si>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</si>
  <si>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</si>
  <si>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</si>
  <si>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</si>
  <si>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</si>
  <si>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</si>
  <si>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</si>
  <si>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</si>
  <si>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</si>
  <si>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</si>
  <si>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</si>
  <si>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</si>
  <si>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</si>
  <si>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</si>
  <si>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</si>
  <si>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</si>
  <si>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</si>
  <si>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</si>
  <si>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</si>
  <si>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</si>
  <si>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</si>
  <si>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</si>
  <si>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</si>
  <si>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</si>
  <si>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</si>
  <si>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</si>
  <si>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</si>
  <si>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</si>
  <si>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</si>
  <si>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</si>
  <si>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</si>
  <si>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</si>
  <si>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</si>
  <si>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</si>
  <si>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</si>
  <si>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</si>
  <si>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</si>
  <si>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</si>
  <si>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</si>
  <si>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</si>
  <si>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</si>
  <si>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</si>
  <si>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</si>
  <si>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</si>
  <si>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</si>
  <si>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</si>
  <si>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</si>
  <si>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</si>
  <si>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</si>
  <si>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</si>
  <si>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</si>
  <si>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</si>
  <si>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</si>
  <si>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</si>
  <si>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</si>
  <si>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</si>
  <si>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</si>
  <si>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</si>
  <si>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</si>
  <si>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</si>
  <si>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</si>
  <si>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</si>
  <si>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</si>
  <si>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</si>
  <si>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</si>
  <si>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</si>
  <si>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</si>
  <si>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</si>
  <si>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</si>
  <si>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</si>
  <si>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</si>
  <si>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</si>
  <si>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</si>
  <si>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</si>
  <si>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</si>
  <si>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</si>
  <si>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</si>
  <si>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</si>
  <si>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</si>
  <si>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</si>
  <si>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</si>
  <si>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</si>
  <si>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</si>
  <si>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</si>
  <si>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</si>
  <si>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</si>
  <si>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</si>
  <si>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</si>
  <si>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</si>
  <si>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</si>
  <si>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</si>
  <si>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</si>
  <si>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</si>
  <si>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</si>
  <si>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</si>
  <si>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</si>
  <si>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</si>
  <si>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</si>
  <si>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</si>
  <si>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</si>
  <si>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</si>
  <si>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</si>
  <si>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</si>
  <si>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</si>
  <si>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</si>
  <si>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</si>
  <si>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</si>
  <si>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</si>
  <si>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</si>
  <si>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</si>
  <si>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</si>
  <si>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</si>
  <si>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</si>
  <si>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</si>
  <si>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</si>
  <si>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</si>
  <si>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</si>
  <si>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</si>
  <si>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</si>
  <si>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</si>
  <si>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</si>
  <si>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</si>
  <si>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</si>
  <si>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</si>
  <si>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</si>
  <si>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</si>
  <si>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</si>
  <si>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</si>
  <si>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</si>
  <si>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</si>
  <si>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</si>
  <si>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</si>
  <si>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</si>
  <si>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</si>
  <si>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</si>
  <si>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</si>
  <si>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</si>
  <si>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</si>
  <si>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</si>
  <si>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</si>
  <si>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</si>
  <si>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</si>
  <si>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</si>
  <si>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</si>
  <si>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</si>
  <si>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</si>
  <si>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</si>
  <si>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</si>
  <si>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</si>
  <si>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</si>
  <si>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</si>
  <si>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</si>
  <si>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</si>
  <si>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</si>
  <si>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</si>
  <si>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</si>
  <si>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</si>
  <si>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</si>
  <si>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</si>
  <si>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</si>
  <si>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</si>
  <si>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</si>
  <si>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</si>
  <si>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</si>
  <si>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</si>
  <si>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</si>
  <si>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</si>
  <si>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</si>
  <si>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</si>
  <si>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</si>
  <si>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</si>
  <si>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</si>
  <si>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</si>
  <si>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</si>
  <si>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</si>
  <si>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</si>
  <si>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</si>
  <si>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</si>
  <si>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</si>
  <si>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</si>
  <si>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</si>
  <si>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</si>
  <si>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</si>
  <si>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</si>
  <si>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</si>
  <si>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</si>
  <si>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</si>
  <si>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</si>
  <si>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</si>
  <si>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</si>
  <si>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</si>
  <si>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</si>
  <si>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</si>
  <si>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</si>
  <si>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</si>
  <si>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</si>
  <si>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</si>
  <si>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</si>
  <si>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</si>
  <si>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</si>
  <si>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</si>
  <si>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</si>
  <si>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</si>
  <si>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</si>
  <si>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</si>
  <si>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</si>
  <si>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</si>
  <si>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</si>
  <si>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</si>
  <si>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</si>
  <si>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</si>
  <si>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</si>
  <si>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</si>
  <si>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</si>
  <si>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</si>
  <si>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</si>
  <si>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</si>
  <si>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</si>
  <si>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</si>
  <si>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</si>
  <si>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</si>
  <si>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</si>
  <si>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</si>
  <si>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</si>
  <si>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</si>
  <si>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</si>
  <si>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</si>
  <si>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</si>
  <si>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</si>
  <si>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</si>
  <si>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</si>
  <si>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</si>
  <si>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</si>
  <si>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</si>
  <si>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</si>
  <si>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</si>
  <si>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</si>
  <si>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</si>
  <si>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</si>
  <si>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</si>
  <si>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</si>
  <si>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</si>
  <si>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</si>
  <si>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</si>
  <si>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</si>
  <si>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</si>
  <si>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</si>
  <si>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</si>
  <si>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</si>
  <si>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</si>
  <si>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</si>
  <si>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</si>
  <si>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</si>
  <si>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</si>
  <si>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</si>
  <si>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</si>
  <si>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</si>
  <si>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</si>
  <si>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</si>
  <si>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</si>
  <si>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</si>
  <si>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</si>
  <si>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</si>
  <si>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</si>
  <si>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</si>
  <si>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</si>
  <si>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</si>
  <si>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</si>
  <si>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</si>
  <si>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</si>
  <si>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</si>
  <si>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</si>
  <si>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</si>
  <si>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</si>
  <si>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</si>
  <si>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</si>
  <si>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</si>
  <si>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</si>
  <si>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</si>
  <si>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</si>
  <si>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</si>
  <si>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</si>
  <si>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</si>
  <si>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</si>
  <si>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</si>
  <si>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</si>
  <si>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</si>
  <si>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</si>
  <si>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</si>
  <si>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</si>
  <si>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</si>
  <si>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</si>
  <si>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</si>
  <si>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</si>
  <si>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</si>
  <si>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</si>
  <si>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</si>
  <si>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</si>
  <si>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</si>
  <si>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</si>
  <si>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</si>
  <si>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</si>
  <si>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</si>
  <si>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</si>
  <si>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</si>
  <si>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</si>
  <si>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</si>
  <si>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</si>
  <si>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</si>
  <si>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</si>
  <si>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</si>
  <si>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</si>
  <si>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</si>
  <si>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</si>
  <si>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</si>
  <si>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</si>
  <si>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</si>
  <si>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</si>
  <si>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</si>
  <si>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</si>
  <si>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</si>
  <si>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</si>
  <si>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</si>
  <si>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</si>
  <si>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</si>
  <si>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</si>
  <si>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</si>
  <si>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</si>
  <si>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</si>
  <si>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</si>
  <si>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</si>
  <si>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</si>
  <si>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</si>
  <si>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</si>
  <si>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</si>
  <si>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</si>
  <si>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</si>
  <si>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</si>
  <si>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</si>
  <si>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</si>
  <si>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</si>
  <si>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</si>
  <si>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</si>
  <si>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</si>
  <si>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</si>
  <si>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</si>
  <si>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</si>
  <si>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</si>
  <si>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</si>
  <si>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</si>
  <si>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</si>
  <si>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</si>
  <si>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</si>
  <si>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</si>
  <si>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</si>
  <si>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</si>
  <si>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</si>
  <si>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</si>
  <si>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</si>
  <si>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</si>
  <si>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</si>
  <si>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</si>
  <si>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</si>
  <si>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</si>
  <si>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</si>
  <si>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</si>
  <si>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</si>
  <si>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</si>
  <si>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</si>
  <si>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</si>
  <si>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</si>
  <si>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</si>
  <si>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</si>
  <si>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</si>
  <si>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</si>
  <si>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</si>
  <si>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</si>
  <si>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</si>
  <si>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</si>
  <si>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</si>
  <si>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</si>
  <si>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</si>
  <si>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</si>
  <si>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</si>
  <si>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</si>
  <si>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</si>
  <si>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</si>
  <si>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</si>
  <si>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</si>
  <si>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</si>
  <si>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</si>
  <si>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</si>
  <si>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</si>
  <si>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</si>
  <si>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</si>
  <si>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</si>
  <si>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</si>
  <si>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</si>
  <si>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</si>
  <si>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</si>
  <si>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</si>
  <si>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</si>
  <si>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</si>
  <si>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</si>
  <si>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</si>
  <si>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</si>
  <si>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</si>
  <si>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</si>
  <si>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</si>
  <si>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</si>
  <si>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</si>
  <si>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</si>
  <si>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</si>
  <si>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</si>
  <si>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</si>
  <si>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</si>
  <si>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</si>
  <si>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</si>
  <si>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</si>
  <si>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</si>
  <si>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</si>
  <si>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</si>
  <si>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</si>
  <si>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</si>
  <si>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</si>
  <si>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</si>
  <si>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</si>
  <si>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</si>
  <si>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</si>
  <si>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</si>
  <si>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</si>
  <si>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</si>
  <si>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</si>
  <si>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</si>
  <si>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</si>
  <si>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</si>
  <si>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</si>
  <si>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</si>
  <si>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</si>
  <si>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</si>
  <si>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</si>
  <si>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</si>
  <si>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</si>
  <si>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</si>
  <si>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</si>
  <si>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</si>
  <si>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</si>
  <si>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</si>
  <si>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</si>
  <si>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</si>
  <si>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</si>
  <si>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</si>
  <si>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</si>
  <si>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</si>
  <si>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</si>
  <si>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</si>
  <si>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</si>
  <si>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</si>
  <si>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</si>
  <si>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</si>
  <si>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</si>
  <si>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</si>
  <si>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</si>
  <si>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</si>
  <si>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</si>
  <si>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</si>
  <si>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</si>
  <si>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</si>
  <si>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</si>
  <si>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</si>
  <si>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</si>
  <si>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</si>
  <si>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</si>
  <si>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</si>
  <si>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</si>
  <si>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</si>
  <si>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</si>
  <si>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</si>
  <si>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</si>
  <si>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</si>
  <si>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</si>
  <si>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</si>
  <si>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</si>
  <si>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</si>
  <si>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</si>
  <si>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</si>
  <si>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</si>
  <si>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</si>
  <si>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</si>
  <si>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</si>
  <si>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</si>
  <si>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</si>
  <si>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</si>
  <si>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</si>
  <si>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</si>
  <si>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</si>
  <si>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</si>
  <si>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</si>
  <si>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</si>
  <si>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</si>
  <si>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</si>
  <si>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</si>
  <si>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</si>
  <si>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</si>
  <si>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</si>
  <si>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</si>
  <si>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</si>
  <si>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</si>
  <si>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</si>
  <si>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</si>
  <si>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</si>
  <si>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</si>
  <si>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</si>
  <si>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</si>
  <si>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</si>
  <si>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</si>
  <si>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</si>
  <si>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</si>
  <si>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</si>
  <si>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</si>
  <si>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</si>
  <si>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</si>
  <si>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</si>
  <si>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</si>
  <si>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</si>
  <si>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</si>
  <si>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</si>
  <si>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</si>
  <si>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</si>
  <si>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</si>
  <si>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</si>
  <si>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</si>
  <si>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</si>
  <si>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</si>
  <si>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</si>
  <si>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</si>
  <si>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</si>
  <si>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</si>
  <si>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</si>
  <si>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</si>
  <si>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</si>
  <si>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</si>
  <si>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</si>
  <si>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</si>
  <si>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</si>
  <si>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</si>
  <si>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</si>
  <si>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</si>
  <si>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</si>
  <si>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</si>
  <si>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</si>
  <si>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</si>
  <si>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</si>
  <si>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</si>
  <si>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</si>
  <si>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</si>
  <si>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</si>
  <si>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</si>
  <si>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</si>
  <si>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</si>
  <si>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</si>
  <si>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</si>
  <si>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</si>
  <si>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</si>
  <si>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</si>
  <si>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</si>
  <si>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</si>
  <si>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</si>
  <si>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</si>
  <si>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</si>
  <si>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</si>
  <si>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</si>
  <si>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</si>
  <si>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</si>
  <si>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</si>
  <si>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</si>
  <si>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</si>
  <si>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</si>
  <si>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</si>
  <si>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</si>
  <si>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</si>
  <si>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</si>
  <si>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</si>
  <si>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</si>
  <si>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</si>
  <si>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</si>
  <si>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</si>
  <si>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</si>
  <si>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</si>
  <si>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</si>
  <si>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</si>
  <si>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</si>
  <si>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</si>
  <si>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</si>
  <si>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</si>
  <si>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</si>
  <si>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</si>
  <si>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</si>
  <si>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</si>
  <si>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</si>
  <si>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</si>
  <si>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</si>
  <si>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</si>
  <si>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</si>
  <si>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</si>
  <si>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</si>
  <si>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</si>
  <si>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</si>
  <si>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</si>
  <si>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</si>
  <si>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</si>
  <si>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</si>
  <si>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</si>
  <si>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</si>
  <si>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</si>
  <si>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</si>
  <si>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</si>
  <si>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</si>
  <si>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</si>
  <si>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</si>
  <si>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</si>
  <si>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</si>
  <si>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</si>
  <si>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</si>
  <si>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</si>
  <si>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</si>
  <si>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</si>
  <si>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</si>
  <si>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</si>
  <si>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</si>
  <si>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</si>
  <si>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</si>
  <si>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</si>
  <si>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</si>
  <si>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</si>
  <si>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</si>
  <si>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</si>
  <si>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</si>
  <si>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</si>
  <si>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</si>
  <si>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</si>
  <si>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</si>
  <si>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</si>
  <si>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</si>
  <si>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</si>
  <si>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</si>
  <si>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</si>
  <si>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</si>
  <si>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</si>
  <si>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</si>
  <si>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</si>
  <si>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</si>
  <si>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</si>
  <si>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</si>
  <si>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</si>
  <si>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</si>
  <si>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</si>
  <si>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</si>
  <si>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</si>
  <si>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</si>
  <si>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</si>
  <si>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</si>
  <si>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</si>
  <si>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</si>
  <si>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</si>
  <si>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</si>
  <si>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</si>
  <si>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</si>
  <si>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</si>
  <si>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</si>
  <si>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</si>
  <si>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</si>
  <si>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</si>
  <si>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</si>
  <si>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</si>
  <si>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</si>
  <si>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</si>
  <si>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</si>
  <si>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</si>
  <si>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</si>
  <si>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</si>
  <si>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</si>
  <si>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</si>
  <si>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</si>
  <si>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</si>
  <si>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</si>
  <si>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</si>
  <si>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</si>
  <si>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</si>
  <si>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</si>
  <si>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</si>
  <si>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</si>
  <si>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</si>
  <si>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</si>
  <si>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</si>
  <si>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</si>
  <si>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</si>
  <si>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</si>
  <si>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</si>
  <si>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</si>
  <si>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</si>
  <si>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</si>
  <si>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</si>
  <si>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</si>
  <si>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</si>
  <si>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</si>
  <si>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</si>
  <si>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</si>
  <si>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</si>
  <si>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</si>
  <si>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</si>
  <si>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</si>
  <si>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</si>
  <si>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</si>
  <si>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</si>
  <si>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</si>
  <si>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</si>
  <si>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</si>
  <si>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</si>
  <si>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</si>
  <si>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</si>
  <si>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</si>
  <si>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</si>
  <si>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</si>
  <si>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</si>
  <si>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</si>
  <si>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</si>
  <si>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</si>
  <si>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</si>
  <si>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</si>
  <si>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</si>
  <si>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</si>
  <si>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</si>
  <si>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</si>
  <si>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</si>
  <si>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</si>
  <si>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</si>
  <si>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</si>
  <si>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</si>
  <si>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</si>
  <si>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</si>
  <si>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</si>
  <si>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</si>
  <si>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</si>
  <si>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</si>
  <si>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</si>
  <si>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</si>
  <si>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</si>
  <si>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</si>
  <si>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</si>
  <si>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</si>
  <si>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</si>
  <si>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</si>
  <si>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</si>
  <si>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</si>
  <si>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</si>
  <si>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</si>
  <si>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</si>
  <si>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</si>
  <si>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</si>
  <si>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</si>
  <si>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</si>
  <si>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</si>
  <si>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</si>
  <si>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</si>
  <si>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</si>
  <si>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</si>
  <si>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</si>
  <si>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</si>
  <si>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</si>
  <si>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</si>
  <si>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</si>
  <si>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</si>
  <si>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</si>
  <si>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</si>
  <si>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</si>
  <si>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</si>
  <si>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</si>
  <si>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</si>
  <si>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</si>
  <si>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</si>
  <si>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</si>
  <si>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</si>
  <si>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</si>
  <si>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</si>
  <si>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</si>
  <si>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</si>
  <si>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</si>
  <si>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</si>
  <si>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</si>
  <si>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</si>
  <si>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</si>
  <si>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</si>
  <si>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</si>
  <si>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</si>
  <si>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</si>
  <si>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</si>
  <si>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</si>
  <si>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</si>
  <si>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</si>
  <si>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</si>
  <si>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</si>
  <si>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</si>
  <si>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</si>
  <si>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</si>
  <si>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</si>
  <si>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</si>
  <si>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</si>
  <si>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</si>
  <si>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</si>
  <si>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</si>
  <si>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</si>
  <si>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</si>
  <si>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</si>
  <si>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</si>
  <si>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</si>
  <si>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</si>
  <si>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</si>
  <si>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</si>
  <si>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</si>
  <si>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</si>
  <si>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</si>
  <si>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</si>
  <si>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</si>
  <si>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</si>
  <si>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</si>
  <si>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</si>
  <si>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</si>
  <si>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</si>
  <si>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</si>
  <si>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</si>
  <si>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</si>
  <si>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</si>
  <si>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</si>
  <si>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</si>
  <si>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</si>
  <si>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</si>
  <si>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</si>
  <si>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</si>
  <si>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</si>
  <si>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</si>
  <si>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</si>
  <si>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</si>
  <si>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</si>
  <si>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</si>
  <si>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</si>
  <si>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</si>
  <si>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</si>
  <si>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</si>
  <si>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</si>
  <si>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</si>
  <si>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</si>
  <si>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</si>
  <si>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</si>
  <si>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</si>
  <si>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</si>
  <si>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</si>
  <si>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</si>
  <si>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</si>
  <si>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</si>
  <si>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</si>
  <si>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</si>
  <si>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</si>
  <si>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</si>
  <si>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</si>
  <si>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</si>
  <si>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</si>
  <si>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</si>
  <si>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</si>
  <si>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</si>
  <si>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</si>
  <si>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</si>
  <si>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</si>
  <si>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</si>
  <si>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</si>
  <si>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</si>
  <si>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</si>
  <si>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</si>
  <si>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</si>
  <si>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</si>
  <si>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</si>
  <si>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</si>
  <si>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</si>
  <si>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</si>
  <si>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</si>
  <si>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</si>
  <si>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</si>
  <si>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</si>
  <si>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</si>
  <si>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</si>
  <si>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</si>
  <si>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</si>
  <si>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</si>
  <si>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</si>
  <si>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</si>
  <si>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</si>
  <si>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</si>
  <si>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</si>
  <si>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</si>
  <si>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</si>
  <si>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</si>
  <si>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</si>
  <si>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</si>
  <si>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</si>
  <si>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</si>
  <si>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</si>
  <si>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</si>
  <si>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</si>
  <si>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</si>
  <si>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</si>
  <si>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</si>
  <si>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</si>
  <si>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</si>
  <si>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</si>
  <si>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</si>
  <si>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</si>
  <si>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</si>
  <si>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</si>
  <si>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</si>
  <si>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</si>
  <si>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</si>
  <si>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</si>
  <si>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</si>
  <si>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</si>
  <si>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</si>
  <si>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</si>
  <si>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</si>
  <si>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</si>
  <si>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</si>
  <si>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</si>
  <si>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</si>
  <si>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</si>
  <si>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</si>
  <si>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</si>
  <si>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</si>
  <si>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</si>
  <si>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</si>
  <si>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</si>
  <si>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</si>
  <si>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</si>
  <si>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</si>
  <si>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</si>
  <si>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</si>
  <si>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</si>
  <si>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</si>
  <si>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</si>
  <si>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</si>
  <si>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</si>
  <si>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</si>
  <si>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</si>
  <si>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</si>
  <si>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</si>
  <si>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</si>
  <si>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</si>
  <si>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</si>
  <si>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</si>
  <si>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</si>
  <si>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</si>
  <si>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</si>
  <si>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</si>
  <si>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</si>
  <si>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</si>
  <si>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</si>
  <si>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</si>
  <si>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</si>
  <si>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</si>
  <si>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</si>
  <si>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</si>
  <si>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</si>
  <si>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</si>
  <si>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</si>
  <si>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</si>
  <si>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</si>
  <si>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</si>
  <si>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</si>
  <si>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</si>
  <si>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</si>
  <si>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</si>
  <si>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</si>
  <si>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</si>
  <si>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</si>
  <si>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</si>
  <si>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</si>
  <si>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</si>
  <si>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</si>
  <si>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</si>
  <si>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</si>
  <si>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</si>
  <si>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</si>
  <si>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</si>
  <si>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</si>
  <si>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</si>
  <si>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</si>
  <si>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</si>
  <si>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</si>
  <si>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</si>
  <si>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</si>
  <si>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</si>
  <si>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</si>
  <si>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</si>
  <si>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</si>
  <si>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</si>
  <si>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</si>
  <si>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</si>
  <si>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</si>
  <si>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</si>
  <si>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</si>
  <si>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</si>
  <si>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</si>
  <si>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</si>
  <si>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</si>
  <si>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</si>
  <si>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</si>
  <si>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</si>
  <si>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</si>
  <si>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</si>
  <si>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</si>
  <si>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</si>
  <si>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</si>
  <si>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</si>
  <si>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</si>
  <si>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</si>
  <si>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</si>
  <si>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</si>
  <si>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</si>
  <si>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</si>
  <si>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</si>
  <si>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</si>
  <si>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</si>
  <si>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</si>
  <si>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</si>
  <si>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</si>
  <si>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</si>
  <si>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</si>
  <si>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</si>
  <si>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</si>
  <si>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</si>
  <si>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</si>
  <si>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</si>
  <si>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</si>
  <si>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</si>
  <si>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</si>
  <si>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</si>
  <si>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</si>
  <si>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</si>
  <si>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</si>
  <si>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</si>
  <si>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</si>
  <si>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</si>
  <si>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</si>
  <si>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</si>
  <si>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</si>
  <si>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</si>
  <si>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</si>
  <si>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</si>
  <si>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</si>
  <si>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</si>
  <si>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</si>
  <si>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</si>
  <si>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</si>
  <si>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</si>
  <si>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</si>
  <si>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</si>
  <si>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</si>
  <si>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</si>
  <si>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</si>
  <si>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</si>
  <si>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</si>
  <si>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</si>
  <si>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</si>
  <si>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</si>
  <si>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</si>
  <si>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</si>
  <si>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</si>
  <si>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</si>
  <si>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</si>
  <si>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</si>
  <si>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</si>
  <si>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</si>
  <si>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</si>
  <si>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</si>
  <si>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</si>
  <si>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</si>
  <si>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</si>
  <si>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</si>
  <si>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</si>
  <si>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</si>
  <si>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</si>
  <si>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</si>
  <si>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</si>
  <si>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</si>
  <si>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</si>
  <si>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</si>
  <si>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</si>
  <si>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</si>
  <si>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</si>
  <si>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</si>
  <si>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</si>
  <si>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</si>
  <si>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</si>
  <si>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</si>
  <si>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</si>
  <si>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</si>
  <si>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</si>
  <si>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</si>
  <si>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</si>
  <si>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</si>
  <si>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</si>
  <si>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</si>
  <si>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</si>
  <si>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</si>
  <si>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</si>
  <si>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</si>
  <si>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</si>
  <si>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</si>
  <si>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</si>
  <si>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</si>
  <si>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</si>
  <si>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</si>
  <si>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</si>
  <si>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</si>
  <si>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</si>
  <si>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</si>
  <si>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</si>
  <si>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</si>
  <si>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</si>
  <si>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</si>
  <si>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</si>
  <si>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</si>
  <si>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</si>
  <si>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</si>
  <si>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</si>
  <si>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</si>
  <si>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</si>
  <si>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</si>
  <si>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</si>
  <si>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</si>
  <si>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</si>
  <si>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</si>
  <si>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</si>
  <si>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</si>
  <si>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</si>
  <si>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</si>
  <si>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</si>
  <si>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</si>
  <si>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</si>
  <si>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</si>
  <si>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</si>
  <si>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</si>
  <si>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</si>
  <si>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</si>
  <si>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</si>
  <si>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</si>
  <si>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</si>
  <si>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</si>
  <si>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</si>
  <si>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</si>
  <si>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</si>
  <si>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</si>
  <si>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</si>
  <si>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</si>
  <si>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</si>
  <si>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</si>
  <si>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</si>
  <si>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</si>
  <si>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</si>
  <si>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</si>
  <si>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</si>
  <si>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</si>
  <si>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</si>
  <si>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</si>
  <si>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</si>
  <si>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</si>
  <si>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</si>
  <si>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</si>
  <si>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</si>
  <si>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</si>
  <si>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</si>
  <si>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</si>
  <si>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</si>
  <si>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</si>
  <si>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</si>
  <si>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</si>
  <si>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</si>
  <si>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</si>
  <si>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</si>
  <si>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</si>
  <si>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</si>
  <si>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</si>
  <si>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</si>
  <si>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</si>
  <si>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</si>
  <si>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</si>
  <si>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</si>
  <si>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</si>
  <si>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</si>
  <si>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</si>
  <si>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</si>
  <si>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</si>
  <si>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</si>
  <si>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</si>
  <si>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</si>
  <si>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</si>
  <si>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</si>
  <si>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</si>
  <si>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</si>
  <si>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</si>
  <si>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</si>
  <si>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</si>
  <si>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</si>
  <si>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</si>
  <si>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</si>
  <si>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</si>
  <si>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</si>
  <si>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</si>
  <si>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</si>
  <si>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</si>
  <si>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</si>
  <si>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</si>
  <si>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</si>
  <si>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</si>
  <si>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</si>
  <si>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</si>
  <si>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</si>
  <si>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</si>
  <si>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</si>
  <si>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</si>
  <si>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</si>
  <si>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</si>
  <si>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</si>
  <si>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</si>
  <si>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</si>
  <si>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</si>
  <si>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</si>
  <si>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</si>
  <si>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</si>
  <si>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</si>
  <si>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</si>
  <si>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</si>
  <si>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</si>
  <si>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</si>
  <si>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</si>
  <si>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</si>
  <si>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</si>
  <si>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</si>
  <si>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</si>
  <si>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</si>
  <si>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</si>
  <si>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</si>
  <si>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</si>
  <si>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</si>
  <si>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</si>
  <si>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</si>
  <si>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</si>
  <si>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</si>
  <si>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</si>
  <si>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</si>
  <si>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</si>
  <si>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</si>
  <si>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</si>
  <si>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</si>
  <si>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</si>
  <si>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</si>
  <si>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</si>
  <si>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</si>
  <si>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</si>
  <si>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</si>
  <si>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</si>
  <si>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</si>
  <si>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</si>
  <si>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</si>
  <si>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</si>
  <si>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</si>
  <si>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</si>
  <si>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</si>
  <si>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</si>
  <si>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</si>
  <si>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</si>
  <si>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</si>
  <si>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</si>
  <si>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</si>
  <si>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</si>
  <si>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</si>
  <si>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</si>
  <si>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</si>
  <si>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</si>
  <si>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</si>
  <si>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</si>
  <si>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</si>
  <si>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</si>
  <si>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</si>
  <si>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</si>
  <si>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</si>
  <si>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</si>
  <si>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</si>
  <si>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</si>
  <si>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</si>
  <si>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</si>
  <si>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</si>
  <si>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</si>
  <si>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</si>
  <si>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</si>
  <si>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</si>
  <si>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</si>
  <si>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</si>
  <si>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</si>
  <si>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</si>
  <si>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</si>
  <si>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</si>
  <si>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</si>
  <si>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</si>
  <si>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</si>
  <si>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</si>
  <si>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</si>
  <si>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</si>
  <si>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</si>
  <si>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</si>
  <si>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</si>
  <si>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</si>
  <si>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</si>
  <si>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</si>
  <si>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</si>
  <si>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</si>
  <si>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</si>
  <si>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</si>
  <si>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</si>
  <si>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</si>
  <si>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</si>
  <si>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</si>
  <si>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</si>
  <si>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</si>
  <si>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</si>
  <si>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</si>
  <si>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</si>
  <si>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</si>
  <si>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</si>
  <si>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</si>
  <si>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</si>
  <si>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</si>
  <si>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</si>
  <si>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</si>
  <si>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</si>
  <si>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</si>
  <si>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</si>
  <si>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</si>
  <si>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</si>
  <si>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</si>
  <si>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</si>
  <si>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</si>
  <si>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</si>
  <si>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</si>
  <si>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</si>
  <si>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</si>
  <si>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</si>
  <si>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</si>
  <si>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</si>
  <si>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</si>
  <si>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</si>
  <si>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</si>
  <si>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</si>
  <si>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</si>
  <si>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</si>
  <si>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</si>
  <si>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</si>
  <si>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</si>
  <si>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</si>
  <si>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</si>
  <si>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</si>
  <si>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</si>
  <si>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</si>
  <si>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</si>
  <si>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</si>
  <si>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</si>
  <si>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</si>
  <si>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</si>
  <si>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</si>
  <si>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</si>
  <si>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</si>
  <si>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</si>
  <si>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</si>
  <si>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</si>
  <si>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</si>
  <si>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</si>
  <si>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</si>
  <si>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</si>
  <si>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</si>
  <si>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</si>
  <si>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</si>
  <si>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</si>
  <si>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</si>
  <si>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</si>
  <si>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</si>
  <si>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</si>
  <si>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</si>
  <si>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</si>
  <si>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</si>
  <si>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</si>
  <si>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</si>
  <si>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</si>
  <si>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</si>
  <si>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</si>
  <si>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</si>
  <si>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</si>
  <si>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</si>
  <si>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</si>
  <si>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</si>
  <si>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</si>
  <si>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</si>
  <si>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</si>
  <si>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</si>
  <si>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</si>
  <si>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</si>
  <si>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</si>
  <si>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</si>
  <si>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</si>
  <si>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</si>
  <si>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</si>
  <si>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</si>
  <si>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</si>
  <si>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</si>
  <si>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</si>
  <si>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</si>
  <si>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</si>
  <si>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</si>
  <si>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</si>
  <si>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</si>
  <si>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</si>
  <si>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</si>
  <si>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</si>
  <si>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</si>
  <si>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</si>
  <si>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</si>
  <si>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</si>
  <si>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</si>
  <si>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</si>
  <si>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</si>
  <si>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</si>
  <si>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</si>
  <si>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</si>
  <si>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</si>
  <si>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</si>
  <si>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</si>
  <si>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</si>
  <si>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</si>
  <si>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</si>
  <si>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</si>
  <si>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</si>
  <si>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</si>
  <si>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</si>
  <si>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</si>
  <si>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</si>
  <si>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</si>
  <si>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</si>
  <si>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</si>
  <si>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</si>
  <si>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</si>
  <si>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</si>
  <si>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</si>
  <si>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</si>
  <si>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</si>
  <si>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</si>
  <si>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</si>
  <si>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</si>
  <si>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</si>
  <si>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</si>
  <si>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</si>
  <si>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</si>
  <si>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</si>
  <si>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</si>
  <si>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</si>
  <si>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</si>
  <si>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</si>
  <si>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</si>
  <si>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</si>
  <si>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</si>
  <si>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</si>
  <si>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</si>
  <si>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</si>
  <si>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</si>
  <si>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</si>
  <si>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</si>
  <si>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</si>
  <si>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</si>
  <si>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</si>
  <si>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</si>
  <si>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</si>
  <si>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</si>
  <si>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</si>
  <si>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</si>
  <si>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</si>
  <si>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</si>
  <si>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</si>
  <si>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</si>
  <si>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</si>
  <si>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</si>
  <si>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</si>
  <si>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</si>
  <si>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</si>
  <si>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</si>
  <si>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</si>
  <si>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</si>
  <si>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</si>
  <si>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</si>
  <si>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</si>
  <si>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</si>
  <si>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</si>
  <si>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</si>
  <si>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</si>
  <si>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</si>
  <si>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</si>
  <si>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</si>
  <si>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</si>
  <si>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</si>
  <si>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</si>
  <si>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</si>
  <si>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</si>
  <si>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</si>
  <si>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</si>
  <si>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</si>
  <si>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</si>
  <si>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</si>
  <si>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</si>
  <si>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</si>
  <si>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</si>
  <si>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</si>
  <si>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</si>
  <si>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</si>
  <si>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</si>
  <si>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</si>
  <si>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</si>
  <si>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</si>
  <si>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</si>
  <si>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</si>
  <si>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</si>
  <si>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</si>
  <si>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</si>
  <si>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</si>
  <si>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</si>
  <si>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</si>
  <si>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</si>
  <si>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</si>
  <si>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</si>
  <si>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</si>
  <si>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</si>
  <si>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</si>
  <si>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</si>
  <si>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</si>
  <si>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</si>
  <si>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</si>
  <si>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</si>
  <si>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</si>
  <si>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</si>
  <si>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</si>
  <si>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</si>
  <si>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</si>
  <si>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</si>
  <si>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</si>
  <si>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</si>
  <si>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</si>
  <si>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</si>
  <si>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</si>
  <si>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</si>
  <si>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</si>
  <si>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</si>
  <si>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</si>
  <si>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</si>
  <si>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</si>
  <si>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</si>
  <si>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</si>
  <si>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</si>
  <si>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</si>
  <si>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</si>
  <si>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</si>
  <si>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</si>
  <si>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</si>
  <si>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</si>
  <si>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</si>
  <si>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</si>
  <si>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</si>
  <si>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</si>
  <si>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</si>
  <si>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</si>
  <si>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</si>
  <si>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</si>
  <si>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</si>
  <si>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</si>
  <si>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</si>
  <si>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</si>
  <si>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</si>
  <si>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</si>
  <si>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</si>
  <si>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</si>
  <si>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</si>
  <si>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</si>
  <si>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</si>
  <si>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</si>
  <si>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</si>
  <si>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</si>
  <si>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</si>
  <si>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</si>
  <si>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</si>
  <si>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</si>
  <si>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</si>
  <si>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</si>
  <si>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</si>
  <si>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</si>
  <si>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</si>
  <si>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</si>
  <si>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</si>
  <si>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</si>
  <si>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</si>
  <si>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</si>
  <si>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</si>
  <si>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</si>
  <si>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</si>
  <si>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</si>
  <si>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</si>
  <si>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</si>
  <si>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</si>
  <si>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</si>
  <si>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</si>
  <si>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</si>
  <si>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</si>
  <si>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</si>
  <si>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</si>
  <si>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</si>
  <si>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</si>
  <si>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</si>
  <si>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</si>
  <si>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</si>
  <si>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</si>
  <si>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</si>
  <si>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</si>
  <si>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</si>
  <si>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</si>
  <si>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</si>
  <si>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</si>
  <si>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</si>
  <si>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</si>
  <si>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</si>
  <si>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</si>
  <si>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</si>
  <si>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</si>
  <si>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</si>
  <si>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</si>
  <si>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</si>
  <si>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</si>
  <si>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</si>
  <si>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</si>
  <si>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</si>
  <si>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</si>
  <si>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</si>
  <si>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</si>
  <si>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</si>
  <si>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</si>
  <si>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</si>
  <si>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</si>
  <si>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</si>
  <si>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</si>
  <si>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</si>
  <si>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</si>
  <si>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</si>
  <si>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</si>
  <si>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</si>
  <si>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</si>
  <si>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</si>
  <si>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</si>
  <si>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</si>
  <si>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</si>
  <si>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</si>
  <si>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</si>
  <si>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</si>
  <si>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</si>
  <si>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</si>
  <si>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</si>
  <si>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</si>
  <si>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</si>
  <si>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</si>
  <si>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</si>
  <si>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</si>
  <si>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</si>
  <si>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</si>
  <si>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</si>
  <si>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</si>
  <si>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</si>
  <si>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</si>
  <si>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</si>
  <si>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</si>
  <si>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</si>
  <si>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</si>
  <si>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</si>
  <si>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</si>
  <si>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</si>
  <si>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</si>
  <si>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</si>
  <si>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</si>
  <si>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</si>
  <si>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</si>
  <si>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</si>
  <si>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</si>
  <si>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</si>
  <si>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</si>
  <si>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</si>
  <si>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</si>
  <si>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</si>
  <si>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</si>
  <si>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</si>
  <si>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</si>
  <si>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</si>
  <si>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</si>
  <si>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</si>
  <si>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</si>
  <si>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</si>
  <si>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</si>
  <si>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</si>
  <si>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</si>
  <si>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</si>
  <si>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</si>
  <si>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</si>
  <si>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</si>
  <si>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</si>
  <si>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</si>
  <si>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</si>
  <si>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</si>
  <si>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</si>
  <si>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</si>
  <si>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</si>
  <si>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</si>
  <si>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</si>
  <si>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</si>
  <si>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</si>
  <si>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</si>
  <si>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</si>
  <si>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</si>
  <si>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</si>
  <si>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</si>
  <si>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</si>
  <si>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</si>
  <si>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</si>
  <si>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</si>
  <si>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</si>
  <si>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</si>
  <si>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</si>
  <si>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</si>
  <si>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</si>
  <si>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</si>
  <si>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</si>
  <si>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</si>
  <si>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</si>
  <si>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</si>
  <si>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</si>
  <si>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</si>
  <si>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</si>
  <si>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</si>
  <si>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</si>
  <si>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</si>
  <si>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</si>
  <si>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</si>
  <si>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</si>
  <si>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</si>
  <si>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</si>
  <si>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</si>
  <si>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</si>
  <si>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</si>
  <si>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</si>
  <si>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</si>
  <si>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</si>
  <si>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</si>
  <si>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</si>
  <si>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</si>
  <si>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</si>
  <si>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</si>
  <si>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</si>
  <si>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</si>
  <si>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</si>
  <si>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</si>
  <si>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</si>
  <si>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</si>
  <si>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</si>
  <si>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</si>
  <si>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</si>
  <si>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</si>
  <si>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</si>
  <si>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</si>
  <si>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</si>
  <si>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</si>
  <si>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</si>
  <si>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</si>
  <si>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</si>
  <si>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</si>
  <si>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</si>
  <si>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</si>
  <si>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</si>
  <si>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</si>
  <si>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</si>
  <si>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</si>
  <si>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</si>
  <si>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</si>
  <si>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</si>
  <si>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</si>
  <si>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</si>
  <si>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</si>
  <si>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</si>
  <si>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</si>
  <si>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</si>
  <si>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</si>
  <si>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</si>
  <si>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</si>
  <si>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</si>
  <si>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</si>
  <si>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</si>
  <si>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</si>
  <si>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</si>
  <si>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</si>
  <si>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</si>
  <si>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</si>
  <si>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</si>
  <si>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</si>
  <si>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</si>
  <si>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</si>
  <si>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</si>
  <si>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</si>
  <si>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</si>
  <si>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</si>
  <si>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</si>
  <si>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</si>
  <si>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</si>
  <si>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</si>
  <si>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</si>
  <si>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</si>
  <si>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</si>
  <si>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</si>
  <si>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</si>
  <si>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</si>
  <si>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</si>
  <si>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</si>
  <si>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</si>
  <si>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</si>
  <si>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</si>
  <si>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</si>
  <si>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</si>
  <si>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</si>
  <si>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</si>
  <si>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</si>
  <si>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</si>
  <si>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</si>
  <si>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</si>
  <si>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</si>
  <si>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</si>
  <si>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</si>
  <si>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</si>
  <si>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</si>
  <si>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</si>
  <si>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</si>
  <si>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</si>
  <si>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</si>
  <si>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</si>
  <si>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</si>
  <si>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</si>
  <si>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</si>
  <si>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</si>
  <si>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</si>
  <si>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</si>
  <si>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</si>
  <si>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</si>
  <si>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</si>
  <si>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</si>
  <si>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</si>
  <si>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</si>
  <si>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</si>
  <si>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</si>
  <si>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</si>
  <si>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</si>
  <si>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</si>
  <si>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</si>
  <si>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</si>
  <si>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</si>
  <si>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</si>
  <si>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</si>
  <si>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</si>
  <si>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</si>
  <si>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</si>
  <si>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</si>
  <si>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</si>
  <si>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</si>
  <si>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</si>
  <si>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</si>
  <si>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</si>
  <si>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</si>
  <si>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</si>
  <si>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</si>
  <si>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</si>
  <si>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</si>
  <si>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</si>
  <si>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</si>
  <si>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</si>
  <si>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</si>
  <si>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</si>
  <si>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</si>
  <si>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</si>
  <si>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</si>
  <si>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</si>
  <si>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</si>
  <si>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</si>
  <si>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</si>
  <si>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</si>
  <si>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</si>
  <si>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</si>
  <si>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</si>
  <si>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</si>
  <si>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</si>
  <si>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</si>
  <si>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</si>
  <si>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</si>
  <si>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</si>
  <si>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</si>
  <si>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</si>
  <si>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</si>
  <si>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</si>
  <si>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</si>
  <si>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</si>
  <si>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</si>
  <si>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</si>
  <si>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</si>
  <si>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</si>
  <si>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</si>
  <si>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</si>
  <si>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</si>
  <si>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</si>
  <si>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</si>
  <si>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</si>
  <si>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</si>
  <si>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</si>
  <si>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</si>
  <si>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</si>
  <si>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</si>
  <si>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</si>
  <si>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</si>
  <si>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</si>
  <si>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</si>
  <si>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</si>
  <si>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</si>
  <si>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</si>
  <si>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</si>
  <si>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</si>
  <si>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</si>
  <si>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</si>
  <si>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</si>
  <si>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</si>
  <si>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</si>
  <si>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</si>
  <si>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</si>
  <si>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</si>
  <si>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</si>
  <si>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</si>
  <si>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</si>
  <si>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</si>
  <si>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</si>
  <si>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</si>
  <si>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</si>
  <si>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</si>
  <si>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</si>
  <si>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</si>
  <si>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</si>
  <si>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</si>
  <si>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</si>
  <si>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</si>
  <si>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</si>
  <si>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</si>
  <si>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</si>
  <si>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</si>
  <si>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</si>
  <si>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</si>
  <si>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</si>
  <si>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</si>
  <si>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</si>
  <si>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</si>
  <si>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</si>
  <si>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</si>
  <si>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</si>
  <si>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</si>
  <si>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</si>
  <si>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</si>
  <si>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</si>
  <si>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</si>
  <si>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</si>
  <si>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</si>
  <si>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</si>
  <si>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</si>
  <si>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</si>
  <si>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</si>
  <si>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</si>
  <si>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</si>
  <si>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</si>
  <si>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</si>
  <si>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</si>
  <si>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</si>
  <si>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</si>
  <si>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</si>
  <si>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</si>
  <si>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</si>
  <si>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</si>
  <si>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</si>
  <si>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</si>
  <si>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</si>
  <si>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</si>
  <si>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</si>
  <si>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</si>
  <si>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</si>
  <si>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</si>
  <si>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</si>
  <si>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</si>
  <si>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</si>
  <si>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</si>
  <si>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</si>
  <si>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</si>
  <si>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</si>
  <si>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</si>
  <si>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</si>
  <si>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</si>
  <si>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</si>
  <si>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</si>
  <si>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</si>
  <si>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</si>
  <si>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</si>
  <si>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</si>
  <si>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</si>
  <si>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</si>
  <si>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</si>
  <si>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</si>
  <si>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</si>
  <si>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</si>
  <si>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</si>
  <si>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</si>
  <si>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</si>
  <si>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</si>
  <si>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</si>
  <si>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</si>
  <si>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</si>
  <si>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</si>
  <si>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</si>
  <si>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</si>
  <si>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</si>
  <si>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</si>
  <si>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</si>
  <si>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</si>
  <si>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</si>
  <si>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</si>
  <si>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</si>
  <si>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</si>
  <si>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</si>
  <si>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</si>
  <si>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</si>
  <si>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</si>
  <si>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</si>
  <si>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</si>
  <si>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</si>
  <si>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</si>
  <si>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</si>
  <si>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</si>
  <si>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</si>
  <si>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</si>
  <si>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</si>
  <si>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</si>
  <si>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</si>
  <si>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</si>
  <si>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</si>
  <si>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</si>
  <si>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</si>
  <si>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</si>
  <si>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</si>
  <si>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</si>
  <si>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</si>
  <si>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</si>
  <si>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</si>
  <si>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</si>
  <si>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</si>
  <si>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</si>
  <si>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</si>
  <si>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</si>
  <si>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</si>
  <si>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</si>
  <si>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</si>
  <si>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</si>
  <si>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</si>
  <si>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</si>
  <si>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</si>
  <si>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</si>
  <si>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</si>
  <si>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</si>
  <si>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</si>
  <si>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</si>
  <si>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</si>
  <si>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</si>
  <si>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</si>
  <si>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</si>
  <si>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</si>
  <si>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</si>
  <si>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</si>
  <si>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</si>
  <si>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</si>
  <si>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</si>
  <si>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</si>
  <si>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</si>
  <si>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</si>
  <si>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</si>
  <si>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</si>
  <si>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</si>
  <si>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</si>
  <si>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</si>
  <si>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</si>
  <si>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</si>
  <si>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</si>
  <si>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</si>
  <si>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</si>
  <si>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</si>
  <si>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</si>
  <si>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</si>
  <si>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</si>
  <si>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</si>
  <si>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</si>
  <si>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</si>
  <si>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</si>
  <si>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</si>
  <si>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</si>
  <si>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</si>
  <si>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</si>
  <si>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</si>
  <si>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</si>
  <si>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</si>
  <si>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</si>
  <si>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</si>
  <si>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</si>
  <si>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</si>
  <si>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</si>
  <si>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</si>
  <si>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</si>
  <si>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</si>
  <si>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</si>
  <si>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</si>
  <si>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</si>
  <si>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</si>
  <si>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</si>
  <si>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</si>
  <si>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</si>
  <si>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</si>
  <si>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</si>
  <si>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</si>
  <si>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</si>
  <si>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</si>
  <si>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</si>
  <si>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</si>
  <si>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</si>
  <si>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</si>
  <si>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</si>
  <si>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</si>
  <si>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</si>
  <si>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</si>
  <si>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</si>
  <si>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</si>
  <si>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</si>
  <si>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</si>
  <si>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</si>
  <si>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</si>
  <si>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</si>
  <si>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</si>
  <si>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</si>
  <si>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</si>
  <si>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</si>
  <si>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</si>
  <si>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</si>
  <si>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</si>
  <si>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</si>
  <si>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</si>
  <si>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</si>
  <si>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</si>
  <si>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</si>
  <si>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</si>
  <si>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</si>
  <si>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</si>
  <si>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</si>
  <si>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</si>
  <si>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</si>
  <si>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</si>
  <si>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</si>
  <si>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</si>
  <si>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</si>
  <si>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</si>
  <si>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</si>
  <si>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</si>
  <si>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</si>
  <si>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</si>
  <si>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</si>
  <si>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</si>
  <si>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</si>
  <si>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</si>
  <si>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</si>
  <si>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</si>
  <si>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</si>
  <si>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</si>
  <si>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</si>
  <si>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</si>
  <si>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</si>
  <si>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</si>
  <si>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</si>
  <si>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</si>
  <si>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</si>
  <si>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</si>
  <si>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</si>
  <si>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</si>
  <si>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</si>
  <si>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</si>
  <si>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</si>
  <si>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</si>
  <si>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</si>
  <si>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</si>
  <si>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</si>
  <si>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</si>
  <si>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</si>
  <si>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</si>
  <si>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</si>
  <si>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</si>
  <si>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</si>
  <si>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</si>
  <si>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</si>
  <si>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</si>
  <si>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</si>
  <si>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</si>
  <si>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</si>
  <si>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</si>
  <si>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</si>
  <si>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</si>
  <si>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</si>
  <si>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</si>
  <si>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</si>
  <si>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</si>
  <si>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</si>
  <si>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</si>
  <si>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</si>
  <si>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</si>
  <si>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</si>
  <si>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</si>
  <si>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</si>
  <si>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</si>
  <si>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</si>
  <si>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</si>
  <si>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</si>
  <si>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</si>
  <si>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</si>
  <si>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</si>
  <si>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</si>
  <si>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</si>
  <si>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</si>
  <si>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</si>
  <si>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</si>
  <si>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</si>
  <si>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</si>
  <si>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</si>
  <si>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</si>
  <si>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</si>
  <si>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</si>
  <si>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</si>
  <si>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</si>
  <si>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</si>
  <si>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</si>
  <si>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</si>
  <si>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</si>
  <si>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</si>
  <si>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</si>
  <si>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</si>
  <si>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</si>
  <si>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</si>
  <si>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</si>
  <si>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</si>
  <si>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</si>
  <si>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</si>
  <si>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</si>
  <si>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</si>
  <si>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</si>
  <si>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</si>
  <si>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</si>
  <si>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</si>
  <si>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</si>
  <si>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</si>
  <si>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</si>
  <si>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</si>
  <si>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</si>
  <si>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</si>
  <si>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</si>
  <si>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</si>
  <si>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</si>
  <si>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</si>
  <si>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</si>
  <si>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</si>
  <si>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</si>
  <si>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</si>
  <si>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</si>
  <si>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</si>
  <si>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</si>
  <si>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</si>
  <si>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</si>
  <si>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</si>
  <si>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</si>
  <si>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</si>
  <si>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</si>
  <si>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</si>
  <si>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</si>
  <si>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</si>
  <si>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</si>
  <si>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</si>
  <si>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</si>
  <si>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</si>
  <si>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</si>
  <si>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</si>
  <si>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</si>
  <si>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</si>
  <si>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</si>
  <si>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</si>
  <si>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</si>
  <si>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</si>
  <si>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</si>
  <si>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</si>
  <si>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</si>
  <si>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</si>
  <si>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</si>
  <si>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</si>
  <si>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</si>
  <si>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</si>
  <si>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</si>
  <si>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</si>
  <si>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</si>
  <si>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</si>
  <si>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</si>
  <si>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</si>
  <si>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</si>
  <si>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</si>
  <si>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</si>
  <si>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</si>
  <si>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</si>
  <si>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</si>
  <si>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</si>
  <si>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</si>
  <si>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</si>
  <si>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</si>
  <si>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</si>
  <si>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</si>
  <si>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</si>
  <si>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</si>
  <si>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</si>
  <si>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</si>
  <si>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</si>
  <si>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</si>
  <si>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</si>
  <si>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</si>
  <si>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</si>
  <si>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</si>
  <si>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</si>
  <si>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</si>
  <si>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</si>
  <si>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</si>
  <si>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</si>
  <si>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</si>
  <si>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</si>
  <si>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</si>
  <si>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</si>
  <si>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</si>
  <si>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</si>
  <si>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</si>
  <si>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</si>
  <si>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</si>
  <si>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</si>
  <si>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</si>
  <si>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</si>
  <si>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</si>
  <si>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</si>
  <si>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</si>
  <si>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</si>
  <si>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</si>
  <si>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</si>
  <si>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</si>
  <si>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</si>
  <si>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</si>
  <si>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</si>
  <si>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</si>
  <si>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</si>
  <si>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</si>
  <si>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</si>
  <si>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</si>
  <si>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</si>
  <si>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</si>
  <si>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</si>
  <si>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</si>
  <si>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</si>
  <si>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</si>
  <si>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</si>
  <si>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</si>
  <si>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</si>
  <si>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</si>
  <si>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</si>
  <si>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</si>
  <si>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</si>
  <si>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</si>
  <si>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</si>
  <si>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</si>
  <si>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</si>
  <si>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</si>
  <si>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</si>
  <si>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</si>
  <si>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</si>
  <si>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</si>
  <si>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</si>
  <si>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</si>
  <si>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</si>
  <si>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</si>
  <si>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</si>
  <si>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</si>
  <si>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</si>
  <si>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</si>
  <si>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</si>
  <si>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</si>
  <si>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</si>
  <si>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</si>
  <si>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</si>
  <si>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</si>
  <si>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</si>
  <si>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</si>
  <si>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</si>
  <si>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</si>
  <si>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</si>
  <si>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</si>
  <si>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</si>
  <si>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</si>
  <si>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</si>
  <si>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</si>
  <si>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</si>
  <si>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</si>
  <si>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</si>
  <si>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</si>
  <si>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</si>
  <si>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</si>
  <si>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</si>
  <si>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</si>
  <si>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</si>
  <si>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</si>
  <si>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</si>
  <si>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</si>
  <si>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</si>
  <si>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</si>
  <si>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</si>
  <si>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</si>
  <si>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</si>
  <si>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</si>
  <si>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</si>
  <si>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</si>
  <si>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</si>
  <si>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</si>
  <si>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</si>
  <si>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</si>
  <si>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</si>
  <si>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</si>
  <si>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</si>
  <si>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</si>
  <si>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</si>
  <si>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</si>
  <si>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</si>
  <si>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</si>
  <si>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</si>
  <si>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</si>
  <si>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</si>
  <si>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</si>
  <si>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</si>
  <si>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</si>
  <si>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</si>
  <si>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</si>
  <si>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</si>
  <si>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</si>
  <si>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</si>
  <si>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</si>
  <si>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</si>
  <si>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</si>
  <si>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</si>
  <si>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</si>
  <si>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</si>
  <si>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</si>
  <si>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</si>
  <si>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</si>
  <si>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</si>
  <si>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</si>
  <si>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</si>
  <si>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</si>
  <si>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</si>
  <si>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</si>
  <si>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</si>
  <si>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</si>
  <si>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</si>
  <si>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</si>
  <si>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</si>
  <si>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</si>
  <si>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</si>
  <si>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</si>
  <si>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</si>
  <si>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</si>
  <si>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</si>
  <si>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</si>
  <si>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</si>
  <si>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</si>
  <si>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</si>
  <si>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</si>
  <si>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</si>
  <si>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</si>
  <si>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</si>
  <si>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</si>
  <si>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</si>
  <si>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</si>
  <si>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</si>
  <si>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</si>
  <si>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</si>
  <si>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</si>
  <si>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</si>
  <si>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</si>
  <si>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</si>
  <si>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</si>
  <si>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</si>
  <si>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</si>
  <si>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</si>
  <si>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</si>
  <si>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</si>
  <si>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</si>
  <si>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</si>
  <si>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</si>
  <si>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</si>
  <si>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</si>
  <si>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</si>
  <si>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</si>
  <si>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</si>
  <si>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</si>
  <si>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</si>
  <si>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</si>
  <si>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</si>
  <si>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</si>
  <si>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</si>
  <si>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</si>
  <si>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</si>
  <si>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</si>
  <si>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</si>
  <si>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</si>
  <si>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</si>
  <si>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</si>
  <si>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</si>
  <si>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</si>
  <si>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</si>
  <si>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</si>
  <si>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</si>
  <si>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</si>
  <si>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</si>
  <si>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</si>
  <si>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</si>
  <si>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</si>
  <si>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</si>
  <si>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</si>
  <si>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</si>
  <si>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</si>
  <si>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</si>
  <si>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</si>
  <si>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</si>
  <si>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</si>
  <si>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</si>
  <si>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</si>
  <si>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</si>
  <si>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</si>
  <si>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</si>
  <si>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</si>
  <si>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</si>
  <si>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</si>
  <si>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</si>
  <si>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</si>
  <si>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</si>
  <si>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</si>
  <si>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</si>
  <si>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</si>
  <si>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</si>
  <si>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</si>
  <si>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</si>
  <si>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</si>
  <si>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</si>
  <si>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</si>
  <si>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</si>
  <si>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</si>
  <si>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</si>
  <si>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</si>
  <si>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</si>
  <si>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</si>
  <si>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</si>
  <si>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</si>
  <si>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</si>
  <si>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</si>
  <si>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</si>
  <si>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</si>
  <si>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</si>
  <si>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</si>
  <si>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</si>
  <si>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</si>
  <si>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</si>
  <si>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</si>
  <si>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</si>
  <si>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</si>
  <si>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</si>
  <si>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</si>
  <si>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</si>
  <si>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</si>
  <si>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</si>
  <si>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</si>
  <si>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</si>
  <si>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</si>
  <si>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</si>
  <si>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</si>
  <si>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</si>
  <si>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</si>
  <si>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</si>
  <si>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</si>
  <si>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</si>
  <si>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</si>
  <si>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</si>
  <si>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</si>
  <si>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</si>
  <si>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</si>
  <si>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</si>
  <si>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</si>
  <si>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</si>
  <si>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</si>
  <si>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</si>
  <si>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</si>
  <si>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</si>
  <si>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</si>
  <si>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</si>
  <si>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</si>
  <si>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</si>
  <si>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</si>
  <si>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</si>
  <si>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</si>
  <si>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</si>
  <si>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</si>
  <si>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</si>
  <si>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</si>
  <si>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</si>
  <si>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</si>
  <si>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</si>
  <si>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</si>
  <si>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</si>
  <si>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</si>
  <si>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</si>
  <si>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</si>
  <si>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</si>
  <si>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</si>
  <si>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</si>
  <si>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</si>
  <si>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</si>
  <si>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</si>
  <si>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</si>
  <si>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</si>
  <si>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</si>
  <si>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</si>
  <si>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</si>
  <si>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</si>
  <si>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</si>
  <si>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</si>
  <si>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</si>
  <si>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</si>
  <si>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</si>
  <si>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</si>
  <si>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</si>
  <si>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</si>
  <si>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</si>
  <si>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</si>
  <si>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</si>
  <si>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</si>
  <si>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</si>
  <si>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</si>
  <si>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</si>
  <si>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</si>
  <si>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</si>
  <si>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</si>
  <si>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</si>
  <si>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</si>
  <si>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</si>
  <si>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</si>
  <si>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</si>
  <si>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</si>
  <si>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</si>
  <si>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</si>
  <si>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</si>
  <si>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</si>
  <si>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</si>
  <si>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</si>
  <si>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</si>
  <si>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</si>
  <si>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</si>
  <si>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</si>
  <si>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</si>
  <si>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</si>
  <si>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</si>
  <si>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</si>
  <si>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</si>
  <si>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</si>
  <si>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</si>
  <si>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</si>
  <si>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</si>
  <si>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</si>
  <si>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</si>
  <si>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</si>
  <si>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</si>
  <si>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</si>
  <si>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</si>
  <si>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</si>
  <si>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</si>
  <si>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</si>
  <si>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</si>
  <si>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</si>
  <si>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</si>
  <si>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</si>
  <si>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</si>
  <si>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</si>
  <si>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</si>
  <si>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</si>
  <si>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</si>
  <si>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</si>
  <si>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</si>
  <si>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</si>
  <si>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</si>
  <si>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</si>
  <si>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</si>
  <si>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</si>
  <si>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</si>
  <si>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</si>
  <si>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</si>
  <si>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</si>
  <si>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</si>
  <si>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</si>
  <si>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</si>
  <si>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</si>
  <si>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</si>
  <si>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</si>
  <si>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</si>
  <si>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</si>
  <si>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</si>
  <si>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</si>
  <si>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</si>
  <si>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</si>
  <si>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</si>
  <si>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</si>
  <si>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</si>
  <si>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</si>
  <si>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</si>
  <si>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</si>
  <si>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</si>
  <si>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</si>
  <si>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</si>
  <si>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</si>
  <si>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</si>
  <si>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</si>
  <si>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</si>
  <si>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</si>
  <si>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</si>
  <si>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</si>
  <si>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</si>
  <si>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</si>
  <si>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</si>
  <si>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</si>
  <si>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</si>
  <si>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</si>
  <si>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</si>
  <si>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</si>
  <si>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</si>
  <si>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</si>
  <si>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</si>
  <si>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</si>
  <si>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</si>
  <si>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</si>
  <si>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</si>
  <si>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</si>
  <si>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</si>
  <si>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</si>
  <si>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</si>
  <si>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</si>
  <si>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</si>
  <si>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</si>
  <si>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</si>
  <si>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</si>
  <si>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</si>
  <si>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</si>
  <si>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</si>
  <si>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</si>
  <si>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</si>
  <si>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</si>
  <si>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</si>
  <si>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</si>
  <si>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</si>
  <si>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</si>
  <si>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</si>
  <si>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</si>
  <si>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</si>
  <si>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</si>
  <si>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</si>
  <si>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</si>
  <si>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</si>
  <si>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</si>
  <si>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</si>
  <si>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</si>
  <si>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</si>
  <si>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</si>
  <si>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</si>
  <si>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</si>
  <si>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</si>
  <si>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</si>
  <si>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</si>
  <si>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</si>
  <si>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</si>
  <si>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</si>
  <si>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</si>
  <si>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</si>
  <si>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</si>
  <si>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</si>
  <si>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</si>
  <si>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</si>
  <si>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</si>
  <si>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</si>
  <si>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</si>
  <si>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</si>
  <si>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</si>
  <si>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</si>
  <si>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</si>
  <si>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</si>
  <si>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</si>
  <si>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</si>
  <si>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</si>
  <si>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</si>
  <si>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</si>
  <si>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</si>
  <si>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</si>
  <si>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</si>
  <si>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</si>
  <si>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</si>
  <si>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</si>
  <si>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</si>
  <si>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</si>
  <si>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</si>
  <si>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</si>
  <si>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</si>
  <si>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</si>
  <si>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</si>
  <si>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</si>
  <si>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</si>
  <si>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</si>
  <si>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</si>
  <si>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</si>
  <si>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</si>
  <si>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</si>
  <si>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</si>
  <si>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</si>
  <si>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</si>
  <si>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</si>
  <si>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</si>
  <si>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</si>
  <si>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</si>
  <si>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</si>
  <si>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</si>
  <si>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</si>
  <si>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</si>
  <si>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</si>
  <si>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</si>
  <si>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</si>
  <si>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</si>
  <si>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</si>
  <si>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</si>
  <si>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</si>
  <si>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</si>
  <si>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</si>
  <si>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</si>
  <si>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</si>
  <si>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</si>
  <si>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</si>
  <si>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</si>
  <si>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</si>
  <si>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</si>
  <si>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</si>
  <si>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</si>
  <si>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</si>
  <si>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</si>
  <si>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</si>
  <si>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</si>
  <si>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</si>
  <si>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</si>
  <si>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</si>
  <si>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</si>
  <si>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</si>
  <si>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</si>
  <si>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</si>
  <si>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</si>
  <si>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</si>
  <si>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</si>
  <si>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</si>
  <si>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</si>
  <si>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</si>
  <si>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</si>
  <si>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</si>
  <si>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</si>
  <si>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</si>
  <si>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</si>
  <si>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</si>
  <si>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</si>
  <si>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</si>
  <si>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</si>
  <si>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</si>
  <si>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</si>
  <si>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</si>
  <si>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</si>
  <si>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</si>
  <si>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</si>
  <si>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</si>
  <si>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</si>
  <si>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</si>
  <si>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</si>
  <si>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</si>
  <si>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</si>
  <si>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</si>
  <si>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</si>
  <si>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</si>
  <si>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</si>
  <si>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</si>
  <si>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</si>
  <si>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</si>
  <si>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</si>
  <si>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</si>
  <si>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</si>
  <si>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</si>
  <si>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</si>
  <si>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</si>
  <si>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</si>
  <si>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</si>
  <si>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</si>
  <si>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</si>
  <si>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</si>
  <si>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</si>
  <si>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</si>
  <si>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</si>
  <si>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</si>
  <si>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</si>
  <si>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</si>
  <si>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</si>
  <si>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</si>
  <si>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</si>
  <si>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</si>
  <si>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</si>
  <si>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</si>
  <si>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</si>
  <si>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</si>
  <si>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</si>
  <si>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</si>
  <si>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</si>
  <si>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</si>
  <si>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</si>
  <si>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</si>
  <si>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</si>
  <si>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</si>
  <si>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</si>
  <si>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</si>
  <si>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</si>
  <si>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</si>
  <si>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</si>
  <si>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</si>
  <si>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</si>
  <si>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</si>
  <si>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</si>
  <si>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</si>
  <si>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</si>
  <si>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</si>
  <si>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</si>
  <si>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</si>
  <si>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</si>
  <si>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</si>
  <si>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</si>
  <si>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</si>
  <si>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</si>
  <si>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</si>
  <si>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</si>
  <si>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</si>
  <si>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</si>
  <si>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</si>
  <si>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</si>
  <si>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</si>
  <si>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</si>
  <si>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</si>
  <si>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</si>
  <si>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</si>
  <si>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</si>
  <si>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</si>
  <si>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</si>
  <si>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</si>
  <si>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</si>
  <si>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</si>
  <si>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</si>
  <si>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</si>
  <si>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</si>
  <si>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</si>
  <si>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</si>
  <si>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</si>
  <si>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</si>
  <si>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</si>
  <si>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</si>
  <si>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</si>
  <si>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</si>
  <si>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</si>
  <si>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</si>
  <si>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</si>
  <si>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</si>
  <si>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</si>
  <si>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</si>
  <si>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</si>
  <si>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</si>
  <si>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</si>
  <si>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</si>
  <si>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</si>
  <si>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</si>
  <si>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</si>
  <si>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</si>
  <si>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</si>
  <si>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</si>
  <si>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</si>
  <si>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</si>
  <si>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</si>
  <si>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</si>
  <si>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</si>
  <si>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</si>
  <si>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</si>
  <si>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</si>
  <si>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</si>
  <si>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</si>
  <si>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</si>
  <si>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</si>
  <si>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</si>
  <si>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</si>
  <si>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</si>
  <si>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</si>
  <si>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</si>
  <si>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</si>
  <si>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</si>
  <si>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</si>
  <si>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</si>
  <si>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</si>
  <si>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</si>
  <si>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</si>
  <si>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</si>
  <si>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</si>
  <si>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</si>
  <si>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</si>
  <si>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</si>
  <si>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</si>
  <si>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</si>
  <si>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</si>
  <si>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</si>
  <si>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</si>
  <si>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</si>
  <si>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</si>
  <si>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</si>
  <si>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</si>
  <si>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</si>
  <si>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</si>
  <si>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</si>
  <si>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</si>
  <si>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</si>
  <si>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</si>
  <si>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</si>
  <si>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</si>
  <si>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</si>
  <si>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</si>
  <si>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</si>
  <si>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</si>
  <si>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</si>
  <si>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</si>
  <si>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</si>
  <si>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</si>
  <si>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</si>
  <si>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</si>
  <si>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</si>
  <si>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</si>
  <si>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</si>
  <si>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</si>
  <si>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</si>
  <si>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</si>
  <si>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</si>
  <si>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</si>
  <si>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</si>
  <si>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</si>
  <si>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</si>
  <si>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</si>
  <si>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</si>
  <si>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</si>
  <si>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</si>
  <si>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</si>
  <si>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</si>
  <si>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</si>
  <si>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</si>
  <si>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</si>
  <si>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</si>
  <si>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</si>
  <si>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</si>
  <si>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</si>
  <si>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</si>
  <si>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</si>
  <si>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</si>
  <si>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</si>
  <si>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</si>
  <si>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</si>
  <si>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</si>
  <si>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</si>
  <si>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</si>
  <si>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</si>
  <si>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</si>
  <si>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</si>
  <si>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</si>
  <si>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</si>
  <si>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</si>
  <si>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</si>
  <si>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</si>
  <si>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</si>
  <si>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</si>
  <si>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</si>
  <si>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</si>
  <si>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</si>
  <si>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</si>
  <si>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</si>
  <si>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</si>
  <si>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</si>
  <si>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</si>
  <si>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</si>
  <si>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</si>
  <si>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</si>
  <si>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</si>
  <si>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</si>
  <si>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</si>
  <si>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</si>
  <si>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</si>
  <si>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</si>
  <si>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</si>
  <si>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</si>
  <si>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</si>
  <si>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</si>
  <si>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</si>
  <si>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</si>
  <si>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</si>
  <si>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</si>
  <si>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</si>
  <si>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</si>
  <si>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</si>
  <si>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</si>
  <si>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</si>
  <si>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</si>
  <si>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</si>
  <si>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</si>
  <si>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</si>
  <si>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</si>
  <si>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</si>
  <si>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</si>
  <si>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</si>
  <si>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</si>
  <si>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</si>
  <si>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</si>
  <si>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</si>
  <si>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</si>
  <si>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</si>
  <si>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</si>
  <si>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</si>
  <si>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</si>
  <si>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</si>
  <si>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</si>
  <si>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</si>
  <si>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</si>
  <si>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</si>
  <si>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</si>
  <si>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</si>
  <si>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</si>
  <si>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</si>
  <si>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</si>
  <si>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</si>
  <si>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</si>
  <si>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</si>
  <si>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</si>
  <si>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</si>
  <si>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</si>
  <si>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</si>
  <si>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</si>
  <si>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</si>
  <si>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</si>
  <si>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</si>
  <si>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</si>
  <si>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</si>
  <si>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</si>
  <si>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</si>
  <si>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</si>
  <si>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</si>
  <si>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</si>
  <si>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</si>
  <si>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</si>
  <si>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</si>
  <si>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</si>
  <si>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</si>
  <si>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</si>
  <si>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</si>
  <si>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</si>
  <si>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</si>
  <si>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</si>
  <si>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</si>
  <si>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</si>
  <si>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</si>
  <si>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</si>
  <si>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</si>
  <si>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</si>
  <si>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</si>
  <si>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</si>
  <si>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</si>
  <si>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</si>
  <si>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</si>
  <si>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</si>
  <si>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</si>
  <si>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</si>
  <si>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</si>
  <si>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</si>
  <si>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</si>
  <si>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</si>
  <si>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</si>
  <si>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</si>
  <si>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</si>
  <si>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</si>
  <si>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</si>
  <si>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</si>
  <si>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</si>
  <si>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</si>
  <si>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</si>
  <si>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</si>
  <si>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</si>
  <si>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</si>
  <si>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</si>
  <si>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</si>
  <si>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</si>
  <si>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</si>
  <si>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</si>
  <si>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</si>
  <si>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</si>
  <si>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</si>
  <si>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</si>
  <si>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</si>
  <si>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</si>
  <si>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</si>
  <si>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</si>
  <si>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</si>
  <si>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</si>
  <si>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</si>
  <si>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</si>
  <si>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</si>
  <si>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</si>
  <si>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</si>
  <si>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</si>
  <si>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</si>
  <si>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</si>
  <si>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</si>
  <si>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</si>
  <si>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</si>
  <si>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</si>
  <si>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</si>
  <si>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</si>
  <si>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</si>
  <si>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</si>
  <si>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</si>
  <si>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</si>
  <si>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</si>
  <si>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</si>
  <si>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</si>
  <si>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</si>
  <si>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</si>
  <si>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</si>
  <si>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</si>
  <si>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</si>
  <si>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</si>
  <si>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</si>
  <si>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</si>
  <si>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</si>
  <si>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</si>
  <si>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</si>
  <si>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</si>
  <si>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</si>
  <si>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</si>
  <si>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</si>
  <si>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</si>
  <si>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</si>
  <si>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</si>
  <si>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</si>
  <si>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</si>
  <si>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</si>
  <si>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</si>
  <si>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</si>
  <si>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</si>
  <si>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</si>
  <si>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</si>
  <si>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</si>
  <si>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</si>
  <si>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</si>
  <si>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</si>
  <si>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</si>
  <si>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</si>
  <si>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</si>
  <si>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</si>
  <si>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</si>
  <si>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</si>
  <si>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</si>
  <si>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</si>
  <si>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</si>
  <si>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</si>
  <si>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</si>
  <si>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</si>
  <si>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</si>
  <si>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</si>
  <si>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</si>
  <si>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</si>
  <si>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</si>
  <si>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</si>
  <si>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</si>
  <si>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</si>
  <si>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</si>
  <si>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</si>
  <si>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</si>
  <si>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</si>
  <si>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</si>
  <si>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</si>
  <si>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</si>
  <si>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</si>
  <si>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</si>
  <si>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</si>
  <si>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</si>
  <si>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</si>
  <si>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</si>
  <si>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</si>
  <si>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</si>
  <si>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</si>
  <si>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</si>
  <si>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</si>
  <si>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</si>
  <si>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</si>
  <si>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</si>
  <si>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</si>
  <si>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</si>
  <si>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</si>
  <si>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</si>
  <si>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</si>
  <si>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</si>
  <si>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</si>
  <si>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</si>
  <si>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</si>
  <si>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</si>
  <si>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</si>
  <si>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</si>
  <si>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</si>
  <si>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</si>
  <si>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</si>
  <si>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</si>
  <si>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</si>
  <si>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</si>
  <si>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</si>
  <si>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</si>
  <si>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</si>
  <si>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</si>
  <si>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</si>
  <si>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</si>
  <si>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</si>
  <si>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</si>
  <si>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</si>
  <si>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</si>
  <si>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</si>
  <si>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</si>
  <si>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</si>
  <si>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</si>
  <si>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</si>
  <si>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</si>
  <si>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</si>
  <si>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</si>
  <si>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</si>
  <si>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</si>
  <si>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</si>
  <si>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</si>
  <si>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</si>
  <si>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</si>
  <si>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</si>
  <si>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</si>
  <si>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</si>
  <si>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</si>
  <si>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</si>
  <si>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</si>
  <si>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</si>
  <si>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</si>
  <si>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</si>
  <si>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</si>
  <si>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</si>
  <si>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</si>
  <si>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</si>
  <si>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</si>
  <si>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</si>
  <si>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</si>
  <si>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</si>
  <si>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</si>
  <si>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</si>
  <si>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</si>
  <si>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</si>
  <si>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</si>
  <si>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</si>
  <si>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</si>
  <si>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</si>
  <si>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</si>
  <si>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</si>
  <si>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</si>
  <si>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</si>
  <si>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</si>
  <si>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</si>
  <si>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</si>
  <si>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</si>
  <si>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</si>
  <si>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</si>
  <si>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</si>
  <si>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</si>
  <si>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</si>
  <si>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</si>
  <si>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</si>
  <si>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</si>
  <si>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</si>
  <si>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</si>
  <si>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</si>
  <si>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</si>
  <si>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</si>
  <si>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</si>
  <si>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</si>
  <si>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</si>
  <si>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</si>
  <si>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</si>
  <si>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</si>
  <si>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</si>
  <si>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</si>
  <si>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</si>
  <si>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</si>
  <si>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</si>
  <si>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</si>
  <si>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</si>
  <si>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</si>
  <si>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</si>
  <si>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</si>
  <si>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</si>
  <si>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</si>
  <si>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</si>
  <si>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</si>
  <si>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</si>
  <si>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</si>
  <si>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</si>
  <si>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</si>
  <si>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</si>
  <si>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</si>
  <si>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</si>
  <si>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</si>
  <si>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</si>
  <si>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</si>
  <si>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</si>
  <si>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</si>
  <si>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</si>
  <si>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</si>
  <si>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</si>
  <si>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</si>
  <si>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</si>
  <si>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</si>
  <si>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</si>
  <si>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</si>
  <si>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</si>
  <si>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</si>
  <si>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</si>
  <si>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</si>
  <si>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</si>
  <si>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</si>
  <si>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</si>
  <si>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</si>
  <si>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</si>
  <si>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</si>
  <si>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</si>
  <si>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</si>
  <si>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</si>
  <si>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</si>
  <si>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</si>
  <si>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</si>
  <si>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</si>
  <si>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</si>
  <si>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</si>
  <si>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</si>
  <si>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</si>
  <si>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</si>
  <si>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</si>
  <si>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</si>
  <si>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</si>
  <si>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</si>
  <si>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</si>
  <si>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</si>
  <si>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</si>
  <si>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</si>
  <si>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</si>
  <si>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</si>
  <si>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</si>
  <si>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</si>
  <si>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</si>
  <si>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</si>
  <si>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</si>
  <si>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</si>
  <si>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</si>
  <si>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</si>
  <si>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</si>
  <si>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</si>
  <si>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</si>
  <si>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</si>
  <si>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</si>
  <si>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</si>
  <si>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</si>
  <si>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</si>
  <si>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</si>
  <si>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</si>
  <si>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</si>
  <si>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</si>
  <si>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</si>
  <si>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</si>
  <si>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</si>
  <si>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</si>
  <si>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</si>
  <si>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</si>
  <si>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</si>
  <si>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</si>
  <si>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</si>
  <si>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</si>
  <si>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</si>
  <si>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</si>
  <si>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</si>
  <si>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</si>
  <si>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</si>
  <si>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</si>
  <si>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</si>
  <si>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</si>
  <si>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</si>
  <si>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</si>
  <si>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</si>
  <si>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</si>
  <si>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</si>
  <si>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</si>
  <si>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</si>
  <si>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</si>
  <si>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</si>
  <si>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</si>
  <si>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</si>
  <si>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</si>
  <si>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</si>
  <si>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</si>
  <si>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</si>
  <si>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</si>
  <si>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</si>
  <si>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</si>
  <si>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</si>
  <si>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</si>
  <si>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</si>
  <si>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</si>
  <si>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</si>
  <si>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</si>
  <si>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</si>
  <si>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</si>
  <si>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</si>
  <si>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</si>
  <si>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</si>
  <si>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</si>
  <si>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</si>
  <si>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</si>
  <si>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</si>
  <si>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</si>
  <si>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</si>
  <si>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</si>
  <si>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</si>
  <si>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</si>
  <si>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</si>
  <si>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</si>
  <si>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</si>
  <si>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</si>
  <si>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</si>
  <si>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</si>
  <si>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</si>
  <si>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</si>
  <si>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</si>
  <si>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</si>
  <si>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</si>
  <si>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</si>
  <si>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</si>
  <si>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</si>
  <si>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</si>
  <si>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</si>
  <si>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</si>
  <si>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</si>
  <si>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</si>
  <si>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</si>
  <si>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</si>
  <si>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</si>
  <si>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</si>
  <si>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</si>
  <si>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</si>
  <si>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</si>
  <si>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</si>
  <si>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</si>
  <si>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</si>
  <si>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</si>
  <si>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</si>
  <si>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</si>
  <si>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</si>
  <si>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</si>
  <si>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</si>
  <si>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</si>
  <si>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</si>
  <si>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</si>
  <si>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</si>
  <si>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</si>
  <si>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</si>
  <si>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</si>
  <si>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</si>
  <si>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</si>
  <si>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</si>
  <si>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</si>
  <si>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</si>
  <si>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</si>
  <si>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</si>
  <si>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</si>
  <si>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</si>
  <si>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</si>
  <si>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</si>
  <si>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</si>
  <si>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</si>
  <si>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</si>
  <si>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</si>
  <si>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</si>
  <si>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</si>
  <si>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</si>
  <si>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</si>
  <si>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</si>
  <si>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</si>
  <si>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</si>
  <si>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</si>
  <si>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</si>
  <si>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</si>
  <si>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</si>
  <si>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</si>
  <si>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</si>
  <si>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</si>
  <si>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</si>
  <si>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</si>
  <si>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</si>
  <si>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</si>
  <si>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</si>
  <si>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</si>
  <si>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</si>
  <si>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</si>
  <si>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</si>
  <si>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</si>
  <si>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</si>
  <si>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</si>
  <si>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</si>
  <si>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</si>
  <si>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</si>
  <si>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</si>
  <si>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</si>
  <si>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</si>
  <si>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</si>
  <si>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</si>
  <si>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</si>
  <si>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</si>
  <si>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</si>
  <si>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</si>
  <si>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</si>
  <si>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</si>
  <si>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</si>
  <si>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</si>
  <si>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</si>
  <si>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</si>
  <si>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</si>
  <si>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</si>
  <si>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</si>
  <si>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</si>
  <si>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</si>
  <si>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</si>
  <si>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</si>
  <si>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</si>
  <si>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</si>
  <si>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</si>
  <si>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</si>
  <si>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</si>
  <si>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</si>
  <si>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</si>
  <si>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</si>
  <si>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</si>
  <si>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</si>
  <si>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</si>
  <si>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</si>
  <si>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</si>
  <si>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</si>
  <si>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</si>
  <si>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</si>
  <si>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</si>
  <si>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</si>
  <si>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</si>
  <si>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</si>
  <si>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</si>
  <si>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</si>
  <si>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</si>
  <si>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</si>
  <si>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</si>
  <si>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</si>
  <si>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</si>
  <si>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</si>
  <si>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</si>
  <si>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</si>
  <si>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</si>
  <si>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</si>
  <si>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</si>
  <si>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</si>
  <si>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</si>
  <si>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</si>
  <si>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</si>
  <si>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</si>
  <si>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</si>
  <si>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</si>
  <si>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</si>
  <si>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</si>
  <si>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</si>
  <si>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</si>
  <si>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</si>
  <si>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</si>
  <si>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</si>
  <si>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</si>
  <si>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</si>
  <si>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</si>
  <si>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</si>
  <si>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</si>
  <si>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</si>
  <si>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</si>
  <si>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</si>
  <si>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</si>
  <si>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</si>
  <si>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</si>
  <si>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</si>
  <si>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</si>
  <si>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</si>
  <si>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</si>
  <si>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</si>
  <si>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</si>
  <si>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</si>
  <si>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</si>
  <si>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</si>
  <si>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</si>
  <si>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</si>
  <si>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</si>
  <si>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</si>
  <si>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</si>
  <si>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</si>
  <si>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</si>
  <si>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</si>
  <si>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</si>
  <si>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</si>
  <si>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</si>
  <si>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</si>
  <si>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</si>
  <si>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</si>
  <si>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</si>
  <si>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</si>
  <si>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</si>
  <si>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</si>
  <si>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</si>
  <si>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</si>
  <si>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</si>
  <si>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</si>
  <si>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</si>
  <si>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</si>
  <si>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</si>
  <si>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</si>
  <si>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</si>
  <si>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</si>
  <si>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</si>
  <si>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</si>
  <si>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</si>
  <si>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</si>
  <si>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</si>
  <si>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</si>
  <si>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</si>
  <si>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</si>
  <si>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</si>
  <si>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</si>
  <si>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</si>
  <si>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</si>
  <si>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</si>
  <si>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</si>
  <si>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</si>
  <si>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</si>
  <si>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</si>
  <si>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</si>
  <si>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</si>
  <si>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</si>
  <si>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</si>
  <si>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</si>
  <si>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</si>
  <si>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</si>
  <si>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</si>
  <si>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</si>
  <si>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</si>
  <si>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</si>
  <si>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</si>
  <si>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</si>
  <si>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TEMPNA_1000US20GPA004 Patient Insights &amp; Advocacy</t>
  </si>
  <si>
    <t>X31090400000 Divisional CO Franchise</t>
  </si>
  <si>
    <t>FR7778538</t>
  </si>
  <si>
    <t>H000004404</t>
  </si>
  <si>
    <t>H000004406</t>
  </si>
  <si>
    <t>H000004405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</si>
</sst>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4.069407870367" createdVersion="7" refreshedVersion="7" minRefreshableVersion="3" recordCount="4223" xr:uid="{11839AE3-6158-4318-87AD-2C711D0BF451}">
  <cacheSource type="worksheet">
    <worksheetSource name="Proc"/>
  </cacheSource>
  <cacheFields count="19">
    <cacheField name="App" numFmtId="0">
      <sharedItems containsBlank="1" count="155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6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3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3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3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3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3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3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3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3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3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3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7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7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7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7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7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7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7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7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7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0"/>
    <n v="5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5"/>
    <s v="CLFF_1000$$$DE10O05003"/>
    <s v="P000001321"/>
    <s v="P000001322"/>
    <s v="LFF (MDG-F)"/>
    <s v="DE10O05003"/>
    <m/>
    <b v="0"/>
    <x v="3"/>
    <x v="3"/>
    <d v="2025-09-18T00:00:00"/>
    <m/>
    <m/>
    <x v="0"/>
    <n v="4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0"/>
    <n v="4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0"/>
    <n v="4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0"/>
    <n v="4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0"/>
    <n v="4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3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3"/>
    <s v="Roselle Delos Angeles"/>
    <m/>
  </r>
  <r>
    <x v="375"/>
    <x v="1"/>
    <x v="5"/>
    <s v="CORAERP_MMOR1975.3541 "/>
    <s v="L000006987"/>
    <m/>
    <s v="Non-LFF"/>
    <s v=""/>
    <m/>
    <b v="0"/>
    <x v="2"/>
    <x v="3"/>
    <d v="2025-09-24T00:00:00"/>
    <m/>
    <m/>
    <x v="0"/>
    <n v="0"/>
    <s v="Ruby Grace Garcia"/>
    <m/>
  </r>
  <r>
    <x v="376"/>
    <x v="1"/>
    <x v="5"/>
    <s v="D30013500000000"/>
    <s v="L000006623"/>
    <m/>
    <s v="Non-LFF"/>
    <s v=""/>
    <m/>
    <b v="0"/>
    <x v="2"/>
    <x v="3"/>
    <d v="2025-09-24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559">
        <item m="1" x="943"/>
        <item x="0"/>
        <item m="1" x="1013"/>
        <item m="1" x="1434"/>
        <item m="1" x="596"/>
        <item m="1" x="1451"/>
        <item m="1" x="973"/>
        <item m="1" x="1063"/>
        <item m="1" x="1484"/>
        <item m="1" x="1278"/>
        <item m="1" x="966"/>
        <item m="1" x="1550"/>
        <item m="1" x="1296"/>
        <item m="1" x="1540"/>
        <item m="1" x="914"/>
        <item m="1" x="815"/>
        <item m="1" x="519"/>
        <item m="1" x="780"/>
        <item m="1" x="1504"/>
        <item m="1" x="572"/>
        <item m="1" x="880"/>
        <item m="1" x="1248"/>
        <item m="1" x="963"/>
        <item m="1" x="1056"/>
        <item m="1" x="1352"/>
        <item m="1" x="1537"/>
        <item m="1" x="998"/>
        <item m="1" x="1020"/>
        <item m="1" x="785"/>
        <item m="1" x="1186"/>
        <item m="1" x="945"/>
        <item m="1" x="1491"/>
        <item m="1" x="1148"/>
        <item m="1" x="581"/>
        <item m="1" x="689"/>
        <item m="1" x="1476"/>
        <item m="1" x="1240"/>
        <item m="1" x="494"/>
        <item m="1" x="1326"/>
        <item m="1" x="992"/>
        <item m="1" x="1287"/>
        <item m="1" x="873"/>
        <item m="1" x="1225"/>
        <item m="1" x="484"/>
        <item m="1" x="514"/>
        <item m="1" x="1553"/>
        <item m="1" x="1232"/>
        <item m="1" x="1300"/>
        <item m="1" x="1407"/>
        <item m="1" x="1176"/>
        <item m="1" x="1274"/>
        <item m="1" x="1113"/>
        <item m="1" x="568"/>
        <item m="1" x="759"/>
        <item m="1" x="1535"/>
        <item m="1" x="1103"/>
        <item m="1" x="1243"/>
        <item m="1" x="771"/>
        <item m="1" x="732"/>
        <item m="1" x="1024"/>
        <item m="1" x="916"/>
        <item m="1" x="949"/>
        <item m="1" x="508"/>
        <item m="1" x="647"/>
        <item m="1" x="1309"/>
        <item m="1" x="1526"/>
        <item m="1" x="712"/>
        <item m="1" x="1117"/>
        <item m="1" x="1127"/>
        <item m="1" x="1304"/>
        <item m="1" x="1414"/>
        <item m="1" x="1292"/>
        <item m="1" x="587"/>
        <item m="1" x="1435"/>
        <item m="1" x="1165"/>
        <item m="1" x="1152"/>
        <item m="1" x="687"/>
        <item m="1" x="1040"/>
        <item m="1" x="1387"/>
        <item m="1" x="505"/>
        <item m="1" x="1084"/>
        <item m="1" x="1437"/>
        <item m="1" x="1275"/>
        <item m="1" x="1010"/>
        <item m="1" x="1052"/>
        <item m="1" x="933"/>
        <item m="1" x="1168"/>
        <item m="1" x="980"/>
        <item m="1" x="1212"/>
        <item m="1" x="696"/>
        <item m="1" x="1525"/>
        <item m="1" x="1050"/>
        <item m="1" x="1336"/>
        <item m="1" x="413"/>
        <item m="1" x="1541"/>
        <item m="1" x="1077"/>
        <item m="1" x="1366"/>
        <item m="1" x="1279"/>
        <item m="1" x="1057"/>
        <item m="1" x="567"/>
        <item m="1" x="574"/>
        <item m="1" x="614"/>
        <item m="1" x="796"/>
        <item m="1" x="1220"/>
        <item m="1" x="981"/>
        <item m="1" x="1097"/>
        <item m="1" x="1160"/>
        <item m="1" x="1307"/>
        <item m="1" x="1390"/>
        <item m="1" x="952"/>
        <item m="1" x="673"/>
        <item m="1" x="516"/>
        <item m="1" x="659"/>
        <item m="1" x="1534"/>
        <item m="1" x="691"/>
        <item m="1" x="1372"/>
        <item m="1" x="1301"/>
        <item m="1" x="919"/>
        <item m="1" x="991"/>
        <item m="1" x="857"/>
        <item m="1" x="1114"/>
        <item m="1" x="1489"/>
        <item m="1" x="665"/>
        <item m="1" x="613"/>
        <item m="1" x="548"/>
        <item m="1" x="1214"/>
        <item m="1" x="1474"/>
        <item m="1" x="1402"/>
        <item m="1" x="1059"/>
        <item m="1" x="583"/>
        <item m="1" x="1308"/>
        <item m="1" x="760"/>
        <item m="1" x="1014"/>
        <item m="1" x="1189"/>
        <item m="1" x="1297"/>
        <item m="1" x="417"/>
        <item m="1" x="1246"/>
        <item m="1" x="1209"/>
        <item m="1" x="650"/>
        <item m="1" x="1098"/>
        <item m="1" x="986"/>
        <item m="1" x="939"/>
        <item m="1" x="672"/>
        <item m="1" x="608"/>
        <item m="1" x="848"/>
        <item m="1" x="1035"/>
        <item m="1" x="442"/>
        <item m="1" x="781"/>
        <item m="1" x="640"/>
        <item m="1" x="382"/>
        <item m="1" x="892"/>
        <item m="1" x="1093"/>
        <item m="1" x="975"/>
        <item m="1" x="1021"/>
        <item m="1" x="1340"/>
        <item m="1" x="922"/>
        <item m="1" x="1448"/>
        <item m="1" x="1172"/>
        <item m="1" x="1111"/>
        <item m="1" x="625"/>
        <item m="1" x="1258"/>
        <item m="1" x="1536"/>
        <item m="1" x="1224"/>
        <item m="1" x="1208"/>
        <item m="1" x="495"/>
        <item m="1" x="543"/>
        <item m="1" x="1078"/>
        <item m="1" x="584"/>
        <item m="1" x="1521"/>
        <item m="1" x="1187"/>
        <item m="1" x="1112"/>
        <item m="1" x="1064"/>
        <item m="1" x="865"/>
        <item m="1" x="493"/>
        <item m="1" x="593"/>
        <item m="1" x="699"/>
        <item m="1" x="1432"/>
        <item m="1" x="1464"/>
        <item m="1" x="1163"/>
        <item m="1" x="890"/>
        <item m="1" x="978"/>
        <item m="1" x="488"/>
        <item m="1" x="528"/>
        <item m="1" x="867"/>
        <item m="1" x="1092"/>
        <item m="1" x="1005"/>
        <item m="1" x="663"/>
        <item m="1" x="896"/>
        <item m="1" x="610"/>
        <item m="1" x="805"/>
        <item m="1" x="727"/>
        <item m="1" x="562"/>
        <item m="1" x="698"/>
        <item m="1" x="1068"/>
        <item m="1" x="478"/>
        <item m="1" x="717"/>
        <item m="1" x="509"/>
        <item m="1" x="1202"/>
        <item m="1" x="1391"/>
        <item m="1" x="1001"/>
        <item m="1" x="645"/>
        <item m="1" x="1295"/>
        <item m="1" x="1140"/>
        <item m="1" x="657"/>
        <item m="1" x="658"/>
        <item m="1" x="843"/>
        <item m="1" x="533"/>
        <item m="1" x="722"/>
        <item m="1" x="517"/>
        <item m="1" x="703"/>
        <item m="1" x="1271"/>
        <item m="1" x="782"/>
        <item m="1" x="1149"/>
        <item m="1" x="1199"/>
        <item m="1" x="1333"/>
        <item m="1" x="1337"/>
        <item m="1" x="1054"/>
        <item m="1" x="895"/>
        <item m="1" x="934"/>
        <item m="1" x="1501"/>
        <item m="1" x="794"/>
        <item m="1" x="606"/>
        <item m="1" x="984"/>
        <item m="1" x="441"/>
        <item m="1" x="1505"/>
        <item m="1" x="968"/>
        <item m="1" x="402"/>
        <item m="1" x="1423"/>
        <item m="1" x="1466"/>
        <item m="1" x="1303"/>
        <item m="1" x="680"/>
        <item m="1" x="419"/>
        <item m="1" x="1353"/>
        <item m="1" x="744"/>
        <item m="1" x="380"/>
        <item m="1" x="1524"/>
        <item m="1" x="768"/>
        <item m="1" x="923"/>
        <item m="1" x="1368"/>
        <item m="1" x="455"/>
        <item m="1" x="1280"/>
        <item m="1" x="1088"/>
        <item m="1" x="953"/>
        <item m="1" x="823"/>
        <item m="1" x="570"/>
        <item m="1" x="1071"/>
        <item m="1" x="773"/>
        <item m="1" x="1311"/>
        <item m="1" x="633"/>
        <item m="1" x="1381"/>
        <item m="1" x="1388"/>
        <item m="1" x="1072"/>
        <item m="1" x="1262"/>
        <item m="1" x="679"/>
        <item m="1" x="976"/>
        <item m="1" x="1265"/>
        <item m="1" x="849"/>
        <item m="1" x="1139"/>
        <item m="1" x="778"/>
        <item m="1" x="563"/>
        <item m="1" x="767"/>
        <item m="1" x="1533"/>
        <item m="1" x="1475"/>
        <item m="1" x="620"/>
        <item m="1" x="1421"/>
        <item m="1" x="427"/>
        <item m="1" x="1443"/>
        <item m="1" x="462"/>
        <item m="1" x="764"/>
        <item m="1" x="862"/>
        <item m="1" x="809"/>
        <item m="1" x="1416"/>
        <item m="1" x="1319"/>
        <item m="1" x="560"/>
        <item m="1" x="1130"/>
        <item m="1" x="1338"/>
        <item m="1" x="1472"/>
        <item m="1" x="1379"/>
        <item m="1" x="465"/>
        <item m="1" x="1545"/>
        <item m="1" x="616"/>
        <item m="1" x="897"/>
        <item m="1" x="1341"/>
        <item m="1" x="464"/>
        <item m="1" x="1400"/>
        <item m="1" x="629"/>
        <item m="1" x="1273"/>
        <item m="1" x="1137"/>
        <item m="1" x="1115"/>
        <item m="1" x="694"/>
        <item m="1" x="656"/>
        <item m="1" x="1468"/>
        <item m="1" x="409"/>
        <item m="1" x="591"/>
        <item m="1" x="1250"/>
        <item m="1" x="1361"/>
        <item m="1" x="1288"/>
        <item m="1" x="1492"/>
        <item m="1" x="996"/>
        <item m="1" x="623"/>
        <item m="1" x="743"/>
        <item m="1" x="1062"/>
        <item m="1" x="804"/>
        <item m="1" x="1132"/>
        <item m="1" x="745"/>
        <item m="1" x="547"/>
        <item m="1" x="1200"/>
        <item m="1" x="602"/>
        <item m="1" x="482"/>
        <item m="1" x="1334"/>
        <item m="1" x="1481"/>
        <item m="1" x="1182"/>
        <item m="1" x="447"/>
        <item m="1" x="1373"/>
        <item m="1" x="1171"/>
        <item m="1" x="1281"/>
        <item m="1" x="1420"/>
        <item m="1" x="648"/>
        <item m="1" x="840"/>
        <item m="1" x="678"/>
        <item m="1" x="946"/>
        <item m="1" x="870"/>
        <item m="1" x="900"/>
        <item m="1" x="1436"/>
        <item m="1" x="882"/>
        <item m="1" x="1085"/>
        <item m="1" x="617"/>
        <item m="1" x="816"/>
        <item m="1" x="790"/>
        <item m="1" x="1133"/>
        <item m="1" x="1036"/>
        <item m="1" x="1264"/>
        <item m="1" x="786"/>
        <item m="1" x="1422"/>
        <item m="1" x="624"/>
        <item m="1" x="550"/>
        <item m="1" x="806"/>
        <item m="1" x="1347"/>
        <item m="1" x="457"/>
        <item m="1" x="458"/>
        <item m="1" x="754"/>
        <item m="1" x="1427"/>
        <item m="1" x="821"/>
        <item m="1" x="466"/>
        <item m="1" x="626"/>
        <item m="1" x="868"/>
        <item m="1" x="1179"/>
        <item m="1" x="1151"/>
        <item m="1" x="822"/>
        <item m="1" x="403"/>
        <item m="1" x="541"/>
        <item m="1" x="753"/>
        <item m="1" x="641"/>
        <item m="1" x="398"/>
        <item m="1" x="1351"/>
        <item m="1" x="1480"/>
        <item m="1" x="950"/>
        <item m="1" x="1380"/>
        <item m="1" x="1440"/>
        <item m="1" x="463"/>
        <item m="1" x="1478"/>
        <item m="1" x="1216"/>
        <item m="1" x="639"/>
        <item m="1" x="825"/>
        <item m="1" x="729"/>
        <item m="1" x="1091"/>
        <item m="1" x="662"/>
        <item m="1" x="878"/>
        <item m="1" x="1173"/>
        <item m="1" x="1298"/>
        <item m="1" x="801"/>
        <item m="1" x="929"/>
        <item m="1" x="741"/>
        <item m="1" x="667"/>
        <item m="1" x="1178"/>
        <item m="1" x="1293"/>
        <item m="1" x="1455"/>
        <item m="1" x="497"/>
        <item m="1" x="701"/>
        <item m="1" x="1141"/>
        <item m="1" x="542"/>
        <item m="1" x="829"/>
        <item m="1" x="1210"/>
        <item m="1" x="475"/>
        <item m="1" x="685"/>
        <item m="1" x="795"/>
        <item m="1" x="1401"/>
        <item m="1" x="634"/>
        <item m="1" x="904"/>
        <item m="1" x="1457"/>
        <item m="1" x="585"/>
        <item m="1" x="774"/>
        <item m="1" x="962"/>
        <item m="1" x="1299"/>
        <item m="1" x="597"/>
        <item m="1" x="853"/>
        <item m="1" x="695"/>
        <item m="1" x="1191"/>
        <item m="1" x="1377"/>
        <item m="1" x="503"/>
        <item m="1" x="723"/>
        <item m="1" x="1459"/>
        <item m="1" x="1424"/>
        <item m="1" x="524"/>
        <item m="1" x="841"/>
        <item m="1" x="1365"/>
        <item m="1" x="1496"/>
        <item m="1" x="1367"/>
        <item m="1" x="1342"/>
        <item m="1" x="473"/>
        <item m="1" x="649"/>
        <item m="1" x="731"/>
        <item m="1" x="720"/>
        <item m="1" x="947"/>
        <item m="1" x="435"/>
        <item m="1" x="1134"/>
        <item m="1" x="1205"/>
        <item m="1" x="387"/>
        <item m="1" x="1465"/>
        <item m="1" x="1327"/>
        <item m="1" x="1456"/>
        <item m="1" x="1486"/>
        <item m="1" x="1522"/>
        <item m="1" x="1460"/>
        <item m="1" x="824"/>
        <item m="1" x="1184"/>
        <item m="1" x="791"/>
        <item m="1" x="1197"/>
        <item m="1" x="1162"/>
        <item m="1" x="600"/>
        <item m="1" x="638"/>
        <item m="1" x="776"/>
        <item m="1" x="1241"/>
        <item m="1" x="761"/>
        <item m="1" x="507"/>
        <item m="1" x="1506"/>
        <item m="1" x="1256"/>
        <item m="1" x="1089"/>
        <item m="1" x="1121"/>
        <item m="1" x="1170"/>
        <item m="1" x="595"/>
        <item m="1" x="937"/>
        <item m="1" x="1282"/>
        <item m="1" x="433"/>
        <item m="1" x="676"/>
        <item m="1" x="576"/>
        <item m="1" x="573"/>
        <item m="1" x="577"/>
        <item m="1" x="378"/>
        <item m="1" x="599"/>
        <item m="1" x="1396"/>
        <item m="1" x="400"/>
        <item m="1" x="1046"/>
        <item m="1" x="1483"/>
        <item m="1" x="1294"/>
        <item m="1" x="554"/>
        <item m="1" x="1554"/>
        <item m="1" x="483"/>
        <item m="1" x="850"/>
        <item m="1" x="1073"/>
        <item m="1" x="529"/>
        <item m="1" x="982"/>
        <item m="1" x="1142"/>
        <item m="1" x="1410"/>
        <item m="1" x="1312"/>
        <item m="1" x="391"/>
        <item m="1" x="1074"/>
        <item m="1" x="474"/>
        <item m="1" x="710"/>
        <item m="1" x="682"/>
        <item m="1" x="444"/>
        <item m="1" x="1037"/>
        <item m="1" x="1044"/>
        <item m="1" x="1144"/>
        <item m="1" x="893"/>
        <item m="1" x="1393"/>
        <item m="1" x="802"/>
        <item m="1" x="1512"/>
        <item m="1" x="1147"/>
        <item m="1" x="1038"/>
        <item m="1" x="702"/>
        <item m="1" x="1110"/>
        <item m="1" x="1408"/>
        <item m="1" x="1473"/>
        <item m="1" x="1452"/>
        <item m="1" x="1382"/>
        <item m="1" x="1131"/>
        <item m="1" x="1244"/>
        <item m="1" x="757"/>
        <item m="1" x="1206"/>
        <item m="1" x="1031"/>
        <item m="1" x="990"/>
        <item m="1" x="988"/>
        <item m="1" x="989"/>
        <item m="1" x="686"/>
        <item m="1" x="730"/>
        <item m="1" x="1343"/>
        <item m="1" x="908"/>
        <item m="1" x="750"/>
        <item m="1" x="792"/>
        <item m="1" x="838"/>
        <item m="1" x="1090"/>
        <item m="1" x="1428"/>
        <item m="1" x="1517"/>
        <item m="1" x="635"/>
        <item m="1" x="586"/>
        <item m="1" x="423"/>
        <item m="1" x="445"/>
        <item m="1" x="742"/>
        <item m="1" x="530"/>
        <item m="1" x="858"/>
        <item m="1" x="1394"/>
        <item m="1" x="735"/>
        <item m="1" x="527"/>
        <item m="1" x="1286"/>
        <item m="1" x="404"/>
        <item m="1" x="1412"/>
        <item m="1" x="1487"/>
        <item m="1" x="1551"/>
        <item m="1" x="1426"/>
        <item m="1" x="669"/>
        <item m="1" x="446"/>
        <item m="1" x="910"/>
        <item m="1" x="994"/>
        <item m="1" x="1190"/>
        <item m="1" x="1158"/>
        <item m="1" x="1194"/>
        <item m="1" x="971"/>
        <item m="1" x="1009"/>
        <item m="1" x="1450"/>
        <item m="1" x="1213"/>
        <item m="1" x="1183"/>
        <item m="1" x="1122"/>
        <item m="1" x="1195"/>
        <item m="1" x="396"/>
        <item m="1" x="401"/>
        <item m="1" x="1004"/>
        <item m="1" x="1389"/>
        <item m="1" x="959"/>
        <item m="1" x="1529"/>
        <item m="1" x="928"/>
        <item m="1" x="1104"/>
        <item m="1" x="1175"/>
        <item m="1" x="789"/>
        <item m="1" x="621"/>
        <item m="1" x="997"/>
        <item m="1" x="683"/>
        <item m="1" x="1538"/>
        <item m="1" x="1453"/>
        <item m="1" x="1266"/>
        <item m="1" x="523"/>
        <item m="1" x="450"/>
        <item m="1" x="1023"/>
        <item m="1" x="1267"/>
        <item m="1" x="1556"/>
        <item m="1" x="902"/>
        <item m="1" x="1503"/>
        <item m="1" x="437"/>
        <item m="1" x="551"/>
        <item m="1" x="863"/>
        <item m="1" x="954"/>
        <item m="1" x="1383"/>
        <item m="1" x="707"/>
        <item m="1" x="1386"/>
        <item m="1" x="803"/>
        <item m="1" x="1375"/>
        <item m="1" x="1539"/>
        <item m="1" x="467"/>
        <item m="1" x="1523"/>
        <item m="1" x="414"/>
        <item m="1" x="1276"/>
        <item m="1" x="894"/>
        <item m="1" x="725"/>
        <item m="1" x="688"/>
        <item m="1" x="832"/>
        <item m="1" x="431"/>
        <item m="1" x="1516"/>
        <item m="1" x="515"/>
        <item m="1" x="536"/>
        <item m="1" x="1409"/>
        <item m="1" x="1488"/>
        <item m="1" x="1002"/>
        <item m="1" x="1143"/>
        <item m="1" x="844"/>
        <item m="1" x="957"/>
        <item m="1" x="1106"/>
        <item m="1" x="1223"/>
        <item m="1" x="810"/>
        <item m="1" x="1086"/>
        <item m="1" x="905"/>
        <item m="1" x="1542"/>
        <item m="1" x="395"/>
        <item m="1" x="834"/>
        <item m="1" x="775"/>
        <item m="1" x="736"/>
        <item m="1" x="1530"/>
        <item m="1" x="1348"/>
        <item m="1" x="1479"/>
        <item m="1" x="492"/>
        <item m="1" x="1490"/>
        <item m="1" x="1477"/>
        <item m="1" x="1354"/>
        <item m="1" x="589"/>
        <item m="1" x="958"/>
        <item m="1" x="1051"/>
        <item m="1" x="797"/>
        <item m="1" x="1395"/>
        <item m="1" x="1181"/>
        <item m="1" x="1201"/>
        <item m="1" x="1095"/>
        <item m="1" x="438"/>
        <item m="1" x="1268"/>
        <item m="1" x="1430"/>
        <item m="1" x="835"/>
        <item m="1" x="1549"/>
        <item m="1" x="1043"/>
        <item m="1" x="630"/>
        <item m="1" x="763"/>
        <item m="1" x="799"/>
        <item m="1" x="1458"/>
        <item m="1" x="1442"/>
        <item m="1" x="502"/>
        <item m="1" x="504"/>
        <item m="1" x="418"/>
        <item m="1" x="1378"/>
        <item m="1" x="420"/>
        <item m="1" x="837"/>
        <item m="1" x="737"/>
        <item m="1" x="1193"/>
        <item m="1" x="1136"/>
        <item m="1" x="1485"/>
        <item m="1" x="1417"/>
        <item m="1" x="909"/>
        <item m="1" x="1123"/>
        <item m="1" x="1358"/>
        <item m="1" x="471"/>
        <item m="1" x="903"/>
        <item m="1" x="833"/>
        <item m="1" x="1527"/>
        <item m="1" x="1494"/>
        <item m="1" x="925"/>
        <item m="1" x="531"/>
        <item m="1" x="826"/>
        <item m="1" x="999"/>
        <item m="1" x="453"/>
        <item m="1" x="1289"/>
        <item m="1" x="883"/>
        <item m="1" x="693"/>
        <item m="1" x="787"/>
        <item m="1" x="1233"/>
        <item m="1" x="1532"/>
        <item m="1" x="611"/>
        <item m="1" x="1384"/>
        <item m="1" x="605"/>
        <item m="1" x="1169"/>
        <item m="1" x="941"/>
        <item m="1" x="872"/>
        <item m="1" x="594"/>
        <item m="1" x="661"/>
        <item m="1" x="449"/>
        <item m="1" x="1249"/>
        <item m="1" x="762"/>
        <item m="1" x="486"/>
        <item m="1" x="1100"/>
        <item m="1" x="1415"/>
        <item m="1" x="955"/>
        <item m="1" x="913"/>
        <item m="1" x="384"/>
        <item m="1" x="1520"/>
        <item m="1" x="770"/>
        <item m="1" x="830"/>
        <item m="1" x="1237"/>
        <item m="1" x="1514"/>
        <item m="1" x="1439"/>
        <item m="1" x="1290"/>
        <item m="1" x="1405"/>
        <item m="1" x="566"/>
        <item m="1" x="765"/>
        <item m="1" x="598"/>
        <item m="1" x="390"/>
        <item m="1" x="1003"/>
        <item m="1" x="452"/>
        <item m="1" x="674"/>
        <item m="1" x="618"/>
        <item m="1" x="564"/>
        <item m="1" x="1519"/>
        <item m="1" x="615"/>
        <item m="1" x="1217"/>
        <item m="1" x="1429"/>
        <item m="1" x="555"/>
        <item m="1" x="459"/>
        <item m="1" x="1252"/>
        <item m="1" x="1228"/>
        <item m="1" x="1269"/>
        <item m="1" x="1188"/>
        <item m="1" x="532"/>
        <item m="1" x="888"/>
        <item m="1" x="1156"/>
        <item m="1" x="1406"/>
        <item m="1" x="1000"/>
        <item m="1" x="1118"/>
        <item m="1" x="1462"/>
        <item m="1" x="874"/>
        <item m="1" x="718"/>
        <item m="1" x="951"/>
        <item m="1" x="898"/>
        <item m="1" x="828"/>
        <item m="1" x="1345"/>
        <item m="1" x="1032"/>
        <item m="1" x="1128"/>
        <item m="1" x="379"/>
        <item m="1" x="924"/>
        <item m="1" x="526"/>
        <item m="1" x="793"/>
        <item m="1" x="931"/>
        <item m="1" x="461"/>
        <item m="1" x="578"/>
        <item m="1" x="1033"/>
        <item m="1" x="1230"/>
        <item m="1" x="1500"/>
        <item m="1" x="1543"/>
        <item m="1" x="1153"/>
        <item m="1" x="501"/>
        <item m="1" x="429"/>
        <item m="1" x="1015"/>
        <item m="1" x="637"/>
        <item m="1" x="911"/>
        <item m="1" x="539"/>
        <item m="1" x="642"/>
        <item m="1" x="1069"/>
        <item m="1" x="1425"/>
        <item m="1" x="1356"/>
        <item m="1" x="772"/>
        <item m="1" x="807"/>
        <item m="1" x="1083"/>
        <item m="1" x="1513"/>
        <item m="1" x="1239"/>
        <item m="1" x="405"/>
        <item m="1" x="1467"/>
        <item m="1" x="513"/>
        <item m="1" x="1159"/>
        <item m="1" x="1204"/>
        <item m="1" x="1207"/>
        <item m="1" x="1547"/>
        <item m="1" x="440"/>
        <item m="1" x="1218"/>
        <item m="1" x="1315"/>
        <item m="1" x="1087"/>
        <item m="1" x="1257"/>
        <item m="1" x="499"/>
        <item m="1" x="891"/>
        <item m="1" x="738"/>
        <item m="1" x="1350"/>
        <item m="1" x="1445"/>
        <item m="1" x="974"/>
        <item m="1" x="1413"/>
        <item m="1" x="1461"/>
        <item m="1" x="814"/>
        <item m="1" x="1317"/>
        <item m="1" x="1180"/>
        <item m="1" x="1463"/>
        <item m="1" x="1507"/>
        <item m="1" x="1245"/>
        <item m="1" x="855"/>
        <item m="1" x="660"/>
        <item m="1" x="1495"/>
        <item m="1" x="1042"/>
        <item m="1" x="1016"/>
        <item m="1" x="1025"/>
        <item m="1" x="1546"/>
        <item m="1" x="1270"/>
        <item m="1" x="965"/>
        <item m="1" x="1234"/>
        <item m="1" x="1211"/>
        <item m="1" x="827"/>
        <item m="1" x="728"/>
        <item m="1" x="1227"/>
        <item m="1" x="622"/>
        <item m="1" x="579"/>
        <item m="1" x="521"/>
        <item m="1" x="1508"/>
        <item m="1" x="1124"/>
        <item m="1" x="859"/>
        <item m="1" x="940"/>
        <item m="1" x="421"/>
        <item m="1" x="1497"/>
        <item m="1" x="1048"/>
        <item m="1" x="1196"/>
        <item m="1" x="644"/>
        <item m="1" x="1328"/>
        <item m="1" x="831"/>
        <item m="1" x="724"/>
        <item m="1" x="1552"/>
        <item m="1" x="854"/>
        <item m="1" x="1493"/>
        <item m="1" x="1079"/>
        <item m="1" x="755"/>
        <item m="1" x="546"/>
        <item m="1" x="489"/>
        <item m="1" x="783"/>
        <item m="1" x="480"/>
        <item m="1" x="451"/>
        <item m="1" x="468"/>
        <item m="1" x="747"/>
        <item m="1" x="592"/>
        <item m="1" x="899"/>
        <item m="1" x="956"/>
        <item m="1" x="1055"/>
        <item m="1" x="926"/>
        <item m="1" x="1259"/>
        <item m="1" x="1323"/>
        <item m="1" x="535"/>
        <item m="1" x="545"/>
        <item m="1" x="734"/>
        <item m="1" x="876"/>
        <item m="1" x="666"/>
        <item m="1" x="1219"/>
        <item m="1" x="969"/>
        <item m="1" x="886"/>
        <item m="1" x="1019"/>
        <item m="1" x="1325"/>
        <item m="1" x="1263"/>
        <item m="1" x="1349"/>
        <item m="1" x="1105"/>
        <item m="1" x="525"/>
        <item m="1" x="1531"/>
        <item m="1" x="944"/>
        <item m="1" x="559"/>
        <item m="1" x="383"/>
        <item m="1" x="1528"/>
        <item m="1" x="1012"/>
        <item m="1" x="979"/>
        <item m="1" x="751"/>
        <item m="1" x="631"/>
        <item m="1" x="715"/>
        <item m="1" x="869"/>
        <item m="1" x="1444"/>
        <item m="1" x="1363"/>
        <item m="1" x="739"/>
        <item m="1" x="812"/>
        <item m="1" x="819"/>
        <item m="1" x="1357"/>
        <item m="1" x="960"/>
        <item m="1" x="432"/>
        <item m="1" x="993"/>
        <item m="1" x="1272"/>
        <item m="1" x="1398"/>
        <item m="1" x="1291"/>
        <item m="1" x="1099"/>
        <item m="1" x="1397"/>
        <item m="1" x="411"/>
        <item m="1" x="1314"/>
        <item m="1" x="393"/>
        <item m="1" x="733"/>
        <item m="1" x="397"/>
        <item m="1" x="556"/>
        <item m="1" x="646"/>
        <item m="1" x="652"/>
        <item m="1" x="1070"/>
        <item m="1" x="1324"/>
        <item m="1" x="851"/>
        <item m="1" x="422"/>
        <item m="1" x="628"/>
        <item m="1" x="416"/>
        <item m="1" x="1411"/>
        <item m="1" x="636"/>
        <item m="1" x="972"/>
        <item m="1" x="1431"/>
        <item m="1" x="758"/>
        <item m="1" x="700"/>
        <item m="1" x="1096"/>
        <item m="1" x="653"/>
        <item m="1" x="961"/>
        <item m="1" x="1255"/>
        <item m="1" x="394"/>
        <item m="1" x="907"/>
        <item m="1" x="1026"/>
        <item m="1" x="518"/>
        <item m="1" x="860"/>
        <item m="1" x="995"/>
        <item m="1" x="746"/>
        <item m="1" x="784"/>
        <item m="1" x="511"/>
        <item m="1" x="917"/>
        <item m="1" x="381"/>
        <item m="1" x="1053"/>
        <item m="1" x="1446"/>
        <item m="1" x="1167"/>
        <item m="1" x="1161"/>
        <item m="1" x="1060"/>
        <item m="1" x="386"/>
        <item m="1" x="1192"/>
        <item m="1" x="1235"/>
        <item m="1" x="1041"/>
        <item m="1" x="385"/>
        <item m="1" x="1392"/>
        <item m="1" x="1359"/>
        <item m="1" x="389"/>
        <item m="1" x="668"/>
        <item m="1" x="1058"/>
        <item m="1" x="1313"/>
        <item m="1" x="510"/>
        <item m="1" x="406"/>
        <item m="1" x="565"/>
        <item m="1" x="456"/>
        <item m="1" x="864"/>
        <item m="1" x="677"/>
        <item m="1" x="675"/>
        <item m="1" x="846"/>
        <item m="1" x="948"/>
        <item m="1" x="852"/>
        <item m="1" x="1049"/>
        <item m="1" x="901"/>
        <item m="1" x="766"/>
        <item m="1" x="881"/>
        <item m="1" x="1374"/>
        <item m="1" x="1469"/>
        <item m="1" x="726"/>
        <item m="1" x="1449"/>
        <item m="1" x="491"/>
        <item m="1" x="1438"/>
        <item m="1" x="1135"/>
        <item m="1" x="1306"/>
        <item m="1" x="1385"/>
        <item m="1" x="1065"/>
        <item m="1" x="1277"/>
        <item m="1" x="569"/>
        <item m="1" x="552"/>
        <item m="1" x="1174"/>
        <item m="1" x="1146"/>
        <item m="1" x="708"/>
        <item m="1" x="1544"/>
        <item m="1" x="1116"/>
        <item m="1" x="856"/>
        <item m="1" x="930"/>
        <item m="1" x="889"/>
        <item m="1" x="1399"/>
        <item m="1" x="1403"/>
        <item m="1" x="399"/>
        <item m="1" x="1283"/>
        <item m="1" x="1329"/>
        <item m="1" x="448"/>
        <item m="1" x="820"/>
        <item m="1" x="811"/>
        <item m="1" x="1318"/>
        <item m="1" x="1017"/>
        <item m="1" x="1221"/>
        <item m="1" x="887"/>
        <item m="1" x="1238"/>
        <item m="1" x="426"/>
        <item m="1" x="549"/>
        <item m="1" x="1518"/>
        <item m="1" x="1138"/>
        <item m="1" x="1510"/>
        <item m="1" x="430"/>
        <item m="1" x="690"/>
        <item m="1" x="506"/>
        <item m="1" x="439"/>
        <item m="1" x="454"/>
        <item m="1" x="1006"/>
        <item m="1" x="1039"/>
        <item m="1" x="711"/>
        <item m="1" x="1129"/>
        <item m="1" x="1447"/>
        <item m="1" x="798"/>
        <item m="1" x="877"/>
        <item m="1" x="1027"/>
        <item m="1" x="1515"/>
        <item m="1" x="692"/>
        <item m="1" x="704"/>
        <item m="1" x="714"/>
        <item m="1" x="1335"/>
        <item m="1" x="1471"/>
        <item m="1" x="388"/>
        <item m="1" x="1215"/>
        <item m="1" x="1511"/>
        <item m="1" x="612"/>
        <item m="1" x="927"/>
        <item m="1" x="1548"/>
        <item m="1" x="1454"/>
        <item m="1" x="601"/>
        <item m="1" x="713"/>
        <item m="1" x="800"/>
        <item m="1" x="1125"/>
        <item m="1" x="1322"/>
        <item m="1" x="557"/>
        <item m="1" x="1028"/>
        <item m="1" x="553"/>
        <item m="1" x="522"/>
        <item m="1" x="470"/>
        <item m="1" x="1441"/>
        <item m="1" x="1034"/>
        <item m="1" x="1482"/>
        <item m="1" x="875"/>
        <item m="1" x="1499"/>
        <item m="1" x="1251"/>
        <item m="1" x="540"/>
        <item m="1" x="1355"/>
        <item m="1" x="1369"/>
        <item m="1" x="1029"/>
        <item m="1" x="1404"/>
        <item m="1" x="1242"/>
        <item m="1" x="1107"/>
        <item m="1" x="424"/>
        <item m="1" x="1253"/>
        <item m="1" x="985"/>
        <item m="1" x="918"/>
        <item m="1" x="1261"/>
        <item m="1" x="845"/>
        <item m="1" x="479"/>
        <item m="1" x="651"/>
        <item m="1" x="428"/>
        <item m="1" x="777"/>
        <item m="1" x="1155"/>
        <item m="1" x="740"/>
        <item m="1" x="603"/>
        <item m="1" x="818"/>
        <item m="1" x="496"/>
        <item m="1" x="748"/>
        <item m="1" x="619"/>
        <item m="1" x="970"/>
        <item m="1" x="1557"/>
        <item m="1" x="1011"/>
        <item m="1" x="607"/>
        <item m="1" x="884"/>
        <item m="1" x="590"/>
        <item m="1" x="643"/>
        <item m="1" x="935"/>
        <item m="1" x="1203"/>
        <item m="1" x="920"/>
        <item m="1" x="1370"/>
        <item m="1" x="932"/>
        <item m="1" x="1166"/>
        <item m="1" x="481"/>
        <item m="1" x="964"/>
        <item m="1" x="604"/>
        <item m="1" x="534"/>
        <item m="1" x="1260"/>
        <item m="1" x="575"/>
        <item m="1" x="1284"/>
        <item m="1" x="476"/>
        <item m="1" x="1101"/>
        <item m="1" x="1108"/>
        <item m="1" x="512"/>
        <item m="1" x="1030"/>
        <item m="1" x="408"/>
        <item m="1" x="1231"/>
        <item m="1" x="936"/>
        <item m="1" x="1157"/>
        <item m="1" x="1126"/>
        <item m="1" x="1346"/>
        <item m="1" x="1119"/>
        <item m="1" x="697"/>
        <item m="1" x="1198"/>
        <item m="1" x="1332"/>
        <item m="1" x="1022"/>
        <item m="1" x="1154"/>
        <item m="1" x="487"/>
        <item m="1" x="1320"/>
        <item m="1" x="977"/>
        <item m="1" x="842"/>
        <item m="1" x="1226"/>
        <item m="1" x="752"/>
        <item m="1" x="1075"/>
        <item m="1" x="609"/>
        <item m="1" x="705"/>
        <item m="1" x="1102"/>
        <item m="1" x="871"/>
        <item m="1" x="415"/>
        <item m="1" x="749"/>
        <item m="1" x="1229"/>
        <item m="1" x="1331"/>
        <item m="1" x="434"/>
        <item m="1" x="719"/>
        <item m="1" x="654"/>
        <item m="1" x="987"/>
        <item m="1" x="1080"/>
        <item m="1" x="520"/>
        <item m="1" x="1502"/>
        <item m="1" x="485"/>
        <item m="1" x="558"/>
        <item m="1" x="1339"/>
        <item m="1" x="847"/>
        <item m="1" x="861"/>
        <item m="1" x="915"/>
        <item m="1" x="490"/>
        <item m="1" x="769"/>
        <item m="1" x="1164"/>
        <item m="1" x="1076"/>
        <item m="1" x="866"/>
        <item m="1" x="813"/>
        <item m="1" x="443"/>
        <item m="1" x="681"/>
        <item m="1" x="1145"/>
        <item m="1" x="779"/>
        <item m="1" x="942"/>
        <item m="1" x="879"/>
        <item m="1" x="1061"/>
        <item m="1" x="425"/>
        <item m="1" x="906"/>
        <item m="1" x="580"/>
        <item m="1" x="983"/>
        <item m="1" x="1109"/>
        <item m="1" x="1185"/>
        <item m="1" x="1120"/>
        <item m="1" x="1081"/>
        <item m="1" x="1007"/>
        <item m="1" x="1418"/>
        <item m="1" x="1310"/>
        <item m="1" x="561"/>
        <item m="1" x="1302"/>
        <item m="1" x="756"/>
        <item m="1" x="1066"/>
        <item m="1" x="472"/>
        <item m="1" x="1045"/>
        <item m="1" x="912"/>
        <item m="1" x="1344"/>
        <item m="1" x="498"/>
        <item m="1" x="1555"/>
        <item m="1" x="537"/>
        <item m="1" x="477"/>
        <item m="1" x="1047"/>
        <item m="1" x="1247"/>
        <item m="1" x="1150"/>
        <item m="1" x="436"/>
        <item m="1" x="588"/>
        <item m="1" x="1376"/>
        <item m="1" x="1316"/>
        <item m="1" x="571"/>
        <item m="1" x="544"/>
        <item m="1" x="839"/>
        <item m="1" x="460"/>
        <item m="1" x="1067"/>
        <item m="1" x="500"/>
        <item m="1" x="670"/>
        <item m="1" x="967"/>
        <item m="1" x="1498"/>
        <item m="1" x="538"/>
        <item m="1" x="808"/>
        <item m="1" x="655"/>
        <item m="1" x="817"/>
        <item m="1" x="1371"/>
        <item m="1" x="1254"/>
        <item m="1" x="716"/>
        <item m="1" x="469"/>
        <item m="1" x="1419"/>
        <item m="1" x="582"/>
        <item m="1" x="1364"/>
        <item m="1" x="921"/>
        <item m="1" x="1305"/>
        <item m="1" x="664"/>
        <item m="1" x="836"/>
        <item m="1" x="1321"/>
        <item m="1" x="1509"/>
        <item m="1" x="1285"/>
        <item m="1" x="684"/>
        <item m="1" x="627"/>
        <item m="1" x="1330"/>
        <item m="1" x="1094"/>
        <item m="1" x="938"/>
        <item m="1" x="1362"/>
        <item m="1" x="410"/>
        <item m="1" x="407"/>
        <item m="1" x="1082"/>
        <item m="1" x="1222"/>
        <item m="1" x="1177"/>
        <item m="1" x="1360"/>
        <item m="1" x="885"/>
        <item m="1" x="632"/>
        <item m="1" x="706"/>
        <item m="1" x="1236"/>
        <item m="1" x="788"/>
        <item m="1" x="1018"/>
        <item m="1" x="1433"/>
        <item m="1" x="671"/>
        <item m="1" x="1008"/>
        <item m="1" x="392"/>
        <item m="1" x="7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m="1" x="709"/>
        <item m="1" x="1470"/>
        <item m="1" x="412"/>
        <item m="1" x="37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550"/>
    </i>
    <i r="2">
      <x v="3"/>
    </i>
    <i r="2">
      <x v="4"/>
    </i>
    <i r="2">
      <x v="8"/>
    </i>
    <i r="1">
      <x v="1552"/>
    </i>
    <i r="2">
      <x v="8"/>
    </i>
    <i r="1">
      <x v="1553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5" totalsRowShown="0" totalsRowDxfId="26">
  <autoFilter ref="A1:C129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72" totalsRowShown="0">
  <autoFilter ref="A1:S4272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Tm1 Replication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B34" sqref="B34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988</v>
      </c>
    </row>
    <row r="15" spans="1:2">
      <c r="A15" s="111" t="s">
        <v>369</v>
      </c>
      <c r="B15" s="150">
        <v>964</v>
      </c>
    </row>
    <row r="16" spans="1:2">
      <c r="A16" s="111" t="s">
        <v>370</v>
      </c>
      <c r="B16" s="150">
        <v>2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1451</v>
      </c>
    </row>
    <row r="20" spans="1:2">
      <c r="A20" s="111" t="s">
        <v>369</v>
      </c>
      <c r="B20" s="150">
        <v>1435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425</v>
      </c>
    </row>
    <row r="25" spans="1:2">
      <c r="A25" s="111" t="s">
        <v>369</v>
      </c>
      <c r="B25" s="150">
        <v>421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</v>
      </c>
    </row>
    <row r="28" spans="1:2">
      <c r="A28" s="111" t="s">
        <v>377</v>
      </c>
      <c r="B28" s="150">
        <v>2</v>
      </c>
    </row>
    <row r="29" spans="1:2">
      <c r="A29" s="17" t="s">
        <v>381</v>
      </c>
      <c r="B29" s="150">
        <v>4214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14</v>
      </c>
      <c r="C5"/>
      <c r="D5"/>
      <c r="E5"/>
    </row>
    <row r="6" spans="1:6">
      <c r="A6" s="111" t="s">
        <v>6314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404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6355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6359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4328</v>
      </c>
      <c r="B14" s="150">
        <v>218</v>
      </c>
      <c r="C14" s="126"/>
      <c r="D14"/>
    </row>
    <row r="15" spans="1:6">
      <c r="A15" s="111" t="s">
        <v>4414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5480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5774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6162</v>
      </c>
      <c r="B24" s="150">
        <v>17</v>
      </c>
    </row>
    <row r="25" spans="1:5">
      <c r="A25" s="112" t="s">
        <v>369</v>
      </c>
      <c r="B25" s="150">
        <v>14</v>
      </c>
      <c r="D25" s="124"/>
      <c r="E25" s="124"/>
    </row>
    <row r="26" spans="1:5">
      <c r="A26" s="112" t="s">
        <v>692</v>
      </c>
      <c r="B26" s="150">
        <v>3</v>
      </c>
      <c r="C26" s="126"/>
    </row>
    <row r="27" spans="1:5">
      <c r="A27" s="111" t="s">
        <v>6242</v>
      </c>
      <c r="B27" s="150">
        <v>1</v>
      </c>
    </row>
    <row r="28" spans="1:5">
      <c r="A28" s="112" t="s">
        <v>692</v>
      </c>
      <c r="B28" s="150">
        <v>1</v>
      </c>
    </row>
    <row r="29" spans="1:5">
      <c r="A29" s="17" t="s">
        <v>381</v>
      </c>
      <c r="B29" s="150">
        <v>232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5"/>
  <sheetViews>
    <sheetView topLeftCell="A1255" workbookViewId="0">
      <selection activeCell="C1292" sqref="C1292:C129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72"/>
  <sheetViews>
    <sheetView tabSelected="1" zoomScale="105" zoomScaleNormal="105" workbookViewId="0">
      <selection activeCell="A4225" sqref="A4225:A4272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111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96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96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96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96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96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96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96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96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96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96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96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96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96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96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96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96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96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96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96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96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93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93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93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93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92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92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92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92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92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92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92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92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92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92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92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92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92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92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92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92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92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92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92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92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92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92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92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92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92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92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92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92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92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92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91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91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91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91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91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91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91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91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91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91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91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91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91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91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91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91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91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91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87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87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87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87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87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87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87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87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87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87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87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87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87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87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87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87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87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87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87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87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87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87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87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87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87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87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87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87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87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87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87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87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87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87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87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87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87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87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87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87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87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87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87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87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87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87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87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87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87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87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87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87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87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87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87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87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87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87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87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87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87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87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87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87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87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87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87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87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87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87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87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87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87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87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87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87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87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87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87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87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87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87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87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87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87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87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87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87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87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87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87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87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81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81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76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76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71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71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71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71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71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71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71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71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71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71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71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71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71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71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71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71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71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71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71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71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71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71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71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71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71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71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71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71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71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71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71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71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71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71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71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71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71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71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71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71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71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71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71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71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71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71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71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71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71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71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71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71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71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71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71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71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71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71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71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71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71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71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71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71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71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71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71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71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71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71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71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71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71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71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71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71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71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71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71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71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71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71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71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71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71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71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71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71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71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71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71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71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71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71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71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71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71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71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71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71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71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71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71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71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71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68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68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68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68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69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66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66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61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61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61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61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61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61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61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61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61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61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61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59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59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59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59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59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59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59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59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59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59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59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59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59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59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59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59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59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59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59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59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59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59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59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59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59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59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59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59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59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59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59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59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59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59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59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59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59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59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59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59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59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59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59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59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59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59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59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59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59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59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59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59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59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59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59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59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59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59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59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59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59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59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59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59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59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59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59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59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59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59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59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59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59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59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59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59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59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59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59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59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59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59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59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59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59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59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59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59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59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59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59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59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59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59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59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59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59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59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59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59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59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59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59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59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59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59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59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59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59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59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59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59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59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59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59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59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59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59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59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59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59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59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59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59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59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59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59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59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59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59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59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59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59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59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59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59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59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59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59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59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59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59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59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59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59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59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59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59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59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59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59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59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59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59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59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59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59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59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59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59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59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59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59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59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59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59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59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59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59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59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59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59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59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59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59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59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59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59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59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59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59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59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59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59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59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59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59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59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59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59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59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59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59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59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59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59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59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59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59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59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59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59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59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59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59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59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59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59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59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59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59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59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59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59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59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59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59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59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59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59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59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59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59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59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59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59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59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59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59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59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59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59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59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59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59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59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59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59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59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59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59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59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59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59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59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59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59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59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59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59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59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59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59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59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59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59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59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59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59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59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59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59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59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59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59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59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59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59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59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59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59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59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59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59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59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59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59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59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59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59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59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59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59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59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59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59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59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59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59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59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59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59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59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59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59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59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59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59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59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59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59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59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59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59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59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59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59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59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59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59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59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59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59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59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59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59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59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59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59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59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59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59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59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59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59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59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59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59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59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59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59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59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59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59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59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57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57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57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57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57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57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57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57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57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57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56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56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56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55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55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55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55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55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55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54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54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52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51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51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51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50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50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50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48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48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48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48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48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48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48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45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45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45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45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45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45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45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45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45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45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45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45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45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45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45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45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45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45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45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45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45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45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45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45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45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45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45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45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45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44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44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42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42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42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42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42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42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42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42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42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42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40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40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40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40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40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40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40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40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39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39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39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39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39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39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39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39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39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39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39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39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39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39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39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39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39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37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37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37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37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37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37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37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37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37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37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37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37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37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37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37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37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37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37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37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37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37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37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37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37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37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37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37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37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37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37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37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37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37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37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37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37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37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37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37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37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37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37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37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37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37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37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37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37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37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37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37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37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37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37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37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37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37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37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37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37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37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37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37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37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37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37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37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37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37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37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37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37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37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37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37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37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37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37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37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37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37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37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37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37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37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37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37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37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37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37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37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37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37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37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37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37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37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37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37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37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37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37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37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37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37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37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37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37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37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37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37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37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37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37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37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37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37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37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37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37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37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37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37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37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37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37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37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37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37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37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37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37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37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37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37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37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37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37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37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37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37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37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37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37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37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37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37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37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37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37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37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37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37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37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37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37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37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37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37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37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37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37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37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37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37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37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37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37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37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37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37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37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37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37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37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37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37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37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37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37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37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37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37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37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37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37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37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37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37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37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37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37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37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37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37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37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37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37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37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37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37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37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37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37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37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37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37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37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37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37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37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37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37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37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37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37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37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37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37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37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37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37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37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37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37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37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37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37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37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37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37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37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37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37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37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37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37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37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37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37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37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37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37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37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37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37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37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37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37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37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37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37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37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37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37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37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37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37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37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37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37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37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37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37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37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37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37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37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37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37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37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37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37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37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37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37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37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37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37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37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37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37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37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37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37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37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37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37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37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37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37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37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37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37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37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36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36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36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36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36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36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36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36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36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36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36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36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36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36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36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36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36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36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36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36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36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36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36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36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36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36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36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36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36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36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36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36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36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36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36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36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36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36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36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36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36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36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36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36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36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36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36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36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36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36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36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36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36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36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36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36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36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36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36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36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36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36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36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36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36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36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36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36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36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36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36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36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36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36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36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36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36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36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36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36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36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36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36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36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36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36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36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36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36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36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36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36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36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36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36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36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36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36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36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36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36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36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36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36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36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36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36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36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36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36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36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36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36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36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36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36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36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36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36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36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36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36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36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36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36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36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36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36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36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36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36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36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36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36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36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36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36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36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36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36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36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36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36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36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36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36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36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36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36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36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36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36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36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36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36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36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36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36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36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36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36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36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36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36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36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36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36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36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36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36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36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36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36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36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36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36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36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36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36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36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36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36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36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36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36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36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36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36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36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36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36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36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36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36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36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36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36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36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36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36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36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36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33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33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33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33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33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33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33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33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33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33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33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33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33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33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33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33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33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33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33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33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33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33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33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33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33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33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33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33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33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33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33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33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33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33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33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33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33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33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33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33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33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33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33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32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32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31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31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31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31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31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31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31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30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30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30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29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29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29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29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29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29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29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29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29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29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29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29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29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29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29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29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29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29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29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29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29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29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29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29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29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29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29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29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29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29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29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29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29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29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29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29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29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29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29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29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29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29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29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29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29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29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29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29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29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29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29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29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29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29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29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29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29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29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29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29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29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29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29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29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29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29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29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29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29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29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29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29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29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29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29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29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29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29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29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29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29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29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29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29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29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29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29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29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29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29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29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29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29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29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28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28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28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28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28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28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28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28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28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28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28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28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28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28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28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28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28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28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28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27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27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27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27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27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27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27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27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27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27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27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27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27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27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27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27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27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27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26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26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26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26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26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26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26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26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26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26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26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26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23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23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23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23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23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23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23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23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23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23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23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23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23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23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23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23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23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23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23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23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23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23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23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23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23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23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23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23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23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22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22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22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22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22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22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22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22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22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22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22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22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22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22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22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22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22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22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22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22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22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22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22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22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22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22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22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22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22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22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22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22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22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22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22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21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21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21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21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21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21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21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21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21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21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21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21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21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21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21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21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21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21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21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21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21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21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21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21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21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21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21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21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21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21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21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21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21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21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21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21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21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21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21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21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21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21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21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21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21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21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21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21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21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21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21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21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21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21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21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21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21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21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21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21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21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21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21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21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21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21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21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21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21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21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21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21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21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21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21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21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21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21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21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21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21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21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21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21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21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21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21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21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21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21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21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21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21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21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21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21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21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21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21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21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21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21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21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21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21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21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21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21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21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21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21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21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21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21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21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21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21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21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21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21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21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21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21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21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21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21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21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21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21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21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21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21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21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21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21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21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21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21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21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21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21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21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21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21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21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21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21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21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21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21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21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21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21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21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21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21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21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21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21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21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21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21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21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21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21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21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21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21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21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21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21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21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21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21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21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21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21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21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21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21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21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21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21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21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21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21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21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21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21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21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21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21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21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21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21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21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21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21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21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21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21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21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21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21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21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21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21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21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21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21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21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21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21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21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21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21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21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21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21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21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21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21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21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21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21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21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21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21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21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21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21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21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21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21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21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21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19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19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19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19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19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19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19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19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19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19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19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19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19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19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19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19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18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18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18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18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18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18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18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18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18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18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18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18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18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18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18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18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18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18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18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18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18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18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18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18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18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18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18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18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18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18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18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18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18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18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18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18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18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18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18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17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17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17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17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17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17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17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17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17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17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17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17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17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17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17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17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17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17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16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16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16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16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16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16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16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16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16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16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16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16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16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16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16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16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16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16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16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16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16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16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16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16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16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16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16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16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16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16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16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16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16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16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16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16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16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16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16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16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16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16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16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16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16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16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16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16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16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16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16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16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16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16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16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16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16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16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16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16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16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16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16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16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16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16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16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16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16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16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16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16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16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16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16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16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16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16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16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16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16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16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16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16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16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16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16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16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16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16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16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16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16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16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16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16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16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16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16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16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16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16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16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16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16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16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16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16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16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16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16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16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16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16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16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12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12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12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12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12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12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12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12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12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12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12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12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7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5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5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5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5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5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5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5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5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5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5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5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5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5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5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5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5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5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5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5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5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4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370</v>
      </c>
      <c r="D4200" t="s">
        <v>6315</v>
      </c>
      <c r="E4200" t="s">
        <v>6326</v>
      </c>
      <c r="F4200" s="150" t="s">
        <v>6251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4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4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4</v>
      </c>
      <c r="R4202" s="146" t="s">
        <v>780</v>
      </c>
      <c r="S4202" s="150"/>
    </row>
    <row r="4203" spans="1:19" hidden="1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4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4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4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4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4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4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4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4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3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3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3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3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3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3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3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3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3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3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3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3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open</v>
      </c>
      <c r="C4223" s="149" t="s">
        <v>370</v>
      </c>
      <c r="D4223" t="s">
        <v>6356</v>
      </c>
      <c r="E4223" t="s">
        <v>6357</v>
      </c>
      <c r="F4223" s="150"/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0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0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open</v>
      </c>
      <c r="C4224" s="149" t="s">
        <v>370</v>
      </c>
      <c r="D4224" t="s">
        <v>6358</v>
      </c>
      <c r="E4224" t="s">
        <v>2815</v>
      </c>
      <c r="F4224" s="150"/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0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0</v>
      </c>
      <c r="R4224" s="148" t="s">
        <v>489</v>
      </c>
      <c r="S4224" s="150"/>
    </row>
    <row r="4225" spans="1:19">
      <c r="A4225" t="s">
        <v>6406</v>
      </c>
      <c r="B4225" s="150" t="str">
        <f>IFERROR(VLOOKUP(Proc[[#This Row],[App]],Table2[],3,0),"open")</f>
        <v>open</v>
      </c>
      <c r="C4225" t="s">
        <v>404</v>
      </c>
      <c r="D4225" t="s">
        <v>6360</v>
      </c>
      <c r="E4225" t="s">
        <v>6407</v>
      </c>
      <c r="F4225" s="150" t="s">
        <v>5496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0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on track</v>
      </c>
      <c r="Q4225" s="3">
        <f ca="1">IF(Proc[[#This Row],[DateClosed]]="",ABS(NETWORKDAYS(Proc[[#This Row],[DateOpened]],TODAY()))-1,ABS(NETWORKDAYS(Proc[[#This Row],[DateOpened]],Proc[[#This Row],[DateClosed]]))-1)</f>
        <v>0</v>
      </c>
      <c r="R4225" s="152" t="s">
        <v>410</v>
      </c>
      <c r="S4225" s="150"/>
    </row>
    <row r="4226" spans="1:19" hidden="1">
      <c r="A4226" s="149" t="s">
        <v>6406</v>
      </c>
      <c r="B4226" s="150" t="str">
        <f>IFERROR(VLOOKUP(Proc[[#This Row],[App]],Table2[],3,0),"open")</f>
        <v>open</v>
      </c>
      <c r="C4226" s="149" t="s">
        <v>404</v>
      </c>
      <c r="D4226" t="s">
        <v>6361</v>
      </c>
      <c r="E4226" t="s">
        <v>6407</v>
      </c>
      <c r="F4226" s="150" t="s">
        <v>5496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0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on track</v>
      </c>
      <c r="Q4226" s="3">
        <f ca="1">IF(Proc[[#This Row],[DateClosed]]="",ABS(NETWORKDAYS(Proc[[#This Row],[DateOpened]],TODAY()))-1,ABS(NETWORKDAYS(Proc[[#This Row],[DateOpened]],Proc[[#This Row],[DateClosed]]))-1)</f>
        <v>0</v>
      </c>
      <c r="R4226" s="152" t="s">
        <v>410</v>
      </c>
      <c r="S4226" s="150"/>
    </row>
    <row r="4227" spans="1:19" hidden="1">
      <c r="A4227" s="149" t="s">
        <v>6406</v>
      </c>
      <c r="B4227" s="150" t="str">
        <f>IFERROR(VLOOKUP(Proc[[#This Row],[App]],Table2[],3,0),"open")</f>
        <v>open</v>
      </c>
      <c r="C4227" s="149" t="s">
        <v>404</v>
      </c>
      <c r="D4227" t="s">
        <v>6362</v>
      </c>
      <c r="E4227" t="s">
        <v>6408</v>
      </c>
      <c r="F4227" s="150" t="s">
        <v>5496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0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on track</v>
      </c>
      <c r="Q4227" s="3">
        <f ca="1">IF(Proc[[#This Row],[DateClosed]]="",ABS(NETWORKDAYS(Proc[[#This Row],[DateOpened]],TODAY()))-1,ABS(NETWORKDAYS(Proc[[#This Row],[DateOpened]],Proc[[#This Row],[DateClosed]]))-1)</f>
        <v>0</v>
      </c>
      <c r="R4227" s="152" t="s">
        <v>410</v>
      </c>
      <c r="S4227" s="150"/>
    </row>
    <row r="4228" spans="1:19" hidden="1">
      <c r="A4228" s="149" t="s">
        <v>6406</v>
      </c>
      <c r="B4228" s="150" t="str">
        <f>IFERROR(VLOOKUP(Proc[[#This Row],[App]],Table2[],3,0),"open")</f>
        <v>open</v>
      </c>
      <c r="C4228" s="149" t="s">
        <v>404</v>
      </c>
      <c r="D4228" t="s">
        <v>6363</v>
      </c>
      <c r="E4228" t="s">
        <v>6407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on track</v>
      </c>
      <c r="Q4228" s="3">
        <f ca="1">IF(Proc[[#This Row],[DateClosed]]="",ABS(NETWORKDAYS(Proc[[#This Row],[DateOpened]],TODAY()))-1,ABS(NETWORKDAYS(Proc[[#This Row],[DateOpened]],Proc[[#This Row],[DateClosed]]))-1)</f>
        <v>0</v>
      </c>
      <c r="R4228" s="152" t="s">
        <v>410</v>
      </c>
      <c r="S4228" s="150"/>
    </row>
    <row r="4229" spans="1:19" hidden="1">
      <c r="A4229" s="149" t="s">
        <v>6406</v>
      </c>
      <c r="B4229" s="150" t="str">
        <f>IFERROR(VLOOKUP(Proc[[#This Row],[App]],Table2[],3,0),"open")</f>
        <v>open</v>
      </c>
      <c r="C4229" s="149" t="s">
        <v>404</v>
      </c>
      <c r="D4229" t="s">
        <v>6364</v>
      </c>
      <c r="E4229" t="s">
        <v>6407</v>
      </c>
      <c r="F4229" s="150" t="s">
        <v>5496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0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on track</v>
      </c>
      <c r="Q4229" s="3">
        <f ca="1">IF(Proc[[#This Row],[DateClosed]]="",ABS(NETWORKDAYS(Proc[[#This Row],[DateOpened]],TODAY()))-1,ABS(NETWORKDAYS(Proc[[#This Row],[DateOpened]],Proc[[#This Row],[DateClosed]]))-1)</f>
        <v>0</v>
      </c>
      <c r="R4229" s="152" t="s">
        <v>410</v>
      </c>
      <c r="S4229" s="150"/>
    </row>
    <row r="4230" spans="1:19" hidden="1">
      <c r="A4230" s="149" t="s">
        <v>6406</v>
      </c>
      <c r="B4230" s="150" t="str">
        <f>IFERROR(VLOOKUP(Proc[[#This Row],[App]],Table2[],3,0),"open")</f>
        <v>open</v>
      </c>
      <c r="C4230" s="149" t="s">
        <v>404</v>
      </c>
      <c r="D4230" t="s">
        <v>6365</v>
      </c>
      <c r="E4230" t="s">
        <v>6408</v>
      </c>
      <c r="F4230" s="150" t="s">
        <v>5496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0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on track</v>
      </c>
      <c r="Q4230" s="3">
        <f ca="1">IF(Proc[[#This Row],[DateClosed]]="",ABS(NETWORKDAYS(Proc[[#This Row],[DateOpened]],TODAY()))-1,ABS(NETWORKDAYS(Proc[[#This Row],[DateOpened]],Proc[[#This Row],[DateClosed]]))-1)</f>
        <v>0</v>
      </c>
      <c r="R4230" s="152" t="s">
        <v>410</v>
      </c>
      <c r="S4230" s="150"/>
    </row>
    <row r="4231" spans="1:19" hidden="1">
      <c r="A4231" s="149" t="s">
        <v>6406</v>
      </c>
      <c r="B4231" s="150" t="str">
        <f>IFERROR(VLOOKUP(Proc[[#This Row],[App]],Table2[],3,0),"open")</f>
        <v>open</v>
      </c>
      <c r="C4231" s="149" t="s">
        <v>404</v>
      </c>
      <c r="D4231" t="s">
        <v>6366</v>
      </c>
      <c r="E4231" t="s">
        <v>6408</v>
      </c>
      <c r="F4231" s="150" t="s">
        <v>5496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0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on track</v>
      </c>
      <c r="Q4231" s="3">
        <f ca="1">IF(Proc[[#This Row],[DateClosed]]="",ABS(NETWORKDAYS(Proc[[#This Row],[DateOpened]],TODAY()))-1,ABS(NETWORKDAYS(Proc[[#This Row],[DateOpened]],Proc[[#This Row],[DateClosed]]))-1)</f>
        <v>0</v>
      </c>
      <c r="R4231" s="152" t="s">
        <v>410</v>
      </c>
      <c r="S4231" s="150"/>
    </row>
    <row r="4232" spans="1:19" hidden="1">
      <c r="A4232" s="149" t="s">
        <v>6406</v>
      </c>
      <c r="B4232" s="150" t="str">
        <f>IFERROR(VLOOKUP(Proc[[#This Row],[App]],Table2[],3,0),"open")</f>
        <v>open</v>
      </c>
      <c r="C4232" s="149" t="s">
        <v>404</v>
      </c>
      <c r="D4232" t="s">
        <v>6367</v>
      </c>
      <c r="E4232" t="s">
        <v>6408</v>
      </c>
      <c r="F4232" s="150" t="s">
        <v>5496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0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on track</v>
      </c>
      <c r="Q4232" s="3">
        <f ca="1">IF(Proc[[#This Row],[DateClosed]]="",ABS(NETWORKDAYS(Proc[[#This Row],[DateOpened]],TODAY()))-1,ABS(NETWORKDAYS(Proc[[#This Row],[DateOpened]],Proc[[#This Row],[DateClosed]]))-1)</f>
        <v>0</v>
      </c>
      <c r="R4232" s="152" t="s">
        <v>410</v>
      </c>
      <c r="S4232" s="150"/>
    </row>
    <row r="4233" spans="1:19" hidden="1">
      <c r="A4233" s="149" t="s">
        <v>6406</v>
      </c>
      <c r="B4233" s="150" t="str">
        <f>IFERROR(VLOOKUP(Proc[[#This Row],[App]],Table2[],3,0),"open")</f>
        <v>open</v>
      </c>
      <c r="C4233" s="149" t="s">
        <v>404</v>
      </c>
      <c r="D4233" t="s">
        <v>6368</v>
      </c>
      <c r="E4233" t="s">
        <v>6407</v>
      </c>
      <c r="F4233" s="150" t="s">
        <v>5496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0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on track</v>
      </c>
      <c r="Q4233" s="3">
        <f ca="1">IF(Proc[[#This Row],[DateClosed]]="",ABS(NETWORKDAYS(Proc[[#This Row],[DateOpened]],TODAY()))-1,ABS(NETWORKDAYS(Proc[[#This Row],[DateOpened]],Proc[[#This Row],[DateClosed]]))-1)</f>
        <v>0</v>
      </c>
      <c r="R4233" s="152" t="s">
        <v>410</v>
      </c>
      <c r="S4233" s="150"/>
    </row>
    <row r="4234" spans="1:19" hidden="1">
      <c r="A4234" s="149" t="s">
        <v>6406</v>
      </c>
      <c r="B4234" s="150" t="str">
        <f>IFERROR(VLOOKUP(Proc[[#This Row],[App]],Table2[],3,0),"open")</f>
        <v>open</v>
      </c>
      <c r="C4234" s="149" t="s">
        <v>404</v>
      </c>
      <c r="D4234" t="s">
        <v>6369</v>
      </c>
      <c r="E4234" t="s">
        <v>6408</v>
      </c>
      <c r="F4234" s="150" t="s">
        <v>5496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0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on track</v>
      </c>
      <c r="Q4234" s="3">
        <f ca="1">IF(Proc[[#This Row],[DateClosed]]="",ABS(NETWORKDAYS(Proc[[#This Row],[DateOpened]],TODAY()))-1,ABS(NETWORKDAYS(Proc[[#This Row],[DateOpened]],Proc[[#This Row],[DateClosed]]))-1)</f>
        <v>0</v>
      </c>
      <c r="R4234" s="152" t="s">
        <v>410</v>
      </c>
      <c r="S4234" s="150"/>
    </row>
    <row r="4235" spans="1:19" hidden="1">
      <c r="A4235" s="149" t="s">
        <v>6406</v>
      </c>
      <c r="B4235" s="150" t="str">
        <f>IFERROR(VLOOKUP(Proc[[#This Row],[App]],Table2[],3,0),"open")</f>
        <v>open</v>
      </c>
      <c r="C4235" s="149" t="s">
        <v>404</v>
      </c>
      <c r="D4235" t="s">
        <v>6370</v>
      </c>
      <c r="E4235" t="s">
        <v>6408</v>
      </c>
      <c r="F4235" s="150" t="s">
        <v>5496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0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on track</v>
      </c>
      <c r="Q4235" s="3">
        <f ca="1">IF(Proc[[#This Row],[DateClosed]]="",ABS(NETWORKDAYS(Proc[[#This Row],[DateOpened]],TODAY()))-1,ABS(NETWORKDAYS(Proc[[#This Row],[DateOpened]],Proc[[#This Row],[DateClosed]]))-1)</f>
        <v>0</v>
      </c>
      <c r="R4235" s="152" t="s">
        <v>410</v>
      </c>
      <c r="S4235" s="150"/>
    </row>
    <row r="4236" spans="1:19" hidden="1">
      <c r="A4236" s="149" t="s">
        <v>6406</v>
      </c>
      <c r="B4236" s="150" t="str">
        <f>IFERROR(VLOOKUP(Proc[[#This Row],[App]],Table2[],3,0),"open")</f>
        <v>open</v>
      </c>
      <c r="C4236" s="149" t="s">
        <v>404</v>
      </c>
      <c r="D4236" t="s">
        <v>6371</v>
      </c>
      <c r="E4236" t="s">
        <v>6408</v>
      </c>
      <c r="F4236" s="150" t="s">
        <v>5496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0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on track</v>
      </c>
      <c r="Q4236" s="3">
        <f ca="1">IF(Proc[[#This Row],[DateClosed]]="",ABS(NETWORKDAYS(Proc[[#This Row],[DateOpened]],TODAY()))-1,ABS(NETWORKDAYS(Proc[[#This Row],[DateOpened]],Proc[[#This Row],[DateClosed]]))-1)</f>
        <v>0</v>
      </c>
      <c r="R4236" s="152" t="s">
        <v>410</v>
      </c>
      <c r="S4236" s="150"/>
    </row>
    <row r="4237" spans="1:19" hidden="1">
      <c r="A4237" s="149" t="s">
        <v>6406</v>
      </c>
      <c r="B4237" s="150" t="str">
        <f>IFERROR(VLOOKUP(Proc[[#This Row],[App]],Table2[],3,0),"open")</f>
        <v>open</v>
      </c>
      <c r="C4237" s="149" t="s">
        <v>404</v>
      </c>
      <c r="D4237" t="s">
        <v>6372</v>
      </c>
      <c r="E4237" t="s">
        <v>6408</v>
      </c>
      <c r="F4237" s="150" t="s">
        <v>5496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0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on track</v>
      </c>
      <c r="Q4237" s="3">
        <f ca="1">IF(Proc[[#This Row],[DateClosed]]="",ABS(NETWORKDAYS(Proc[[#This Row],[DateOpened]],TODAY()))-1,ABS(NETWORKDAYS(Proc[[#This Row],[DateOpened]],Proc[[#This Row],[DateClosed]]))-1)</f>
        <v>0</v>
      </c>
      <c r="R4237" s="152" t="s">
        <v>410</v>
      </c>
      <c r="S4237" s="150"/>
    </row>
    <row r="4238" spans="1:19" hidden="1">
      <c r="A4238" s="149" t="s">
        <v>6406</v>
      </c>
      <c r="B4238" s="150" t="str">
        <f>IFERROR(VLOOKUP(Proc[[#This Row],[App]],Table2[],3,0),"open")</f>
        <v>open</v>
      </c>
      <c r="C4238" s="149" t="s">
        <v>404</v>
      </c>
      <c r="D4238" t="s">
        <v>6373</v>
      </c>
      <c r="E4238" t="s">
        <v>6408</v>
      </c>
      <c r="F4238" s="150" t="s">
        <v>5496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0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on track</v>
      </c>
      <c r="Q4238" s="3">
        <f ca="1">IF(Proc[[#This Row],[DateClosed]]="",ABS(NETWORKDAYS(Proc[[#This Row],[DateOpened]],TODAY()))-1,ABS(NETWORKDAYS(Proc[[#This Row],[DateOpened]],Proc[[#This Row],[DateClosed]]))-1)</f>
        <v>0</v>
      </c>
      <c r="R4238" s="152" t="s">
        <v>410</v>
      </c>
      <c r="S4238" s="150"/>
    </row>
    <row r="4239" spans="1:19" hidden="1">
      <c r="A4239" s="149" t="s">
        <v>6406</v>
      </c>
      <c r="B4239" s="150" t="str">
        <f>IFERROR(VLOOKUP(Proc[[#This Row],[App]],Table2[],3,0),"open")</f>
        <v>open</v>
      </c>
      <c r="C4239" s="149" t="s">
        <v>404</v>
      </c>
      <c r="D4239" t="s">
        <v>6374</v>
      </c>
      <c r="E4239" t="s">
        <v>6407</v>
      </c>
      <c r="F4239" s="150" t="s">
        <v>5496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0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on track</v>
      </c>
      <c r="Q4239" s="3">
        <f ca="1">IF(Proc[[#This Row],[DateClosed]]="",ABS(NETWORKDAYS(Proc[[#This Row],[DateOpened]],TODAY()))-1,ABS(NETWORKDAYS(Proc[[#This Row],[DateOpened]],Proc[[#This Row],[DateClosed]]))-1)</f>
        <v>0</v>
      </c>
      <c r="R4239" s="152" t="s">
        <v>410</v>
      </c>
      <c r="S4239" s="150"/>
    </row>
    <row r="4240" spans="1:19" hidden="1">
      <c r="A4240" s="149" t="s">
        <v>6406</v>
      </c>
      <c r="B4240" s="150" t="str">
        <f>IFERROR(VLOOKUP(Proc[[#This Row],[App]],Table2[],3,0),"open")</f>
        <v>open</v>
      </c>
      <c r="C4240" s="149" t="s">
        <v>404</v>
      </c>
      <c r="D4240" t="s">
        <v>6375</v>
      </c>
      <c r="E4240" t="s">
        <v>6407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on track</v>
      </c>
      <c r="Q4240" s="3">
        <f ca="1">IF(Proc[[#This Row],[DateClosed]]="",ABS(NETWORKDAYS(Proc[[#This Row],[DateOpened]],TODAY()))-1,ABS(NETWORKDAYS(Proc[[#This Row],[DateOpened]],Proc[[#This Row],[DateClosed]]))-1)</f>
        <v>0</v>
      </c>
      <c r="R4240" s="152" t="s">
        <v>410</v>
      </c>
      <c r="S4240" s="150"/>
    </row>
    <row r="4241" spans="1:19" hidden="1">
      <c r="A4241" s="149" t="s">
        <v>6406</v>
      </c>
      <c r="B4241" s="150" t="str">
        <f>IFERROR(VLOOKUP(Proc[[#This Row],[App]],Table2[],3,0),"open")</f>
        <v>open</v>
      </c>
      <c r="C4241" s="149" t="s">
        <v>404</v>
      </c>
      <c r="D4241" t="s">
        <v>6376</v>
      </c>
      <c r="E4241" t="s">
        <v>6407</v>
      </c>
      <c r="F4241" s="150" t="s">
        <v>5496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0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on track</v>
      </c>
      <c r="Q4241" s="3">
        <f ca="1">IF(Proc[[#This Row],[DateClosed]]="",ABS(NETWORKDAYS(Proc[[#This Row],[DateOpened]],TODAY()))-1,ABS(NETWORKDAYS(Proc[[#This Row],[DateOpened]],Proc[[#This Row],[DateClosed]]))-1)</f>
        <v>0</v>
      </c>
      <c r="R4241" s="152" t="s">
        <v>410</v>
      </c>
      <c r="S4241" s="150"/>
    </row>
    <row r="4242" spans="1:19" hidden="1">
      <c r="A4242" s="149" t="s">
        <v>6406</v>
      </c>
      <c r="B4242" s="150" t="str">
        <f>IFERROR(VLOOKUP(Proc[[#This Row],[App]],Table2[],3,0),"open")</f>
        <v>open</v>
      </c>
      <c r="C4242" s="149" t="s">
        <v>404</v>
      </c>
      <c r="D4242" t="s">
        <v>6377</v>
      </c>
      <c r="E4242" t="s">
        <v>6407</v>
      </c>
      <c r="F4242" s="150" t="s">
        <v>5496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0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on track</v>
      </c>
      <c r="Q4242" s="3">
        <f ca="1">IF(Proc[[#This Row],[DateClosed]]="",ABS(NETWORKDAYS(Proc[[#This Row],[DateOpened]],TODAY()))-1,ABS(NETWORKDAYS(Proc[[#This Row],[DateOpened]],Proc[[#This Row],[DateClosed]]))-1)</f>
        <v>0</v>
      </c>
      <c r="R4242" s="152" t="s">
        <v>410</v>
      </c>
      <c r="S4242" s="150"/>
    </row>
    <row r="4243" spans="1:19" hidden="1">
      <c r="A4243" s="149" t="s">
        <v>6406</v>
      </c>
      <c r="B4243" s="150" t="str">
        <f>IFERROR(VLOOKUP(Proc[[#This Row],[App]],Table2[],3,0),"open")</f>
        <v>open</v>
      </c>
      <c r="C4243" s="149" t="s">
        <v>404</v>
      </c>
      <c r="D4243" t="s">
        <v>6378</v>
      </c>
      <c r="E4243" t="s">
        <v>6407</v>
      </c>
      <c r="F4243" s="150" t="s">
        <v>5496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0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on track</v>
      </c>
      <c r="Q4243" s="3">
        <f ca="1">IF(Proc[[#This Row],[DateClosed]]="",ABS(NETWORKDAYS(Proc[[#This Row],[DateOpened]],TODAY()))-1,ABS(NETWORKDAYS(Proc[[#This Row],[DateOpened]],Proc[[#This Row],[DateClosed]]))-1)</f>
        <v>0</v>
      </c>
      <c r="R4243" s="152" t="s">
        <v>410</v>
      </c>
      <c r="S4243" s="150"/>
    </row>
    <row r="4244" spans="1:19" hidden="1">
      <c r="A4244" s="149" t="s">
        <v>6406</v>
      </c>
      <c r="B4244" s="150" t="str">
        <f>IFERROR(VLOOKUP(Proc[[#This Row],[App]],Table2[],3,0),"open")</f>
        <v>open</v>
      </c>
      <c r="C4244" s="149" t="s">
        <v>404</v>
      </c>
      <c r="D4244" t="s">
        <v>6379</v>
      </c>
      <c r="E4244" t="s">
        <v>6408</v>
      </c>
      <c r="F4244" s="150" t="s">
        <v>5496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0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on track</v>
      </c>
      <c r="Q4244" s="3">
        <f ca="1">IF(Proc[[#This Row],[DateClosed]]="",ABS(NETWORKDAYS(Proc[[#This Row],[DateOpened]],TODAY()))-1,ABS(NETWORKDAYS(Proc[[#This Row],[DateOpened]],Proc[[#This Row],[DateClosed]]))-1)</f>
        <v>0</v>
      </c>
      <c r="R4244" s="152" t="s">
        <v>410</v>
      </c>
      <c r="S4244" s="150"/>
    </row>
    <row r="4245" spans="1:19">
      <c r="A4245" s="149" t="s">
        <v>6406</v>
      </c>
      <c r="B4245" s="150" t="str">
        <f>IFERROR(VLOOKUP(Proc[[#This Row],[App]],Table2[],3,0),"open")</f>
        <v>open</v>
      </c>
      <c r="C4245" s="149" t="s">
        <v>404</v>
      </c>
      <c r="D4245" t="s">
        <v>6380</v>
      </c>
      <c r="E4245" t="s">
        <v>6408</v>
      </c>
      <c r="F4245" s="150" t="s">
        <v>5496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0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on track</v>
      </c>
      <c r="Q4245" s="3">
        <f ca="1">IF(Proc[[#This Row],[DateClosed]]="",ABS(NETWORKDAYS(Proc[[#This Row],[DateOpened]],TODAY()))-1,ABS(NETWORKDAYS(Proc[[#This Row],[DateOpened]],Proc[[#This Row],[DateClosed]]))-1)</f>
        <v>0</v>
      </c>
      <c r="R4245" s="152" t="s">
        <v>410</v>
      </c>
      <c r="S4245" s="150"/>
    </row>
    <row r="4246" spans="1:19">
      <c r="A4246" s="149" t="s">
        <v>6406</v>
      </c>
      <c r="B4246" s="150" t="str">
        <f>IFERROR(VLOOKUP(Proc[[#This Row],[App]],Table2[],3,0),"open")</f>
        <v>open</v>
      </c>
      <c r="C4246" s="149" t="s">
        <v>404</v>
      </c>
      <c r="D4246" t="s">
        <v>6381</v>
      </c>
      <c r="E4246" t="s">
        <v>6408</v>
      </c>
      <c r="F4246" s="150" t="s">
        <v>5496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0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on track</v>
      </c>
      <c r="Q4246" s="3">
        <f ca="1">IF(Proc[[#This Row],[DateClosed]]="",ABS(NETWORKDAYS(Proc[[#This Row],[DateOpened]],TODAY()))-1,ABS(NETWORKDAYS(Proc[[#This Row],[DateOpened]],Proc[[#This Row],[DateClosed]]))-1)</f>
        <v>0</v>
      </c>
      <c r="R4246" s="152" t="s">
        <v>410</v>
      </c>
      <c r="S4246" s="150"/>
    </row>
    <row r="4247" spans="1:19">
      <c r="A4247" s="149" t="s">
        <v>6406</v>
      </c>
      <c r="B4247" s="150" t="str">
        <f>IFERROR(VLOOKUP(Proc[[#This Row],[App]],Table2[],3,0),"open")</f>
        <v>open</v>
      </c>
      <c r="C4247" s="149" t="s">
        <v>404</v>
      </c>
      <c r="D4247" t="s">
        <v>6382</v>
      </c>
      <c r="E4247" t="s">
        <v>6408</v>
      </c>
      <c r="F4247" s="150" t="s">
        <v>5496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0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on track</v>
      </c>
      <c r="Q4247" s="3">
        <f ca="1">IF(Proc[[#This Row],[DateClosed]]="",ABS(NETWORKDAYS(Proc[[#This Row],[DateOpened]],TODAY()))-1,ABS(NETWORKDAYS(Proc[[#This Row],[DateOpened]],Proc[[#This Row],[DateClosed]]))-1)</f>
        <v>0</v>
      </c>
      <c r="R4247" s="152" t="s">
        <v>410</v>
      </c>
      <c r="S4247" s="150"/>
    </row>
    <row r="4248" spans="1:19">
      <c r="A4248" s="149" t="s">
        <v>6406</v>
      </c>
      <c r="B4248" s="150" t="str">
        <f>IFERROR(VLOOKUP(Proc[[#This Row],[App]],Table2[],3,0),"open")</f>
        <v>open</v>
      </c>
      <c r="C4248" s="149" t="s">
        <v>404</v>
      </c>
      <c r="D4248" t="s">
        <v>6383</v>
      </c>
      <c r="E4248" t="s">
        <v>6407</v>
      </c>
      <c r="F4248" s="150" t="s">
        <v>5496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0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on track</v>
      </c>
      <c r="Q4248" s="3">
        <f ca="1">IF(Proc[[#This Row],[DateClosed]]="",ABS(NETWORKDAYS(Proc[[#This Row],[DateOpened]],TODAY()))-1,ABS(NETWORKDAYS(Proc[[#This Row],[DateOpened]],Proc[[#This Row],[DateClosed]]))-1)</f>
        <v>0</v>
      </c>
      <c r="R4248" s="152" t="s">
        <v>410</v>
      </c>
      <c r="S4248" s="150"/>
    </row>
    <row r="4249" spans="1:19">
      <c r="A4249" s="149" t="s">
        <v>6406</v>
      </c>
      <c r="B4249" s="150" t="str">
        <f>IFERROR(VLOOKUP(Proc[[#This Row],[App]],Table2[],3,0),"open")</f>
        <v>open</v>
      </c>
      <c r="C4249" s="149" t="s">
        <v>404</v>
      </c>
      <c r="D4249" t="s">
        <v>6384</v>
      </c>
      <c r="E4249" t="s">
        <v>6407</v>
      </c>
      <c r="F4249" s="150" t="s">
        <v>5496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0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on track</v>
      </c>
      <c r="Q4249" s="3">
        <f ca="1">IF(Proc[[#This Row],[DateClosed]]="",ABS(NETWORKDAYS(Proc[[#This Row],[DateOpened]],TODAY()))-1,ABS(NETWORKDAYS(Proc[[#This Row],[DateOpened]],Proc[[#This Row],[DateClosed]]))-1)</f>
        <v>0</v>
      </c>
      <c r="R4249" s="152" t="s">
        <v>410</v>
      </c>
      <c r="S4249" s="150"/>
    </row>
    <row r="4250" spans="1:19">
      <c r="A4250" s="149" t="s">
        <v>6406</v>
      </c>
      <c r="B4250" s="150" t="str">
        <f>IFERROR(VLOOKUP(Proc[[#This Row],[App]],Table2[],3,0),"open")</f>
        <v>open</v>
      </c>
      <c r="C4250" s="149" t="s">
        <v>404</v>
      </c>
      <c r="D4250" t="s">
        <v>6385</v>
      </c>
      <c r="E4250" t="s">
        <v>6407</v>
      </c>
      <c r="F4250" s="150" t="s">
        <v>5496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0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on track</v>
      </c>
      <c r="Q4250" s="3">
        <f ca="1">IF(Proc[[#This Row],[DateClosed]]="",ABS(NETWORKDAYS(Proc[[#This Row],[DateOpened]],TODAY()))-1,ABS(NETWORKDAYS(Proc[[#This Row],[DateOpened]],Proc[[#This Row],[DateClosed]]))-1)</f>
        <v>0</v>
      </c>
      <c r="R4250" s="152" t="s">
        <v>410</v>
      </c>
      <c r="S4250" s="150"/>
    </row>
    <row r="4251" spans="1:19">
      <c r="A4251" s="149" t="s">
        <v>6406</v>
      </c>
      <c r="B4251" s="150" t="str">
        <f>IFERROR(VLOOKUP(Proc[[#This Row],[App]],Table2[],3,0),"open")</f>
        <v>open</v>
      </c>
      <c r="C4251" s="149" t="s">
        <v>404</v>
      </c>
      <c r="D4251" t="s">
        <v>6386</v>
      </c>
      <c r="E4251" t="s">
        <v>6409</v>
      </c>
      <c r="F4251" s="150" t="s">
        <v>5496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0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on track</v>
      </c>
      <c r="Q4251" s="3">
        <f ca="1">IF(Proc[[#This Row],[DateClosed]]="",ABS(NETWORKDAYS(Proc[[#This Row],[DateOpened]],TODAY()))-1,ABS(NETWORKDAYS(Proc[[#This Row],[DateOpened]],Proc[[#This Row],[DateClosed]]))-1)</f>
        <v>0</v>
      </c>
      <c r="R4251" s="152" t="s">
        <v>410</v>
      </c>
      <c r="S4251" s="150"/>
    </row>
    <row r="4252" spans="1:19">
      <c r="A4252" s="149" t="s">
        <v>6406</v>
      </c>
      <c r="B4252" s="150" t="str">
        <f>IFERROR(VLOOKUP(Proc[[#This Row],[App]],Table2[],3,0),"open")</f>
        <v>open</v>
      </c>
      <c r="C4252" s="149" t="s">
        <v>404</v>
      </c>
      <c r="D4252" t="s">
        <v>6387</v>
      </c>
      <c r="E4252" t="s">
        <v>6409</v>
      </c>
      <c r="F4252" s="150" t="s">
        <v>5496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0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on track</v>
      </c>
      <c r="Q4252" s="3">
        <f ca="1">IF(Proc[[#This Row],[DateClosed]]="",ABS(NETWORKDAYS(Proc[[#This Row],[DateOpened]],TODAY()))-1,ABS(NETWORKDAYS(Proc[[#This Row],[DateOpened]],Proc[[#This Row],[DateClosed]]))-1)</f>
        <v>0</v>
      </c>
      <c r="R4252" s="152" t="s">
        <v>410</v>
      </c>
      <c r="S4252" s="150"/>
    </row>
    <row r="4253" spans="1:19">
      <c r="A4253" s="149" t="s">
        <v>6406</v>
      </c>
      <c r="B4253" s="150" t="str">
        <f>IFERROR(VLOOKUP(Proc[[#This Row],[App]],Table2[],3,0),"open")</f>
        <v>open</v>
      </c>
      <c r="C4253" s="149" t="s">
        <v>404</v>
      </c>
      <c r="D4253" t="s">
        <v>6388</v>
      </c>
      <c r="E4253" t="s">
        <v>6409</v>
      </c>
      <c r="F4253" s="150" t="s">
        <v>5496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0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on track</v>
      </c>
      <c r="Q4253" s="3">
        <f ca="1">IF(Proc[[#This Row],[DateClosed]]="",ABS(NETWORKDAYS(Proc[[#This Row],[DateOpened]],TODAY()))-1,ABS(NETWORKDAYS(Proc[[#This Row],[DateOpened]],Proc[[#This Row],[DateClosed]]))-1)</f>
        <v>0</v>
      </c>
      <c r="R4253" s="152" t="s">
        <v>410</v>
      </c>
      <c r="S4253" s="150"/>
    </row>
    <row r="4254" spans="1:19">
      <c r="A4254" s="149" t="s">
        <v>6406</v>
      </c>
      <c r="B4254" s="150" t="str">
        <f>IFERROR(VLOOKUP(Proc[[#This Row],[App]],Table2[],3,0),"open")</f>
        <v>open</v>
      </c>
      <c r="C4254" s="149" t="s">
        <v>404</v>
      </c>
      <c r="D4254" t="s">
        <v>6389</v>
      </c>
      <c r="E4254" t="s">
        <v>6409</v>
      </c>
      <c r="F4254" s="150" t="s">
        <v>5496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0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on track</v>
      </c>
      <c r="Q4254" s="3">
        <f ca="1">IF(Proc[[#This Row],[DateClosed]]="",ABS(NETWORKDAYS(Proc[[#This Row],[DateOpened]],TODAY()))-1,ABS(NETWORKDAYS(Proc[[#This Row],[DateOpened]],Proc[[#This Row],[DateClosed]]))-1)</f>
        <v>0</v>
      </c>
      <c r="R4254" s="152" t="s">
        <v>410</v>
      </c>
      <c r="S4254" s="150"/>
    </row>
    <row r="4255" spans="1:19">
      <c r="A4255" s="149" t="s">
        <v>6406</v>
      </c>
      <c r="B4255" s="150" t="str">
        <f>IFERROR(VLOOKUP(Proc[[#This Row],[App]],Table2[],3,0),"open")</f>
        <v>open</v>
      </c>
      <c r="C4255" s="149" t="s">
        <v>404</v>
      </c>
      <c r="D4255" t="s">
        <v>6390</v>
      </c>
      <c r="E4255" t="s">
        <v>6408</v>
      </c>
      <c r="F4255" s="150" t="s">
        <v>5496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0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on track</v>
      </c>
      <c r="Q4255" s="3">
        <f ca="1">IF(Proc[[#This Row],[DateClosed]]="",ABS(NETWORKDAYS(Proc[[#This Row],[DateOpened]],TODAY()))-1,ABS(NETWORKDAYS(Proc[[#This Row],[DateOpened]],Proc[[#This Row],[DateClosed]]))-1)</f>
        <v>0</v>
      </c>
      <c r="R4255" s="152" t="s">
        <v>410</v>
      </c>
      <c r="S4255" s="150"/>
    </row>
    <row r="4256" spans="1:19">
      <c r="A4256" s="149" t="s">
        <v>6406</v>
      </c>
      <c r="B4256" s="150" t="str">
        <f>IFERROR(VLOOKUP(Proc[[#This Row],[App]],Table2[],3,0),"open")</f>
        <v>open</v>
      </c>
      <c r="C4256" s="149" t="s">
        <v>404</v>
      </c>
      <c r="D4256" t="s">
        <v>6391</v>
      </c>
      <c r="E4256" t="s">
        <v>6408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on track</v>
      </c>
      <c r="Q4256" s="3">
        <f ca="1">IF(Proc[[#This Row],[DateClosed]]="",ABS(NETWORKDAYS(Proc[[#This Row],[DateOpened]],TODAY()))-1,ABS(NETWORKDAYS(Proc[[#This Row],[DateOpened]],Proc[[#This Row],[DateClosed]]))-1)</f>
        <v>0</v>
      </c>
      <c r="R4256" s="152" t="s">
        <v>410</v>
      </c>
      <c r="S4256" s="150"/>
    </row>
    <row r="4257" spans="1:19">
      <c r="A4257" s="149" t="s">
        <v>6406</v>
      </c>
      <c r="B4257" s="150" t="str">
        <f>IFERROR(VLOOKUP(Proc[[#This Row],[App]],Table2[],3,0),"open")</f>
        <v>open</v>
      </c>
      <c r="C4257" s="149" t="s">
        <v>404</v>
      </c>
      <c r="D4257" t="s">
        <v>6392</v>
      </c>
      <c r="E4257" t="s">
        <v>6408</v>
      </c>
      <c r="F4257" s="150" t="s">
        <v>5496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0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on track</v>
      </c>
      <c r="Q4257" s="3">
        <f ca="1">IF(Proc[[#This Row],[DateClosed]]="",ABS(NETWORKDAYS(Proc[[#This Row],[DateOpened]],TODAY()))-1,ABS(NETWORKDAYS(Proc[[#This Row],[DateOpened]],Proc[[#This Row],[DateClosed]]))-1)</f>
        <v>0</v>
      </c>
      <c r="R4257" s="152" t="s">
        <v>410</v>
      </c>
      <c r="S4257" s="150"/>
    </row>
    <row r="4258" spans="1:19">
      <c r="A4258" s="149" t="s">
        <v>6406</v>
      </c>
      <c r="B4258" s="150" t="str">
        <f>IFERROR(VLOOKUP(Proc[[#This Row],[App]],Table2[],3,0),"open")</f>
        <v>open</v>
      </c>
      <c r="C4258" s="149" t="s">
        <v>404</v>
      </c>
      <c r="D4258" t="s">
        <v>6393</v>
      </c>
      <c r="E4258" t="s">
        <v>6408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on track</v>
      </c>
      <c r="Q4258" s="3">
        <f ca="1">IF(Proc[[#This Row],[DateClosed]]="",ABS(NETWORKDAYS(Proc[[#This Row],[DateOpened]],TODAY()))-1,ABS(NETWORKDAYS(Proc[[#This Row],[DateOpened]],Proc[[#This Row],[DateClosed]]))-1)</f>
        <v>0</v>
      </c>
      <c r="R4258" s="152" t="s">
        <v>410</v>
      </c>
      <c r="S4258" s="150"/>
    </row>
    <row r="4259" spans="1:19">
      <c r="A4259" s="149" t="s">
        <v>6406</v>
      </c>
      <c r="B4259" s="150" t="str">
        <f>IFERROR(VLOOKUP(Proc[[#This Row],[App]],Table2[],3,0),"open")</f>
        <v>open</v>
      </c>
      <c r="C4259" s="149" t="s">
        <v>404</v>
      </c>
      <c r="D4259" t="s">
        <v>6394</v>
      </c>
      <c r="E4259" t="s">
        <v>6408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on track</v>
      </c>
      <c r="Q4259" s="3">
        <f ca="1">IF(Proc[[#This Row],[DateClosed]]="",ABS(NETWORKDAYS(Proc[[#This Row],[DateOpened]],TODAY()))-1,ABS(NETWORKDAYS(Proc[[#This Row],[DateOpened]],Proc[[#This Row],[DateClosed]]))-1)</f>
        <v>0</v>
      </c>
      <c r="R4259" s="152" t="s">
        <v>410</v>
      </c>
      <c r="S4259" s="150"/>
    </row>
    <row r="4260" spans="1:19">
      <c r="A4260" s="149" t="s">
        <v>6406</v>
      </c>
      <c r="B4260" s="150" t="str">
        <f>IFERROR(VLOOKUP(Proc[[#This Row],[App]],Table2[],3,0),"open")</f>
        <v>open</v>
      </c>
      <c r="C4260" s="149" t="s">
        <v>404</v>
      </c>
      <c r="D4260" t="s">
        <v>6395</v>
      </c>
      <c r="E4260" t="s">
        <v>6409</v>
      </c>
      <c r="F4260" s="150" t="s">
        <v>5496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0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on track</v>
      </c>
      <c r="Q4260" s="3">
        <f ca="1">IF(Proc[[#This Row],[DateClosed]]="",ABS(NETWORKDAYS(Proc[[#This Row],[DateOpened]],TODAY()))-1,ABS(NETWORKDAYS(Proc[[#This Row],[DateOpened]],Proc[[#This Row],[DateClosed]]))-1)</f>
        <v>0</v>
      </c>
      <c r="R4260" s="152" t="s">
        <v>410</v>
      </c>
      <c r="S4260" s="150"/>
    </row>
    <row r="4261" spans="1:19">
      <c r="A4261" s="149" t="s">
        <v>6406</v>
      </c>
      <c r="B4261" s="150" t="str">
        <f>IFERROR(VLOOKUP(Proc[[#This Row],[App]],Table2[],3,0),"open")</f>
        <v>open</v>
      </c>
      <c r="C4261" s="149" t="s">
        <v>404</v>
      </c>
      <c r="D4261" t="s">
        <v>6396</v>
      </c>
      <c r="E4261" t="s">
        <v>6408</v>
      </c>
      <c r="F4261" s="150" t="s">
        <v>5496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0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on track</v>
      </c>
      <c r="Q4261" s="3">
        <f ca="1">IF(Proc[[#This Row],[DateClosed]]="",ABS(NETWORKDAYS(Proc[[#This Row],[DateOpened]],TODAY()))-1,ABS(NETWORKDAYS(Proc[[#This Row],[DateOpened]],Proc[[#This Row],[DateClosed]]))-1)</f>
        <v>0</v>
      </c>
      <c r="R4261" s="152" t="s">
        <v>410</v>
      </c>
      <c r="S4261" s="150"/>
    </row>
    <row r="4262" spans="1:19">
      <c r="A4262" s="149" t="s">
        <v>6406</v>
      </c>
      <c r="B4262" s="150" t="str">
        <f>IFERROR(VLOOKUP(Proc[[#This Row],[App]],Table2[],3,0),"open")</f>
        <v>open</v>
      </c>
      <c r="C4262" s="149" t="s">
        <v>404</v>
      </c>
      <c r="D4262" t="s">
        <v>5482</v>
      </c>
      <c r="E4262" t="s">
        <v>6408</v>
      </c>
      <c r="F4262" s="150" t="s">
        <v>5496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0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on track</v>
      </c>
      <c r="Q4262" s="3">
        <f ca="1">IF(Proc[[#This Row],[DateClosed]]="",ABS(NETWORKDAYS(Proc[[#This Row],[DateOpened]],TODAY()))-1,ABS(NETWORKDAYS(Proc[[#This Row],[DateOpened]],Proc[[#This Row],[DateClosed]]))-1)</f>
        <v>0</v>
      </c>
      <c r="R4262" s="152" t="s">
        <v>410</v>
      </c>
      <c r="S4262" s="150"/>
    </row>
    <row r="4263" spans="1:19">
      <c r="A4263" s="149" t="s">
        <v>6406</v>
      </c>
      <c r="B4263" s="150" t="str">
        <f>IFERROR(VLOOKUP(Proc[[#This Row],[App]],Table2[],3,0),"open")</f>
        <v>open</v>
      </c>
      <c r="C4263" s="149" t="s">
        <v>404</v>
      </c>
      <c r="D4263" t="s">
        <v>6397</v>
      </c>
      <c r="E4263" t="s">
        <v>6408</v>
      </c>
      <c r="F4263" s="150" t="s">
        <v>5496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0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on track</v>
      </c>
      <c r="Q4263" s="3">
        <f ca="1">IF(Proc[[#This Row],[DateClosed]]="",ABS(NETWORKDAYS(Proc[[#This Row],[DateOpened]],TODAY()))-1,ABS(NETWORKDAYS(Proc[[#This Row],[DateOpened]],Proc[[#This Row],[DateClosed]]))-1)</f>
        <v>0</v>
      </c>
      <c r="R4263" s="152" t="s">
        <v>410</v>
      </c>
      <c r="S4263" s="150"/>
    </row>
    <row r="4264" spans="1:19">
      <c r="A4264" s="149" t="s">
        <v>6406</v>
      </c>
      <c r="B4264" s="150" t="str">
        <f>IFERROR(VLOOKUP(Proc[[#This Row],[App]],Table2[],3,0),"open")</f>
        <v>open</v>
      </c>
      <c r="C4264" s="149" t="s">
        <v>404</v>
      </c>
      <c r="D4264" t="s">
        <v>6398</v>
      </c>
      <c r="E4264" t="s">
        <v>6409</v>
      </c>
      <c r="F4264" s="150" t="s">
        <v>5496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0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on track</v>
      </c>
      <c r="Q4264" s="3">
        <f ca="1">IF(Proc[[#This Row],[DateClosed]]="",ABS(NETWORKDAYS(Proc[[#This Row],[DateOpened]],TODAY()))-1,ABS(NETWORKDAYS(Proc[[#This Row],[DateOpened]],Proc[[#This Row],[DateClosed]]))-1)</f>
        <v>0</v>
      </c>
      <c r="R4264" s="152" t="s">
        <v>410</v>
      </c>
      <c r="S4264" s="150"/>
    </row>
    <row r="4265" spans="1:19">
      <c r="A4265" s="149" t="s">
        <v>6406</v>
      </c>
      <c r="B4265" s="150" t="str">
        <f>IFERROR(VLOOKUP(Proc[[#This Row],[App]],Table2[],3,0),"open")</f>
        <v>open</v>
      </c>
      <c r="C4265" s="149" t="s">
        <v>404</v>
      </c>
      <c r="D4265" t="s">
        <v>5487</v>
      </c>
      <c r="E4265" t="s">
        <v>6408</v>
      </c>
      <c r="F4265" s="150" t="s">
        <v>5496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0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on track</v>
      </c>
      <c r="Q4265" s="3">
        <f ca="1">IF(Proc[[#This Row],[DateClosed]]="",ABS(NETWORKDAYS(Proc[[#This Row],[DateOpened]],TODAY()))-1,ABS(NETWORKDAYS(Proc[[#This Row],[DateOpened]],Proc[[#This Row],[DateClosed]]))-1)</f>
        <v>0</v>
      </c>
      <c r="R4265" s="152" t="s">
        <v>410</v>
      </c>
      <c r="S4265" s="150"/>
    </row>
    <row r="4266" spans="1:19">
      <c r="A4266" s="149" t="s">
        <v>6406</v>
      </c>
      <c r="B4266" s="150" t="str">
        <f>IFERROR(VLOOKUP(Proc[[#This Row],[App]],Table2[],3,0),"open")</f>
        <v>open</v>
      </c>
      <c r="C4266" s="149" t="s">
        <v>404</v>
      </c>
      <c r="D4266" t="s">
        <v>6399</v>
      </c>
      <c r="E4266" t="s">
        <v>6408</v>
      </c>
      <c r="F4266" s="150" t="s">
        <v>5496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0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on track</v>
      </c>
      <c r="Q4266" s="3">
        <f ca="1">IF(Proc[[#This Row],[DateClosed]]="",ABS(NETWORKDAYS(Proc[[#This Row],[DateOpened]],TODAY()))-1,ABS(NETWORKDAYS(Proc[[#This Row],[DateOpened]],Proc[[#This Row],[DateClosed]]))-1)</f>
        <v>0</v>
      </c>
      <c r="R4266" s="152" t="s">
        <v>410</v>
      </c>
      <c r="S4266" s="150"/>
    </row>
    <row r="4267" spans="1:19">
      <c r="A4267" s="149" t="s">
        <v>6406</v>
      </c>
      <c r="B4267" s="150" t="str">
        <f>IFERROR(VLOOKUP(Proc[[#This Row],[App]],Table2[],3,0),"open")</f>
        <v>open</v>
      </c>
      <c r="C4267" s="149" t="s">
        <v>404</v>
      </c>
      <c r="D4267" t="s">
        <v>6400</v>
      </c>
      <c r="E4267" t="s">
        <v>6409</v>
      </c>
      <c r="F4267" s="150" t="s">
        <v>5496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0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on track</v>
      </c>
      <c r="Q4267" s="3">
        <f ca="1">IF(Proc[[#This Row],[DateClosed]]="",ABS(NETWORKDAYS(Proc[[#This Row],[DateOpened]],TODAY()))-1,ABS(NETWORKDAYS(Proc[[#This Row],[DateOpened]],Proc[[#This Row],[DateClosed]]))-1)</f>
        <v>0</v>
      </c>
      <c r="R4267" s="152" t="s">
        <v>410</v>
      </c>
      <c r="S4267" s="150"/>
    </row>
    <row r="4268" spans="1:19">
      <c r="A4268" s="149" t="s">
        <v>6406</v>
      </c>
      <c r="B4268" s="150" t="str">
        <f>IFERROR(VLOOKUP(Proc[[#This Row],[App]],Table2[],3,0),"open")</f>
        <v>open</v>
      </c>
      <c r="C4268" s="149" t="s">
        <v>404</v>
      </c>
      <c r="D4268" t="s">
        <v>6401</v>
      </c>
      <c r="E4268" t="s">
        <v>6409</v>
      </c>
      <c r="F4268" s="150" t="s">
        <v>5496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0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on track</v>
      </c>
      <c r="Q4268" s="3">
        <f ca="1">IF(Proc[[#This Row],[DateClosed]]="",ABS(NETWORKDAYS(Proc[[#This Row],[DateOpened]],TODAY()))-1,ABS(NETWORKDAYS(Proc[[#This Row],[DateOpened]],Proc[[#This Row],[DateClosed]]))-1)</f>
        <v>0</v>
      </c>
      <c r="R4268" s="152" t="s">
        <v>410</v>
      </c>
      <c r="S4268" s="150"/>
    </row>
    <row r="4269" spans="1:19">
      <c r="A4269" s="149" t="s">
        <v>6406</v>
      </c>
      <c r="B4269" s="150" t="str">
        <f>IFERROR(VLOOKUP(Proc[[#This Row],[App]],Table2[],3,0),"open")</f>
        <v>open</v>
      </c>
      <c r="C4269" s="149" t="s">
        <v>404</v>
      </c>
      <c r="D4269" t="s">
        <v>6402</v>
      </c>
      <c r="E4269" t="s">
        <v>6409</v>
      </c>
      <c r="F4269" s="150" t="s">
        <v>5496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0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on track</v>
      </c>
      <c r="Q4269" s="3">
        <f ca="1">IF(Proc[[#This Row],[DateClosed]]="",ABS(NETWORKDAYS(Proc[[#This Row],[DateOpened]],TODAY()))-1,ABS(NETWORKDAYS(Proc[[#This Row],[DateOpened]],Proc[[#This Row],[DateClosed]]))-1)</f>
        <v>0</v>
      </c>
      <c r="R4269" s="152" t="s">
        <v>410</v>
      </c>
      <c r="S4269" s="150"/>
    </row>
    <row r="4270" spans="1:19">
      <c r="A4270" s="149" t="s">
        <v>6406</v>
      </c>
      <c r="B4270" s="150" t="str">
        <f>IFERROR(VLOOKUP(Proc[[#This Row],[App]],Table2[],3,0),"open")</f>
        <v>open</v>
      </c>
      <c r="C4270" s="149" t="s">
        <v>404</v>
      </c>
      <c r="D4270" t="s">
        <v>6403</v>
      </c>
      <c r="E4270" t="s">
        <v>6409</v>
      </c>
      <c r="F4270" s="150" t="s">
        <v>5496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0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on track</v>
      </c>
      <c r="Q4270" s="3">
        <f ca="1">IF(Proc[[#This Row],[DateClosed]]="",ABS(NETWORKDAYS(Proc[[#This Row],[DateOpened]],TODAY()))-1,ABS(NETWORKDAYS(Proc[[#This Row],[DateOpened]],Proc[[#This Row],[DateClosed]]))-1)</f>
        <v>0</v>
      </c>
      <c r="R4270" s="152" t="s">
        <v>410</v>
      </c>
      <c r="S4270" s="150"/>
    </row>
    <row r="4271" spans="1:19">
      <c r="A4271" s="149" t="s">
        <v>6406</v>
      </c>
      <c r="B4271" s="150" t="str">
        <f>IFERROR(VLOOKUP(Proc[[#This Row],[App]],Table2[],3,0),"open")</f>
        <v>open</v>
      </c>
      <c r="C4271" s="149" t="s">
        <v>404</v>
      </c>
      <c r="D4271" t="s">
        <v>6404</v>
      </c>
      <c r="E4271" t="s">
        <v>6409</v>
      </c>
      <c r="F4271" s="150" t="s">
        <v>5496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0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on track</v>
      </c>
      <c r="Q4271" s="3">
        <f ca="1">IF(Proc[[#This Row],[DateClosed]]="",ABS(NETWORKDAYS(Proc[[#This Row],[DateOpened]],TODAY()))-1,ABS(NETWORKDAYS(Proc[[#This Row],[DateOpened]],Proc[[#This Row],[DateClosed]]))-1)</f>
        <v>0</v>
      </c>
      <c r="R4271" s="152" t="s">
        <v>410</v>
      </c>
      <c r="S4271" s="150"/>
    </row>
    <row r="4272" spans="1:19">
      <c r="A4272" s="149" t="s">
        <v>6406</v>
      </c>
      <c r="B4272" s="150" t="str">
        <f>IFERROR(VLOOKUP(Proc[[#This Row],[App]],Table2[],3,0),"open")</f>
        <v>open</v>
      </c>
      <c r="C4272" s="149" t="s">
        <v>404</v>
      </c>
      <c r="D4272" t="s">
        <v>6405</v>
      </c>
      <c r="E4272" t="s">
        <v>6408</v>
      </c>
      <c r="F4272" s="150" t="s">
        <v>5496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0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on track</v>
      </c>
      <c r="Q4272" s="3">
        <f ca="1">IF(Proc[[#This Row],[DateClosed]]="",ABS(NETWORKDAYS(Proc[[#This Row],[DateOpened]],TODAY()))-1,ABS(NETWORKDAYS(Proc[[#This Row],[DateOpened]],Proc[[#This Row],[DateClosed]]))-1)</f>
        <v>0</v>
      </c>
      <c r="R4272" s="152" t="s">
        <v>410</v>
      </c>
      <c r="S4272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6" workbookViewId="0">
      <selection activeCell="A6" sqref="A6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2025-09-24T11:09:24Z</dcterms:modified>
  <cp:category/>
  <cp:contentStatus/>
</cp:coreProperties>
</file>