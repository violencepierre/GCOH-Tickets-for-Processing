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6E6EAC0-7E44-485D-BE7B-F1617816C03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560" i="1" l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J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J4490" i="1"/>
  <c r="K4490" i="1"/>
  <c r="Q4490" i="1"/>
  <c r="P4490" i="1" s="1"/>
  <c r="B4489" i="1"/>
  <c r="H4489" i="1"/>
  <c r="J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J4486" i="1"/>
  <c r="K4486" i="1"/>
  <c r="Q4486" i="1"/>
  <c r="P4486" i="1" s="1"/>
  <c r="B4485" i="1"/>
  <c r="H4485" i="1"/>
  <c r="J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1" i="1"/>
  <c r="J4452" i="1"/>
  <c r="J4453" i="1"/>
  <c r="J4454" i="1"/>
  <c r="J4455" i="1"/>
  <c r="J4456" i="1"/>
  <c r="J4462" i="1"/>
  <c r="J4463" i="1"/>
  <c r="J4464" i="1"/>
  <c r="J4465" i="1"/>
  <c r="J4466" i="1"/>
  <c r="J4467" i="1"/>
  <c r="J4468" i="1"/>
  <c r="J4469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J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<sst xmlns="http://schemas.openxmlformats.org/spreadsheetml/2006/main" count="40579" uniqueCount="6751">
  <si>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</si>
  <si>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</si>
  <si>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</si>
  <si>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</si>
  <si>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</si>
  <si>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</si>
  <si>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</si>
  <si>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</si>
  <si>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</si>
  <si>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</si>
  <si>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</si>
  <si>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</si>
  <si>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</si>
  <si>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</si>
  <si>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</si>
  <si>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</si>
  <si>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</si>
  <si>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</si>
  <si>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</si>
  <si>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</si>
  <si>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</si>
  <si>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</si>
  <si>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</si>
  <si>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</si>
  <si>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</si>
  <si>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</si>
  <si>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</si>
  <si>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</si>
  <si>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</si>
  <si>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</si>
  <si>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</si>
  <si>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</si>
  <si>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</si>
  <si>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</si>
  <si>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</si>
  <si>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</si>
  <si>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</si>
  <si>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</si>
  <si>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</si>
  <si>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</si>
  <si>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</si>
  <si>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</si>
  <si>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</si>
  <si>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</si>
  <si>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</si>
  <si>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</si>
  <si>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</si>
  <si>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</si>
  <si>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</si>
  <si>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</si>
  <si>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</si>
  <si>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</si>
  <si>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</si>
  <si>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</si>
  <si>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</si>
  <si>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</si>
  <si>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</si>
  <si>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</si>
  <si>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</si>
  <si>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</si>
  <si>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</si>
  <si>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</si>
  <si>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</si>
  <si>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</si>
  <si>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</si>
  <si>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</si>
  <si>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</si>
  <si>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</si>
  <si>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</si>
  <si>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</si>
  <si>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</si>
  <si>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</si>
  <si>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</si>
  <si>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</si>
  <si>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</si>
  <si>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</si>
  <si>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</si>
  <si>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</si>
  <si>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</si>
  <si>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</si>
  <si>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</si>
  <si>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</si>
  <si>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</si>
  <si>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</si>
  <si>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</si>
  <si>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</si>
  <si>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</si>
  <si>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</si>
  <si>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</si>
  <si>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</si>
  <si>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</si>
  <si>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</si>
  <si>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</si>
  <si>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</si>
  <si>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</si>
  <si>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</si>
  <si>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</si>
  <si>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</si>
  <si>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</si>
  <si>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</si>
  <si>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</si>
  <si>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</si>
  <si>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</si>
  <si>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</si>
  <si>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</si>
  <si>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</si>
  <si>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</si>
  <si>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</si>
  <si>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</si>
  <si>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</si>
  <si>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</si>
  <si>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</si>
  <si>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</si>
  <si>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</si>
  <si>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</si>
  <si>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</si>
  <si>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</si>
  <si>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</si>
  <si>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</si>
  <si>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</si>
  <si>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</si>
  <si>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</si>
  <si>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</si>
  <si>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</si>
  <si>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</si>
  <si>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</si>
  <si>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</si>
  <si>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</si>
  <si>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</si>
  <si>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</si>
  <si>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</si>
  <si>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</si>
  <si>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</si>
  <si>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</si>
  <si>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</si>
  <si>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</si>
  <si>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</si>
  <si>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</si>
  <si>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</si>
  <si>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</si>
  <si>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</si>
  <si>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</si>
  <si>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</si>
  <si>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</si>
  <si>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</si>
  <si>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</si>
  <si>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</si>
  <si>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</si>
  <si>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</si>
  <si>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</si>
  <si>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</si>
  <si>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</si>
  <si>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</si>
  <si>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</si>
  <si>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</si>
  <si>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</si>
  <si>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</si>
  <si>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</si>
  <si>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</si>
  <si>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</si>
  <si>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</si>
  <si>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</si>
  <si>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</si>
  <si>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</si>
  <si>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</si>
  <si>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</si>
  <si>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</si>
  <si>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</si>
  <si>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</si>
  <si>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</si>
  <si>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</si>
  <si>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</si>
  <si>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</si>
  <si>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</si>
  <si>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</si>
  <si>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</si>
  <si>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</si>
  <si>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</si>
  <si>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</si>
  <si>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</si>
  <si>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</si>
  <si>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</si>
  <si>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</si>
  <si>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</si>
  <si>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</si>
  <si>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</si>
  <si>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</si>
  <si>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</si>
  <si>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</si>
  <si>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</si>
  <si>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</si>
  <si>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</si>
  <si>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</si>
  <si>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</si>
  <si>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</si>
  <si>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</si>
  <si>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</si>
  <si>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</si>
  <si>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</si>
  <si>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</si>
  <si>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</si>
  <si>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</si>
  <si>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</si>
  <si>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</si>
  <si>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</si>
  <si>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</si>
  <si>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</si>
  <si>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</si>
  <si>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</si>
  <si>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</si>
  <si>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</si>
  <si>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</si>
  <si>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</si>
  <si>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</si>
  <si>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</si>
  <si>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</si>
  <si>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</si>
  <si>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</si>
  <si>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</si>
  <si>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</si>
  <si>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</si>
  <si>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</si>
  <si>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</si>
  <si>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</si>
  <si>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</si>
  <si>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</si>
  <si>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</si>
  <si>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</si>
  <si>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</si>
  <si>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</si>
  <si>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</si>
  <si>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</si>
  <si>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</si>
  <si>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</si>
  <si>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</si>
  <si>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</si>
  <si>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</si>
  <si>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</si>
  <si>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</si>
  <si>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</si>
  <si>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</si>
  <si>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</si>
  <si>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</si>
  <si>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</si>
  <si>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</si>
  <si>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</si>
  <si>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</si>
  <si>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</si>
  <si>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</si>
  <si>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</si>
  <si>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</si>
  <si>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</si>
  <si>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</si>
  <si>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</si>
  <si>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</si>
  <si>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</si>
  <si>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</si>
  <si>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</si>
  <si>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</si>
  <si>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</si>
  <si>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</si>
  <si>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</si>
  <si>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</si>
  <si>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</si>
  <si>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</si>
  <si>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</si>
  <si>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</si>
  <si>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</si>
  <si>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</si>
  <si>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</si>
  <si>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</si>
  <si>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</si>
  <si>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</si>
  <si>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</si>
  <si>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</si>
  <si>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</si>
  <si>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</si>
  <si>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</si>
  <si>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</si>
  <si>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</si>
  <si>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</si>
  <si>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</si>
  <si>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</si>
  <si>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</si>
  <si>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</si>
  <si>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</si>
  <si>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</si>
  <si>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</si>
  <si>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</si>
  <si>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</si>
  <si>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</si>
  <si>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</si>
  <si>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</si>
  <si>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</si>
  <si>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</si>
  <si>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</si>
  <si>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</si>
  <si>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</si>
  <si>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</si>
  <si>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</si>
  <si>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</si>
  <si>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</si>
  <si>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</si>
  <si>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</si>
  <si>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</si>
  <si>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</si>
  <si>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</si>
  <si>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</si>
  <si>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</si>
  <si>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</si>
  <si>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</si>
  <si>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</si>
  <si>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</si>
  <si>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</si>
  <si>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</si>
  <si>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</si>
  <si>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</si>
  <si>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</si>
  <si>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</si>
  <si>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</si>
  <si>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</si>
  <si>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</si>
  <si>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</si>
  <si>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</si>
  <si>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</si>
  <si>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</si>
  <si>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</si>
  <si>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</si>
  <si>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</si>
  <si>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</si>
  <si>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</si>
  <si>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</si>
  <si>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</si>
  <si>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</si>
  <si>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</si>
  <si>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</si>
  <si>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</si>
  <si>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</si>
  <si>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</si>
  <si>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</si>
  <si>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</si>
  <si>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</si>
  <si>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</si>
  <si>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</si>
  <si>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</si>
  <si>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</si>
  <si>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</si>
  <si>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</si>
  <si>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</si>
  <si>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</si>
  <si>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</si>
  <si>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</si>
  <si>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</si>
  <si>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</si>
  <si>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</si>
  <si>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</si>
  <si>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</si>
  <si>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</si>
  <si>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</si>
  <si>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</si>
  <si>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</si>
  <si>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</si>
  <si>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</si>
  <si>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</si>
  <si>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</si>
  <si>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</si>
  <si>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</si>
  <si>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</si>
  <si>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</si>
  <si>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</si>
  <si>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</si>
  <si>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</si>
  <si>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</si>
  <si>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</si>
  <si>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</si>
  <si>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</si>
  <si>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</si>
  <si>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</si>
  <si>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</si>
  <si>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</si>
  <si>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</si>
  <si>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</si>
  <si>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</si>
  <si>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</si>
  <si>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</si>
  <si>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</si>
  <si>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</si>
  <si>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</si>
  <si>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</si>
  <si>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</si>
  <si>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</si>
  <si>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</si>
  <si>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</si>
  <si>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</si>
  <si>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</si>
  <si>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</si>
  <si>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</si>
  <si>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</si>
  <si>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</si>
  <si>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</si>
  <si>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</si>
  <si>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</si>
  <si>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</si>
  <si>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</si>
  <si>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</si>
  <si>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</si>
  <si>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</si>
  <si>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</si>
  <si>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</si>
  <si>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</si>
  <si>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</si>
  <si>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</si>
  <si>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</si>
  <si>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</si>
  <si>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</si>
  <si>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</si>
  <si>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</si>
  <si>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</si>
  <si>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</si>
  <si>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</si>
  <si>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</si>
  <si>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</si>
  <si>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</si>
  <si>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</si>
  <si>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</si>
  <si>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</si>
  <si>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</si>
  <si>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</si>
  <si>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</si>
  <si>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</si>
  <si>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</si>
  <si>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</si>
  <si>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</si>
  <si>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</si>
  <si>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</si>
  <si>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</si>
  <si>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</si>
  <si>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</si>
  <si>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</si>
  <si>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</si>
  <si>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</si>
  <si>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</si>
  <si>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</si>
  <si>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</si>
  <si>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</si>
  <si>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</si>
  <si>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</si>
  <si>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</si>
  <si>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</si>
  <si>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</si>
  <si>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</si>
  <si>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</si>
  <si>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</si>
  <si>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</si>
  <si>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</si>
  <si>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</si>
  <si>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</si>
  <si>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</si>
  <si>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</si>
  <si>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</si>
  <si>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</si>
  <si>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</si>
  <si>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</si>
  <si>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</si>
  <si>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</si>
  <si>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</si>
  <si>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</si>
  <si>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</si>
  <si>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</si>
  <si>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</si>
  <si>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</si>
  <si>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</si>
  <si>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</si>
  <si>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</si>
  <si>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</si>
  <si>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</si>
  <si>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</si>
  <si>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</si>
  <si>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</si>
  <si>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</si>
  <si>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</si>
  <si>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</si>
  <si>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</si>
  <si>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</si>
  <si>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</si>
  <si>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</si>
  <si>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</si>
  <si>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</si>
  <si>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</si>
  <si>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</si>
  <si>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</si>
  <si>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</si>
  <si>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</si>
  <si>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</si>
  <si>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</si>
  <si>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</si>
  <si>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</si>
  <si>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</si>
  <si>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</si>
  <si>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</si>
  <si>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</si>
  <si>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</si>
  <si>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</si>
  <si>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</si>
  <si>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</si>
  <si>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</si>
  <si>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</si>
  <si>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</si>
  <si>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</si>
  <si>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</si>
  <si>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</si>
  <si>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</si>
  <si>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</si>
  <si>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</si>
  <si>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</si>
  <si>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</si>
  <si>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</si>
  <si>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</si>
  <si>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</si>
  <si>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</si>
  <si>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</si>
  <si>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</si>
  <si>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</si>
  <si>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</si>
  <si>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</si>
  <si>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</si>
  <si>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</si>
  <si>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</si>
  <si>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</si>
  <si>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</si>
  <si>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</si>
  <si>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</si>
  <si>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</si>
  <si>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</si>
  <si>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</si>
  <si>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</si>
  <si>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</si>
  <si>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</si>
  <si>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</si>
  <si>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</si>
  <si>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</si>
  <si>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</si>
  <si>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</si>
  <si>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</si>
  <si>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</si>
  <si>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</si>
  <si>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</si>
  <si>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</si>
  <si>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</si>
  <si>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</si>
  <si>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</si>
  <si>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</si>
  <si>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</si>
  <si>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</si>
  <si>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</si>
  <si>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</si>
  <si>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</si>
  <si>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</si>
  <si>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</si>
  <si>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</si>
  <si>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</si>
  <si>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</si>
  <si>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</si>
  <si>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</si>
  <si>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</si>
  <si>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</si>
  <si>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</si>
  <si>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</si>
  <si>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</si>
  <si>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</si>
  <si>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</si>
  <si>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</si>
  <si>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</si>
  <si>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</si>
  <si>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</si>
  <si>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</si>
  <si>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</si>
  <si>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</si>
  <si>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</si>
  <si>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</si>
  <si>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</si>
  <si>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</si>
  <si>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</si>
  <si>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</si>
  <si>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</si>
  <si>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</si>
  <si>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</si>
  <si>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</si>
  <si>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</si>
  <si>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</si>
  <si>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</si>
  <si>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</si>
  <si>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</si>
  <si>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</si>
  <si>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</si>
  <si>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</si>
  <si>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</si>
  <si>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</si>
  <si>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</si>
  <si>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</si>
  <si>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</si>
  <si>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</si>
  <si>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</si>
  <si>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</si>
  <si>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</si>
  <si>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</si>
  <si>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</si>
  <si>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</si>
  <si>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</si>
  <si>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</si>
  <si>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</si>
  <si>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</si>
  <si>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</si>
  <si>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</si>
  <si>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</si>
  <si>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</si>
  <si>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</si>
  <si>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</si>
  <si>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</si>
  <si>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</si>
  <si>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</si>
  <si>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</si>
  <si>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</si>
  <si>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</si>
  <si>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</si>
  <si>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</si>
  <si>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</si>
  <si>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</si>
  <si>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</si>
  <si>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</si>
  <si>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</si>
  <si>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</si>
  <si>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</si>
  <si>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</si>
  <si>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</si>
  <si>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</si>
  <si>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</si>
  <si>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</si>
  <si>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</si>
  <si>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</si>
  <si>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</si>
  <si>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</si>
  <si>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</si>
  <si>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</si>
  <si>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</si>
  <si>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</si>
  <si>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</si>
  <si>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</si>
  <si>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</si>
  <si>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</si>
  <si>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</si>
  <si>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</si>
  <si>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</si>
  <si>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</si>
  <si>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</si>
  <si>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</si>
  <si>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</si>
  <si>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</si>
  <si>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</si>
  <si>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</si>
  <si>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</si>
  <si>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</si>
  <si>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</si>
  <si>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</si>
  <si>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</si>
  <si>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</si>
  <si>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</si>
  <si>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</si>
  <si>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</si>
  <si>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</si>
  <si>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</si>
  <si>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</si>
  <si>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</si>
  <si>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</si>
  <si>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</si>
  <si>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</si>
  <si>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</si>
  <si>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</si>
  <si>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</si>
  <si>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</si>
  <si>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</si>
  <si>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</si>
  <si>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</si>
  <si>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</si>
  <si>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</si>
  <si>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</si>
  <si>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</si>
  <si>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</si>
  <si>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</si>
  <si>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</si>
  <si>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</si>
  <si>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</si>
  <si>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</si>
  <si>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</si>
  <si>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</si>
  <si>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</si>
  <si>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</si>
  <si>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</si>
  <si>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</si>
  <si>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</si>
  <si>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</si>
  <si>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</si>
  <si>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</si>
  <si>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</si>
  <si>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</si>
  <si>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</si>
  <si>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</si>
  <si>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</si>
  <si>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</si>
  <si>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</si>
  <si>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</si>
  <si>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</si>
  <si>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</si>
  <si>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</si>
  <si>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</si>
  <si>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</si>
  <si>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</si>
  <si>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</si>
  <si>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</si>
  <si>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</si>
  <si>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</si>
  <si>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</si>
  <si>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</si>
  <si>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</si>
  <si>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</si>
  <si>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</si>
  <si>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</si>
  <si>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</si>
  <si>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</si>
  <si>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</si>
  <si>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</si>
  <si>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</si>
  <si>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</si>
  <si>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</si>
  <si>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</si>
  <si>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</si>
  <si>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</si>
  <si>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</si>
  <si>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</si>
  <si>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</si>
  <si>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</si>
  <si>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</si>
  <si>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</si>
  <si>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</si>
  <si>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</si>
  <si>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</si>
  <si>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</si>
  <si>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</si>
  <si>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</si>
  <si>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</si>
  <si>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</si>
  <si>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</si>
  <si>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</si>
  <si>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</si>
  <si>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</si>
  <si>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</si>
  <si>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</si>
  <si>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</si>
  <si>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</si>
  <si>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</si>
  <si>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</si>
  <si>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</si>
  <si>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</si>
  <si>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</si>
  <si>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</si>
  <si>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</si>
  <si>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</si>
  <si>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</si>
  <si>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</si>
  <si>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</si>
  <si>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</si>
  <si>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</si>
  <si>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</si>
  <si>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</si>
  <si>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</si>
  <si>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</si>
  <si>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</si>
  <si>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</si>
  <si>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</si>
  <si>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</si>
  <si>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</si>
  <si>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</si>
  <si>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</si>
  <si>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</si>
  <si>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</si>
  <si>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</si>
  <si>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</si>
  <si>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</si>
  <si>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</si>
  <si>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</si>
  <si>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</si>
  <si>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</si>
  <si>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</si>
  <si>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</si>
  <si>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</si>
  <si>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</si>
  <si>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</si>
  <si>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</si>
  <si>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</si>
  <si>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</si>
  <si>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</si>
  <si>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</si>
  <si>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</si>
  <si>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</si>
  <si>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</si>
  <si>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</si>
  <si>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</si>
  <si>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</si>
  <si>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</si>
  <si>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</si>
  <si>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</si>
  <si>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</si>
  <si>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</si>
  <si>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</si>
  <si>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</si>
  <si>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</si>
  <si>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</si>
  <si>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</si>
  <si>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</si>
  <si>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</si>
  <si>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</si>
  <si>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</si>
  <si>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</si>
  <si>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</si>
  <si>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</si>
  <si>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</si>
  <si>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</si>
  <si>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</si>
  <si>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</si>
  <si>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</si>
  <si>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</si>
  <si>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</si>
  <si>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</si>
  <si>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</si>
  <si>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</si>
  <si>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</si>
  <si>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</si>
  <si>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</si>
  <si>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</si>
  <si>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</si>
  <si>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</si>
  <si>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</si>
  <si>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</si>
  <si>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</si>
  <si>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</si>
  <si>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</si>
  <si>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</si>
  <si>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</si>
  <si>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</si>
  <si>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</si>
  <si>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</si>
  <si>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</si>
  <si>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</si>
  <si>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</si>
  <si>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</si>
  <si>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</si>
  <si>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</si>
  <si>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</si>
  <si>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</si>
  <si>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</si>
  <si>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</si>
  <si>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</si>
  <si>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</si>
  <si>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</si>
  <si>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</si>
  <si>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</si>
  <si>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</si>
  <si>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</si>
  <si>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</si>
  <si>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</si>
  <si>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</si>
  <si>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</si>
  <si>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</si>
  <si>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</si>
  <si>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</si>
  <si>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</si>
  <si>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</si>
  <si>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</si>
  <si>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</si>
  <si>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</si>
  <si>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</si>
  <si>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</si>
  <si>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</si>
  <si>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</si>
  <si>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</si>
  <si>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</si>
  <si>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</si>
  <si>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</si>
  <si>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</si>
  <si>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</si>
  <si>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</si>
  <si>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</si>
  <si>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</si>
  <si>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</si>
  <si>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</si>
  <si>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</si>
  <si>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</si>
  <si>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</si>
  <si>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</si>
  <si>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</si>
  <si>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</si>
  <si>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</si>
  <si>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</si>
  <si>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</si>
  <si>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</si>
  <si>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</si>
  <si>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</si>
  <si>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</si>
  <si>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</si>
  <si>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</si>
  <si>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</si>
  <si>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</si>
  <si>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</si>
  <si>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</si>
  <si>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</si>
  <si>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</si>
  <si>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</si>
  <si>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</si>
  <si>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</si>
  <si>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</si>
  <si>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</si>
  <si>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</si>
  <si>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</si>
  <si>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</si>
  <si>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</si>
  <si>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</si>
  <si>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</si>
  <si>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</si>
  <si>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</si>
  <si>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</si>
  <si>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</si>
  <si>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</si>
  <si>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</si>
  <si>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</si>
  <si>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</si>
  <si>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</si>
  <si>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</si>
  <si>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</si>
  <si>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</si>
  <si>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</si>
  <si>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</si>
  <si>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</si>
  <si>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</si>
  <si>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</si>
  <si>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</si>
  <si>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</si>
  <si>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</si>
  <si>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</si>
  <si>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</si>
  <si>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</si>
  <si>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</si>
  <si>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</si>
  <si>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</si>
  <si>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</si>
  <si>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</si>
  <si>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</si>
  <si>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</si>
  <si>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</si>
  <si>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</si>
  <si>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</si>
  <si>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</si>
  <si>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</si>
  <si>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</si>
  <si>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</si>
  <si>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</si>
  <si>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</si>
  <si>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</si>
  <si>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</si>
  <si>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</si>
  <si>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</si>
  <si>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</si>
  <si>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</si>
  <si>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</si>
  <si>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</si>
  <si>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</si>
  <si>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</si>
  <si>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</si>
  <si>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</si>
  <si>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</si>
  <si>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</si>
  <si>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</si>
  <si>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</si>
  <si>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</si>
  <si>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</si>
  <si>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</si>
  <si>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</si>
  <si>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</si>
  <si>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</si>
  <si>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</si>
  <si>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</si>
  <si>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</si>
  <si>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</si>
  <si>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</si>
  <si>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</si>
  <si>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</si>
  <si>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</si>
  <si>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</si>
  <si>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</si>
  <si>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</si>
  <si>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</si>
  <si>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</si>
  <si>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</si>
  <si>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</si>
  <si>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</si>
  <si>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</si>
  <si>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</si>
  <si>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</si>
  <si>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</si>
  <si>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</si>
  <si>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</si>
  <si>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</si>
  <si>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</si>
  <si>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</si>
  <si>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</si>
  <si>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</si>
  <si>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</si>
  <si>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</si>
  <si>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</si>
  <si>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</si>
  <si>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</si>
  <si>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</si>
  <si>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</si>
  <si>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</si>
  <si>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</si>
  <si>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</si>
  <si>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</si>
  <si>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</si>
  <si>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</si>
  <si>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</si>
  <si>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</si>
  <si>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</si>
  <si>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</si>
  <si>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</si>
  <si>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</si>
  <si>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</si>
  <si>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</si>
  <si>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</si>
  <si>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</si>
  <si>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</si>
  <si>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</si>
  <si>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</si>
  <si>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</si>
  <si>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</si>
  <si>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</si>
  <si>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</si>
  <si>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</si>
  <si>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</si>
  <si>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</si>
  <si>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</si>
  <si>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</si>
  <si>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</si>
  <si>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</si>
  <si>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</si>
  <si>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</si>
  <si>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</si>
  <si>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</si>
  <si>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</si>
  <si>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</si>
  <si>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</si>
  <si>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</si>
  <si>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</si>
  <si>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</si>
  <si>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</si>
  <si>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</si>
  <si>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</si>
  <si>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</si>
  <si>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</si>
  <si>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</si>
  <si>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</si>
  <si>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</si>
  <si>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</si>
  <si>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</si>
  <si>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</si>
  <si>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</si>
  <si>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</si>
  <si>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</si>
  <si>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</si>
  <si>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</si>
  <si>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</si>
  <si>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</si>
  <si>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</si>
  <si>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</si>
  <si>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</si>
  <si>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</si>
  <si>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</si>
  <si>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</si>
  <si>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</si>
  <si>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</si>
  <si>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</si>
  <si>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</si>
  <si>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</si>
  <si>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</si>
  <si>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</si>
  <si>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</si>
  <si>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</si>
  <si>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</si>
  <si>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</si>
  <si>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</si>
  <si>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</si>
  <si>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</si>
  <si>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</si>
  <si>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</si>
  <si>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</si>
  <si>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</si>
  <si>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</si>
  <si>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</si>
  <si>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</si>
  <si>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</si>
  <si>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</si>
  <si>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</si>
  <si>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</si>
  <si>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</si>
  <si>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</si>
  <si>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</si>
  <si>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</si>
  <si>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</si>
  <si>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</si>
  <si>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</si>
  <si>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</si>
  <si>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</si>
  <si>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</si>
  <si>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</si>
  <si>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</si>
  <si>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</si>
  <si>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</si>
  <si>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</si>
  <si>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</si>
  <si>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</si>
  <si>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</si>
  <si>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</si>
  <si>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</si>
  <si>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</si>
  <si>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</si>
  <si>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</si>
  <si>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</si>
  <si>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</si>
  <si>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</si>
  <si>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</si>
  <si>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</si>
  <si>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</si>
  <si>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</si>
  <si>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</si>
  <si>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</si>
  <si>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</si>
  <si>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</si>
  <si>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</si>
  <si>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</si>
  <si>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</si>
  <si>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</si>
  <si>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</si>
  <si>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</si>
  <si>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</si>
  <si>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</si>
  <si>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</si>
  <si>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</si>
  <si>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</si>
  <si>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</si>
  <si>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</si>
  <si>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</si>
  <si>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</si>
  <si>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</si>
  <si>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</si>
  <si>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</si>
  <si>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</si>
  <si>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</si>
  <si>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</si>
  <si>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</si>
  <si>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</si>
  <si>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</si>
  <si>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</si>
  <si>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</si>
  <si>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</si>
  <si>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</si>
  <si>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</si>
  <si>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</si>
  <si>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</si>
  <si>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</si>
  <si>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</si>
  <si>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</si>
  <si>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</si>
  <si>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</si>
  <si>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</si>
  <si>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</si>
  <si>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</si>
  <si>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</si>
  <si>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</si>
  <si>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</si>
  <si>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</si>
  <si>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</si>
  <si>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</si>
  <si>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</si>
  <si>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</si>
  <si>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</si>
  <si>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</si>
  <si>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</si>
  <si>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</si>
  <si>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</si>
  <si>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</si>
  <si>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</si>
  <si>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</si>
  <si>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</si>
  <si>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</si>
  <si>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</si>
  <si>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</si>
  <si>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</si>
  <si>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</si>
  <si>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</si>
  <si>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</si>
  <si>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</si>
  <si>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</si>
  <si>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</si>
  <si>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</si>
  <si>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</si>
  <si>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</si>
  <si>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</si>
  <si>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</si>
  <si>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</si>
  <si>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</si>
  <si>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</si>
  <si>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</si>
  <si>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</si>
  <si>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</si>
  <si>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</si>
  <si>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</si>
  <si>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</si>
  <si>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</si>
  <si>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</si>
  <si>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</si>
  <si>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</si>
  <si>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</si>
  <si>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</si>
  <si>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</si>
  <si>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</si>
  <si>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</si>
  <si>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</si>
  <si>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</si>
  <si>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</si>
  <si>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</si>
  <si>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</si>
  <si>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</si>
  <si>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</si>
  <si>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</si>
  <si>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</si>
  <si>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</si>
  <si>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</si>
  <si>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</si>
  <si>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</si>
  <si>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</si>
  <si>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</si>
  <si>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</si>
  <si>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</si>
  <si>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</si>
  <si>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</si>
  <si>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</si>
  <si>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</si>
  <si>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</si>
  <si>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</si>
  <si>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</si>
  <si>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</si>
  <si>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</si>
  <si>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</si>
  <si>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</si>
  <si>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</si>
  <si>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</si>
  <si>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</si>
  <si>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</si>
  <si>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</si>
  <si>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</si>
  <si>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</si>
  <si>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</si>
  <si>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</si>
  <si>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</si>
  <si>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</si>
  <si>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</si>
  <si>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</si>
  <si>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</si>
  <si>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</si>
  <si>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</si>
  <si>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</si>
  <si>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</si>
  <si>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</si>
  <si>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</si>
  <si>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</si>
  <si>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</si>
  <si>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</si>
  <si>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</si>
  <si>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</si>
  <si>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</si>
  <si>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</si>
  <si>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</si>
  <si>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</si>
  <si>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</si>
  <si>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</si>
  <si>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</si>
  <si>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</si>
  <si>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</si>
  <si>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</si>
  <si>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</si>
  <si>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</si>
  <si>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</si>
  <si>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</si>
  <si>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</si>
  <si>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</si>
  <si>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</si>
  <si>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</si>
  <si>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</si>
  <si>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</si>
  <si>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</si>
  <si>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</si>
  <si>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</si>
  <si>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</si>
  <si>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</si>
  <si>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</si>
  <si>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</si>
  <si>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</si>
  <si>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</si>
  <si>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</si>
  <si>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</si>
  <si>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</si>
  <si>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</si>
  <si>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</si>
  <si>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</si>
  <si>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</si>
  <si>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</si>
  <si>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</si>
  <si>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</si>
  <si>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</si>
  <si>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</si>
  <si>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</si>
  <si>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</si>
  <si>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</si>
  <si>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</si>
  <si>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</si>
  <si>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</si>
  <si>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</si>
  <si>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</si>
  <si>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</si>
  <si>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</si>
  <si>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</si>
  <si>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</si>
  <si>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</si>
  <si>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</si>
  <si>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</si>
  <si>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</si>
  <si>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</si>
  <si>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</si>
  <si>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</si>
  <si>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</si>
  <si>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</si>
  <si>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</si>
  <si>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</si>
  <si>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</si>
  <si>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</si>
  <si>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</si>
  <si>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</si>
  <si>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</si>
  <si>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</si>
  <si>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</si>
  <si>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</si>
  <si>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</si>
  <si>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</si>
  <si>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</si>
  <si>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</si>
  <si>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</si>
  <si>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</si>
  <si>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</si>
  <si>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</si>
  <si>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</si>
  <si>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</si>
  <si>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</si>
  <si>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</si>
  <si>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</si>
  <si>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</si>
  <si>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</si>
  <si>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</si>
  <si>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</si>
  <si>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</si>
  <si>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</si>
  <si>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</si>
  <si>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</si>
  <si>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</si>
  <si>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</si>
  <si>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</si>
  <si>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</si>
  <si>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</si>
  <si>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</si>
  <si>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</si>
  <si>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</si>
  <si>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</si>
  <si>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</si>
  <si>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</si>
  <si>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</si>
  <si>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</si>
  <si>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</si>
  <si>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</si>
  <si>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</si>
  <si>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</si>
  <si>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</si>
  <si>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</si>
  <si>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</si>
  <si>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</si>
  <si>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</si>
  <si>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</si>
  <si>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</si>
  <si>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</si>
  <si>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</si>
  <si>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</si>
  <si>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</si>
  <si>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</si>
  <si>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</si>
  <si>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</si>
  <si>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</si>
  <si>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</si>
  <si>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</si>
  <si>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</si>
  <si>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</si>
  <si>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</si>
  <si>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</si>
  <si>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</si>
  <si>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</si>
  <si>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</si>
  <si>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</si>
  <si>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</si>
  <si>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</si>
  <si>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</si>
  <si>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</si>
  <si>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</si>
  <si>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</si>
  <si>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</si>
  <si>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</si>
  <si>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</si>
  <si>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</si>
  <si>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</si>
  <si>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</si>
  <si>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</si>
  <si>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</si>
  <si>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</si>
  <si>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</si>
  <si>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</si>
  <si>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</si>
  <si>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</si>
  <si>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</si>
  <si>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</si>
  <si>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</si>
  <si>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</si>
  <si>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</si>
  <si>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</si>
  <si>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</si>
  <si>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</si>
  <si>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</si>
  <si>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</si>
  <si>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</si>
  <si>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</si>
  <si>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</si>
  <si>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</si>
  <si>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</si>
  <si>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</si>
  <si>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</si>
  <si>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</si>
  <si>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</si>
  <si>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</si>
  <si>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</si>
  <si>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</si>
  <si>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</si>
  <si>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</si>
  <si>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</si>
  <si>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</si>
  <si>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</si>
  <si>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</si>
  <si>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</si>
  <si>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</si>
  <si>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</si>
  <si>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</si>
  <si>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</si>
  <si>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</si>
  <si>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</si>
  <si>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</si>
  <si>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</si>
  <si>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</si>
  <si>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</si>
  <si>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</si>
  <si>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</si>
  <si>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</si>
  <si>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</si>
  <si>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</si>
  <si>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</si>
  <si>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</si>
  <si>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</si>
  <si>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</si>
  <si>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</si>
  <si>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</si>
  <si>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</si>
  <si>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</si>
  <si>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</si>
  <si>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</si>
  <si>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</si>
  <si>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</si>
  <si>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</si>
  <si>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</si>
  <si>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</si>
  <si>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</si>
  <si>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</si>
  <si>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</si>
  <si>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</si>
  <si>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</si>
  <si>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</si>
  <si>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</si>
  <si>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</si>
  <si>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</si>
  <si>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</si>
  <si>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</si>
  <si>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</si>
  <si>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</si>
  <si>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</si>
  <si>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</si>
  <si>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</si>
  <si>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</si>
  <si>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</si>
  <si>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</si>
  <si>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</si>
  <si>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</si>
  <si>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</si>
  <si>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</si>
  <si>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</si>
  <si>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</si>
  <si>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</si>
  <si>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</si>
  <si>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</si>
  <si>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</si>
  <si>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</si>
  <si>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</si>
  <si>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</si>
  <si>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</si>
  <si>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</si>
  <si>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</si>
  <si>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</si>
  <si>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</si>
  <si>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</si>
  <si>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</si>
  <si>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</si>
  <si>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</si>
  <si>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</si>
  <si>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</si>
  <si>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</si>
  <si>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</si>
  <si>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</si>
  <si>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</si>
  <si>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</si>
  <si>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</si>
  <si>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</si>
  <si>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</si>
  <si>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</si>
  <si>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</si>
  <si>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</si>
  <si>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</si>
  <si>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</si>
  <si>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</si>
  <si>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</si>
  <si>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</si>
  <si>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</si>
  <si>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</si>
  <si>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</si>
  <si>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</si>
  <si>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</si>
  <si>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</si>
  <si>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</si>
  <si>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</si>
  <si>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</si>
  <si>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</si>
  <si>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</si>
  <si>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</si>
  <si>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</si>
  <si>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</si>
  <si>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</si>
  <si>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</si>
  <si>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</si>
  <si>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</si>
  <si>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</si>
  <si>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</si>
  <si>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</si>
  <si>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</si>
  <si>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</si>
  <si>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</si>
  <si>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</si>
  <si>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</si>
  <si>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</si>
  <si>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</si>
  <si>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</si>
  <si>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</si>
  <si>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</si>
  <si>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</si>
  <si>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</si>
  <si>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</si>
  <si>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</si>
  <si>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</si>
  <si>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</si>
  <si>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</si>
  <si>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</si>
  <si>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</si>
  <si>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</si>
  <si>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</si>
  <si>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</si>
  <si>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</si>
  <si>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</si>
  <si>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</si>
  <si>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</si>
  <si>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</si>
  <si>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</si>
  <si>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</si>
  <si>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</si>
  <si>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</si>
  <si>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</si>
  <si>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</si>
  <si>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</si>
  <si>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</si>
  <si>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</si>
  <si>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</si>
  <si>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</si>
  <si>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</si>
  <si>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</si>
  <si>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</si>
  <si>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</si>
  <si>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</si>
  <si>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</si>
  <si>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</si>
  <si>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</si>
  <si>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</si>
  <si>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</si>
  <si>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</si>
  <si>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</si>
  <si>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</si>
  <si>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</si>
  <si>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</si>
  <si>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</si>
  <si>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</si>
  <si>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</si>
  <si>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</si>
  <si>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</si>
  <si>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</si>
  <si>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</si>
  <si>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</si>
  <si>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</si>
  <si>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</si>
  <si>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</si>
  <si>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</si>
  <si>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</si>
  <si>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</si>
  <si>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</si>
  <si>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</si>
  <si>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</si>
  <si>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</si>
  <si>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</si>
  <si>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</si>
  <si>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</si>
  <si>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</si>
  <si>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</si>
  <si>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</si>
  <si>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</si>
  <si>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</si>
  <si>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</si>
  <si>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</si>
  <si>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</si>
  <si>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</si>
  <si>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</si>
  <si>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</si>
  <si>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</si>
  <si>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</si>
  <si>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</si>
  <si>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</si>
  <si>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</si>
  <si>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</si>
  <si>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</si>
  <si>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</si>
  <si>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</si>
  <si>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</si>
  <si>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</si>
  <si>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</si>
  <si>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</si>
  <si>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</si>
  <si>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</si>
  <si>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</si>
  <si>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</si>
  <si>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</si>
  <si>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</si>
  <si>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</si>
  <si>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</si>
  <si>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</si>
  <si>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</si>
  <si>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</si>
  <si>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</si>
  <si>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</si>
  <si>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</si>
  <si>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</si>
  <si>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</si>
  <si>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</si>
  <si>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</si>
  <si>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</si>
  <si>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</si>
  <si>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</si>
  <si>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</si>
  <si>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</si>
  <si>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</si>
  <si>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</si>
  <si>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</si>
  <si>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</si>
  <si>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</si>
  <si>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</si>
  <si>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</si>
  <si>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</si>
  <si>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</si>
  <si>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</si>
  <si>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</si>
  <si>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</si>
  <si>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</si>
  <si>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</si>
  <si>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</si>
  <si>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</si>
  <si>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</si>
  <si>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</si>
  <si>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</si>
  <si>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</si>
  <si>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</si>
  <si>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</si>
  <si>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</si>
  <si>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</si>
  <si>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</si>
  <si>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</si>
  <si>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</si>
  <si>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</si>
  <si>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</si>
  <si>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</si>
  <si>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</si>
  <si>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</si>
  <si>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</si>
  <si>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</si>
  <si>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</si>
  <si>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</si>
  <si>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</si>
  <si>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</si>
  <si>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</si>
  <si>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</si>
  <si>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</si>
  <si>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</si>
  <si>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</si>
  <si>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</si>
  <si>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</si>
  <si>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</si>
  <si>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</si>
  <si>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</si>
  <si>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</si>
  <si>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</si>
  <si>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</si>
  <si>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</si>
  <si>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</si>
  <si>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</si>
  <si>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</si>
  <si>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</si>
  <si>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</si>
  <si>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</si>
  <si>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</si>
  <si>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</si>
  <si>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</si>
  <si>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</si>
  <si>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</si>
  <si>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</si>
  <si>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</si>
  <si>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</si>
  <si>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</si>
  <si>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</si>
  <si>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</si>
  <si>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</si>
  <si>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</si>
  <si>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</si>
  <si>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</si>
  <si>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</si>
  <si>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</si>
  <si>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</si>
  <si>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</si>
  <si>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</si>
  <si>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</si>
  <si>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</si>
  <si>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</si>
  <si>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</si>
  <si>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</si>
  <si>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</si>
  <si>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</si>
  <si>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</si>
  <si>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</si>
  <si>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</si>
  <si>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</si>
  <si>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</si>
  <si>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</si>
  <si>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</si>
  <si>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</si>
  <si>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</si>
  <si>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</si>
  <si>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</si>
  <si>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</si>
  <si>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</si>
  <si>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</si>
  <si>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</si>
  <si>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</si>
  <si>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</si>
  <si>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</si>
  <si>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</si>
  <si>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</si>
  <si>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</si>
  <si>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</si>
  <si>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</si>
  <si>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</si>
  <si>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</si>
  <si>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</si>
  <si>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</si>
  <si>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</si>
  <si>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</si>
  <si>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</si>
  <si>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</si>
  <si>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</si>
  <si>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</si>
  <si>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</si>
  <si>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</si>
  <si>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</si>
  <si>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</si>
  <si>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</si>
  <si>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</si>
  <si>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</si>
  <si>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</si>
  <si>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</si>
  <si>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</si>
  <si>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</si>
  <si>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</si>
  <si>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</si>
  <si>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</si>
  <si>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</si>
  <si>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</si>
  <si>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</si>
  <si>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</si>
  <si>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</si>
  <si>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</si>
  <si>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</si>
  <si>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</si>
  <si>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</si>
  <si>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</si>
  <si>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</si>
  <si>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</si>
  <si>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</si>
  <si>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</si>
  <si>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</si>
  <si>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</si>
  <si>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</si>
  <si>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</si>
  <si>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</si>
  <si>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</si>
  <si>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</si>
  <si>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</si>
  <si>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</si>
  <si>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</si>
  <si>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</si>
  <si>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</si>
  <si>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</si>
  <si>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</si>
  <si>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</si>
  <si>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</si>
  <si>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</si>
  <si>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</si>
  <si>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</si>
  <si>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</si>
  <si>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</si>
  <si>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</si>
  <si>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</si>
  <si>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</si>
  <si>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</si>
  <si>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</si>
  <si>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</si>
  <si>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</si>
  <si>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</si>
  <si>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</si>
  <si>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</si>
  <si>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</si>
  <si>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</si>
  <si>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</si>
  <si>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</si>
  <si>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</si>
  <si>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</si>
  <si>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</si>
  <si>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</si>
  <si>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</si>
  <si>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</si>
  <si>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</si>
  <si>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</si>
  <si>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</si>
  <si>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</si>
  <si>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</si>
  <si>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</si>
  <si>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</si>
  <si>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</si>
  <si>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</si>
  <si>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</si>
  <si>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</si>
  <si>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</si>
  <si>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</si>
  <si>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</si>
  <si>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</si>
  <si>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</si>
  <si>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</si>
  <si>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</si>
  <si>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</si>
  <si>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</si>
  <si>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</si>
  <si>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</si>
  <si>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</si>
  <si>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</si>
  <si>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</si>
  <si>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</si>
  <si>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</si>
  <si>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</si>
  <si>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</si>
  <si>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</si>
  <si>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</si>
  <si>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</si>
  <si>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</si>
  <si>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</si>
  <si>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</si>
  <si>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</si>
  <si>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</si>
  <si>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</si>
  <si>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</si>
  <si>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</si>
  <si>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</si>
  <si>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</si>
  <si>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</si>
  <si>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</si>
  <si>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</si>
  <si>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</si>
  <si>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</si>
  <si>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</si>
  <si>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</si>
  <si>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</si>
  <si>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</si>
  <si>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</si>
  <si>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</si>
  <si>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</si>
  <si>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</si>
  <si>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</si>
  <si>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</si>
  <si>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</si>
  <si>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</si>
  <si>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</si>
  <si>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</si>
  <si>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</si>
  <si>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</si>
  <si>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</si>
  <si>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</si>
  <si>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</si>
  <si>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</si>
  <si>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</si>
  <si>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</si>
  <si>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</si>
  <si>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</si>
  <si>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</si>
  <si>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</si>
  <si>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</si>
  <si>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</si>
  <si>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</si>
  <si>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</si>
  <si>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</si>
  <si>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</si>
  <si>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</si>
  <si>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</si>
  <si>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</si>
  <si>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</si>
  <si>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</si>
  <si>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</si>
  <si>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</si>
  <si>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</si>
  <si>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</si>
  <si>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</si>
  <si>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</si>
  <si>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</si>
  <si>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</si>
  <si>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</si>
  <si>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</si>
  <si>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</si>
  <si>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</si>
  <si>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</si>
  <si>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</si>
  <si>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</si>
  <si>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</si>
  <si>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</si>
  <si>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</si>
  <si>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</si>
  <si>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</si>
  <si>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</si>
  <si>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</si>
  <si>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</si>
  <si>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</si>
  <si>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</si>
  <si>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</si>
  <si>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</si>
  <si>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</si>
  <si>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</si>
  <si>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</si>
  <si>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</si>
  <si>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</si>
  <si>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</si>
  <si>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</si>
  <si>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</si>
  <si>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</si>
  <si>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</si>
  <si>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</si>
  <si>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</si>
  <si>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</si>
  <si>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</si>
  <si>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</si>
  <si>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</si>
  <si>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</si>
  <si>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</si>
  <si>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</si>
  <si>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</si>
  <si>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</si>
  <si>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</si>
  <si>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</si>
  <si>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</si>
  <si>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</si>
  <si>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</si>
  <si>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</si>
  <si>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</si>
  <si>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</si>
  <si>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</si>
  <si>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</si>
  <si>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</si>
  <si>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</si>
  <si>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</si>
  <si>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</si>
  <si>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</si>
  <si>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</si>
  <si>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</si>
  <si>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</si>
  <si>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</si>
  <si>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</si>
  <si>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</si>
  <si>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</si>
  <si>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</si>
  <si>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</si>
  <si>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</si>
  <si>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</si>
  <si>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</si>
  <si>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</si>
  <si>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</si>
  <si>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</si>
  <si>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</si>
  <si>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</si>
  <si>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</si>
  <si>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</si>
  <si>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</si>
  <si>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</si>
  <si>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</si>
  <si>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</si>
  <si>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</si>
  <si>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</si>
  <si>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</si>
  <si>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</si>
  <si>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</si>
  <si>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</si>
  <si>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</si>
  <si>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</si>
  <si>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</si>
  <si>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</si>
  <si>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</si>
  <si>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</si>
  <si>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</si>
  <si>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</si>
  <si>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</si>
  <si>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</si>
  <si>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</si>
  <si>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</si>
  <si>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</si>
  <si>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</si>
  <si>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</si>
  <si>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</si>
  <si>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</si>
  <si>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</si>
  <si>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</si>
  <si>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</si>
  <si>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</si>
  <si>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</si>
  <si>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</si>
  <si>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</si>
  <si>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</si>
  <si>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</si>
  <si>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</si>
  <si>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</si>
  <si>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</si>
  <si>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</si>
  <si>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</si>
  <si>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</si>
  <si>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</si>
  <si>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</si>
  <si>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</si>
  <si>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</si>
  <si>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</si>
  <si>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</si>
  <si>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</si>
  <si>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</si>
  <si>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</si>
  <si>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</si>
  <si>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</si>
  <si>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</si>
  <si>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</si>
  <si>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</si>
  <si>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</si>
  <si>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</si>
  <si>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</si>
  <si>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</si>
  <si>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</si>
  <si>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</si>
  <si>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</si>
  <si>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</si>
  <si>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</si>
  <si>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</si>
  <si>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</si>
  <si>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</si>
  <si>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</si>
  <si>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</si>
  <si>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</si>
  <si>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</si>
  <si>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</si>
  <si>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</si>
  <si>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</si>
  <si>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</si>
  <si>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</si>
  <si>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</si>
  <si>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</si>
  <si>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</si>
  <si>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</si>
  <si>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</si>
  <si>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</si>
  <si>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</si>
  <si>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</si>
  <si>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</si>
  <si>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</si>
  <si>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</si>
  <si>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</si>
  <si>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</si>
  <si>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</si>
  <si>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</si>
  <si>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</si>
  <si>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</si>
  <si>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</si>
  <si>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</si>
  <si>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</si>
  <si>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</si>
  <si>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</si>
  <si>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</si>
  <si>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</si>
  <si>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</si>
  <si>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</si>
  <si>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</si>
  <si>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</si>
  <si>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</si>
  <si>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</si>
  <si>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</si>
  <si>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</si>
  <si>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</si>
  <si>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</si>
  <si>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</si>
  <si>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</si>
  <si>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</si>
  <si>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</si>
  <si>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</si>
  <si>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</si>
  <si>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</si>
  <si>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</si>
  <si>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</si>
  <si>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</si>
  <si>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</si>
  <si>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</si>
  <si>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</si>
  <si>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</si>
  <si>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</si>
  <si>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</si>
  <si>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</si>
  <si>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</si>
  <si>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</si>
  <si>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</si>
  <si>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</si>
  <si>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</si>
  <si>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</si>
  <si>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</si>
  <si>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</si>
  <si>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</si>
  <si>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</si>
  <si>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</si>
  <si>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</si>
  <si>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</si>
  <si>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</si>
  <si>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</si>
  <si>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</si>
  <si>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</si>
  <si>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</si>
  <si>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</si>
  <si>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</si>
  <si>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</si>
  <si>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</si>
  <si>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</si>
  <si>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</si>
  <si>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</si>
  <si>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</si>
  <si>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</si>
  <si>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</si>
  <si>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</si>
  <si>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</si>
  <si>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</si>
  <si>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</si>
  <si>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</si>
  <si>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</si>
  <si>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</si>
  <si>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</si>
  <si>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</si>
  <si>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</si>
  <si>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</si>
  <si>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</si>
  <si>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</si>
  <si>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</si>
  <si>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</si>
  <si>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</si>
  <si>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</si>
  <si>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</si>
  <si>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</si>
  <si>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</si>
  <si>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</si>
  <si>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</si>
  <si>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</si>
  <si>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</si>
  <si>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</si>
  <si>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</si>
  <si>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</si>
  <si>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</si>
  <si>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</si>
  <si>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</si>
  <si>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</si>
  <si>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</si>
  <si>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</si>
  <si>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</si>
  <si>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</si>
  <si>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</si>
  <si>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</si>
  <si>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</si>
  <si>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</si>
  <si>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</si>
  <si>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</si>
  <si>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</si>
  <si>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</si>
  <si>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</si>
  <si>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</si>
  <si>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</si>
  <si>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</si>
  <si>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</si>
  <si>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</si>
  <si>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</si>
  <si>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</si>
  <si>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</si>
  <si>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</si>
  <si>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</si>
  <si>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</si>
  <si>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</si>
  <si>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</si>
  <si>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</si>
  <si>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</si>
  <si>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</si>
  <si>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</si>
  <si>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</si>
  <si>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</si>
  <si>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</si>
  <si>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</si>
  <si>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</si>
  <si>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</si>
  <si>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</si>
  <si>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</si>
  <si>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</si>
  <si>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</si>
  <si>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</si>
  <si>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</si>
  <si>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</si>
  <si>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</si>
  <si>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</si>
  <si>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</si>
  <si>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</si>
  <si>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</si>
  <si>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</si>
  <si>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</si>
  <si>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</si>
  <si>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</si>
  <si>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</si>
  <si>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</si>
  <si>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</si>
  <si>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</si>
  <si>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</si>
  <si>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</si>
  <si>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</si>
  <si>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</si>
  <si>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</si>
  <si>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</si>
  <si>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</si>
  <si>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</si>
  <si>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</si>
  <si>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</si>
  <si>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</si>
  <si>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</si>
  <si>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</si>
  <si>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</si>
  <si>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</si>
  <si>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</si>
  <si>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</si>
  <si>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</si>
  <si>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</si>
  <si>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</si>
  <si>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</si>
  <si>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</si>
  <si>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</si>
  <si>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</si>
  <si>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</si>
  <si>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</si>
  <si>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</si>
  <si>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</si>
  <si>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</si>
  <si>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</si>
  <si>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</si>
  <si>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</si>
  <si>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</si>
  <si>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</si>
  <si>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</si>
  <si>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</si>
  <si>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</si>
  <si>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</si>
  <si>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</si>
  <si>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</si>
  <si>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</si>
  <si>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</si>
  <si>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</si>
  <si>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</si>
  <si>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</si>
  <si>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</si>
  <si>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</si>
  <si>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</si>
  <si>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</si>
  <si>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</si>
  <si>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</si>
  <si>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</si>
  <si>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</si>
  <si>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</si>
  <si>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</si>
  <si>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</si>
  <si>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</si>
  <si>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</si>
  <si>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</si>
  <si>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</si>
  <si>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</si>
  <si>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</si>
  <si>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</si>
  <si>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</si>
  <si>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</si>
  <si>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</si>
  <si>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</si>
  <si>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</si>
  <si>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</si>
  <si>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</si>
  <si>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</si>
  <si>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</si>
  <si>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</si>
  <si>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</si>
  <si>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</si>
  <si>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</si>
  <si>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</si>
  <si>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</si>
  <si>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</si>
  <si>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</si>
  <si>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</si>
  <si>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</si>
  <si>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</si>
  <si>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</si>
  <si>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</si>
  <si>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</si>
  <si>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</si>
  <si>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</si>
  <si>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</si>
  <si>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</si>
  <si>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</si>
  <si>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</si>
  <si>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</si>
  <si>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</si>
  <si>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</si>
  <si>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</si>
  <si>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</si>
  <si>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</si>
  <si>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</si>
  <si>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</si>
  <si>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</si>
  <si>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</si>
  <si>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</si>
  <si>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</si>
  <si>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</si>
  <si>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</si>
  <si>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</si>
  <si>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</si>
  <si>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</si>
  <si>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</si>
  <si>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</si>
  <si>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</si>
  <si>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</si>
  <si>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</si>
  <si>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</si>
  <si>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</si>
  <si>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</si>
  <si>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</si>
  <si>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</si>
  <si>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</si>
  <si>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</si>
  <si>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</si>
  <si>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</si>
  <si>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</si>
  <si>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</si>
  <si>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</si>
  <si>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</si>
  <si>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</si>
  <si>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</si>
  <si>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</si>
  <si>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</si>
  <si>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</si>
  <si>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</si>
  <si>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</si>
  <si>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</si>
  <si>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</si>
  <si>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</si>
  <si>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</si>
  <si>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</si>
  <si>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</si>
  <si>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</si>
  <si>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</si>
  <si>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</si>
  <si>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</si>
  <si>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</si>
  <si>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</si>
  <si>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</si>
  <si>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</si>
  <si>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</si>
  <si>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</si>
  <si>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</si>
  <si>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</si>
  <si>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</si>
  <si>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</si>
  <si>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</si>
  <si>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</si>
  <si>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</si>
  <si>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</si>
  <si>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</si>
  <si>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</si>
  <si>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</si>
  <si>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</si>
  <si>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</si>
  <si>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</si>
  <si>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</si>
  <si>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</si>
  <si>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</si>
  <si>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</si>
  <si>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</si>
  <si>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</si>
  <si>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</si>
  <si>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</si>
  <si>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</si>
  <si>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</si>
  <si>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</si>
  <si>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</si>
  <si>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</si>
  <si>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</si>
  <si>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</si>
  <si>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</si>
  <si>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</si>
  <si>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</si>
  <si>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</si>
  <si>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</si>
  <si>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</si>
  <si>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</si>
  <si>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</si>
  <si>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</si>
  <si>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</si>
  <si>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</si>
  <si>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</si>
  <si>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</si>
  <si>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</si>
  <si>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</si>
  <si>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</si>
  <si>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</si>
  <si>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</si>
  <si>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</si>
  <si>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</si>
  <si>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</si>
  <si>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</si>
  <si>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</si>
  <si>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</si>
  <si>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</si>
  <si>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</si>
  <si>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</si>
  <si>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</si>
  <si>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</si>
  <si>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</si>
  <si>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</si>
  <si>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</si>
  <si>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</si>
  <si>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</si>
  <si>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</si>
  <si>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</si>
  <si>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</si>
  <si>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</si>
  <si>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</si>
  <si>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</si>
  <si>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</si>
  <si>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</si>
  <si>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</si>
  <si>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</si>
  <si>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</si>
  <si>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</si>
  <si>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</si>
  <si>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</si>
  <si>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</si>
  <si>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</si>
  <si>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</si>
  <si>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</si>
  <si>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</si>
  <si>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</si>
  <si>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</si>
  <si>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</si>
  <si>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</si>
  <si>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</si>
  <si>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</si>
  <si>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</si>
  <si>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</si>
  <si>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</si>
  <si>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</si>
  <si>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</si>
  <si>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</si>
  <si>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</si>
  <si>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</si>
  <si>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</si>
  <si>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</si>
  <si>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</si>
  <si>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</si>
  <si>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</si>
  <si>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</si>
  <si>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</si>
  <si>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</si>
  <si>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</si>
  <si>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</si>
  <si>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</si>
  <si>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</si>
  <si>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</si>
  <si>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</si>
  <si>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</si>
  <si>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</si>
  <si>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</si>
  <si>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</si>
  <si>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</si>
  <si>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</si>
  <si>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</si>
  <si>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</si>
  <si>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</si>
  <si>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</si>
  <si>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</si>
  <si>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</si>
  <si>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</si>
  <si>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</si>
  <si>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</si>
  <si>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</si>
  <si>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</si>
  <si>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</si>
  <si>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</si>
  <si>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</si>
  <si>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</si>
  <si>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</si>
  <si>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</si>
  <si>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</si>
  <si>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</si>
  <si>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</si>
  <si>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</si>
  <si>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</si>
  <si>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</si>
  <si>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</si>
  <si>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</si>
  <si>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</si>
  <si>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</si>
  <si>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</si>
  <si>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</si>
  <si>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</si>
  <si>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</si>
  <si>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</si>
  <si>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</si>
  <si>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</si>
  <si>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</si>
  <si>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</si>
  <si>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</si>
  <si>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</si>
  <si>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</si>
  <si>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</si>
  <si>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</si>
  <si>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</si>
  <si>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</si>
  <si>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</si>
  <si>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</si>
  <si>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</si>
  <si>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</si>
  <si>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</si>
  <si>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</si>
  <si>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</si>
  <si>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</si>
  <si>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</si>
  <si>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</si>
  <si>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</si>
  <si>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</si>
  <si>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</si>
  <si>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</si>
  <si>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</si>
  <si>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</si>
  <si>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</si>
  <si>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</si>
  <si>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</si>
  <si>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</si>
  <si>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</si>
  <si>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</si>
  <si>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</si>
  <si>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</si>
  <si>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</si>
  <si>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</si>
  <si>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</si>
  <si>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</si>
  <si>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</si>
  <si>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</si>
  <si>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</si>
  <si>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</si>
  <si>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</si>
  <si>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</si>
  <si>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</si>
  <si>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</si>
  <si>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</si>
  <si>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</si>
  <si>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</si>
  <si>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</si>
  <si>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</si>
  <si>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</si>
  <si>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</si>
  <si>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</si>
  <si>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</si>
  <si>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</si>
  <si>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</si>
  <si>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</si>
  <si>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</si>
  <si>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</si>
  <si>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</si>
  <si>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</si>
  <si>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</si>
  <si>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</si>
  <si>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</si>
  <si>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</si>
  <si>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</si>
  <si>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</si>
  <si>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</si>
  <si>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</si>
  <si>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</si>
  <si>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</si>
  <si>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</si>
  <si>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</si>
  <si>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</si>
  <si>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</si>
  <si>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</si>
  <si>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</si>
  <si>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</si>
  <si>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</si>
  <si>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</si>
  <si>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</si>
  <si>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</si>
  <si>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</si>
  <si>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</si>
  <si>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</si>
  <si>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</si>
  <si>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</si>
  <si>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</si>
  <si>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</si>
  <si>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</si>
  <si>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</si>
  <si>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</si>
  <si>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</si>
  <si>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</si>
  <si>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</si>
  <si>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</si>
  <si>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</si>
  <si>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</si>
  <si>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</si>
  <si>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</si>
  <si>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</si>
  <si>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</si>
  <si>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</si>
  <si>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</si>
  <si>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</si>
  <si>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</si>
  <si>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</si>
  <si>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</si>
  <si>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</si>
  <si>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</si>
  <si>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</si>
  <si>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</si>
  <si>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</si>
  <si>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</si>
  <si>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</si>
  <si>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</si>
  <si>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</si>
  <si>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</si>
  <si>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</si>
  <si>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</si>
  <si>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</si>
  <si>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</si>
  <si>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</si>
  <si>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</si>
  <si>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</si>
  <si>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</si>
  <si>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</si>
  <si>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</si>
  <si>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</si>
  <si>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</si>
  <si>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</si>
  <si>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</si>
  <si>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</si>
  <si>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</si>
  <si>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</si>
  <si>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</si>
  <si>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</si>
  <si>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</si>
  <si>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</si>
  <si>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</si>
  <si>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</si>
  <si>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</si>
  <si>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</si>
  <si>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</si>
  <si>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</si>
  <si>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</si>
  <si>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</si>
  <si>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</si>
  <si>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</si>
  <si>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</si>
  <si>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</si>
  <si>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</si>
  <si>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</si>
  <si>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</si>
  <si>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</si>
  <si>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</si>
  <si>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</si>
  <si>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</si>
  <si>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</si>
  <si>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</si>
  <si>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</si>
  <si>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</si>
  <si>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</si>
  <si>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</si>
  <si>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</si>
  <si>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</si>
  <si>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</si>
  <si>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</si>
  <si>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</si>
  <si>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</si>
  <si>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</si>
  <si>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</si>
  <si>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</si>
  <si>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</si>
  <si>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</si>
  <si>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</si>
  <si>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</si>
  <si>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</si>
  <si>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</si>
  <si>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</si>
  <si>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</si>
  <si>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</si>
  <si>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</si>
  <si>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</si>
  <si>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</si>
  <si>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</si>
  <si>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</si>
  <si>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</si>
  <si>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</si>
  <si>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</si>
  <si>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</si>
  <si>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</si>
  <si>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</si>
  <si>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</si>
  <si>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</si>
  <si>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</si>
  <si>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</si>
  <si>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</si>
  <si>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</si>
  <si>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</si>
  <si>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</si>
  <si>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</si>
  <si>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</si>
  <si>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</si>
  <si>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</si>
  <si>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</si>
  <si>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</si>
  <si>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</si>
  <si>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</si>
  <si>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</si>
  <si>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</si>
  <si>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</si>
  <si>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</si>
  <si>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</si>
  <si>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</si>
  <si>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</si>
  <si>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</si>
  <si>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</si>
  <si>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</si>
  <si>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</si>
  <si>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</si>
  <si>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</si>
  <si>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</si>
  <si>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</si>
  <si>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</si>
  <si>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</si>
  <si>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</si>
  <si>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</si>
  <si>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</si>
  <si>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</si>
  <si>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</si>
  <si>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</si>
  <si>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</si>
  <si>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</si>
  <si>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</si>
  <si>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</si>
  <si>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</si>
  <si>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</si>
  <si>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</si>
  <si>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</si>
  <si>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</si>
  <si>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</si>
  <si>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</si>
  <si>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</si>
  <si>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</si>
  <si>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</si>
  <si>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</si>
  <si>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</si>
  <si>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</si>
  <si>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</si>
  <si>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</si>
  <si>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</si>
  <si>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</si>
  <si>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</si>
  <si>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</si>
  <si>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</si>
  <si>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</si>
  <si>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</si>
  <si>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</si>
  <si>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</si>
  <si>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</si>
  <si>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</si>
  <si>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</si>
  <si>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</si>
  <si>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</si>
  <si>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</si>
  <si>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</si>
  <si>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</si>
  <si>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</si>
  <si>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</si>
  <si>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</si>
  <si>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</si>
  <si>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</si>
  <si>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</si>
  <si>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</si>
  <si>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</si>
  <si>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</si>
  <si>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</si>
  <si>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</si>
  <si>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</si>
  <si>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</si>
  <si>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</si>
  <si>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</si>
  <si>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</si>
  <si>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</si>
  <si>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</si>
  <si>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</si>
  <si>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</si>
  <si>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</si>
  <si>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</si>
  <si>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</si>
  <si>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</si>
  <si>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</si>
  <si>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</si>
  <si>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</si>
  <si>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</si>
  <si>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</si>
  <si>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</si>
  <si>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</si>
  <si>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</si>
  <si>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</si>
  <si>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</si>
  <si>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</si>
  <si>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</si>
  <si>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</si>
  <si>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</si>
  <si>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</si>
  <si>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</si>
  <si>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</si>
  <si>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</si>
  <si>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</si>
  <si>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</si>
  <si>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</si>
  <si>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</si>
  <si>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</si>
  <si>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</si>
  <si>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</si>
  <si>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</si>
  <si>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</si>
  <si>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</si>
  <si>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</si>
  <si>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</si>
  <si>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</si>
  <si>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</si>
  <si>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</si>
  <si>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</si>
  <si>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</si>
  <si>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</si>
  <si>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</si>
  <si>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</si>
  <si>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</si>
  <si>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</si>
  <si>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</si>
  <si>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</si>
  <si>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</si>
  <si>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</si>
  <si>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</si>
  <si>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</si>
  <si>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</si>
  <si>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</si>
  <si>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</si>
  <si>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</si>
  <si>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</si>
  <si>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</si>
  <si>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</si>
  <si>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</si>
  <si>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</si>
  <si>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</si>
  <si>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</si>
  <si>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</si>
  <si>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</si>
  <si>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</si>
  <si>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</si>
  <si>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</si>
  <si>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</si>
  <si>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</si>
  <si>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</si>
  <si>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</si>
  <si>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</si>
  <si>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</si>
  <si>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</si>
  <si>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</si>
  <si>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</si>
  <si>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</si>
  <si>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</si>
  <si>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</si>
  <si>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</si>
  <si>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</si>
  <si>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</si>
  <si>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</si>
  <si>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</si>
  <si>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</si>
  <si>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</si>
  <si>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</si>
  <si>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</si>
  <si>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</si>
  <si>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</si>
  <si>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</si>
  <si>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</si>
  <si>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</si>
  <si>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</si>
  <si>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</si>
  <si>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</si>
  <si>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</si>
  <si>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</si>
  <si>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</si>
  <si>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</si>
  <si>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</si>
  <si>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</si>
  <si>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</si>
  <si>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</si>
  <si>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</si>
  <si>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</si>
  <si>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</si>
  <si>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</si>
  <si>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</si>
  <si>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</si>
  <si>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</si>
  <si>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</si>
  <si>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</si>
  <si>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</si>
  <si>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</si>
  <si>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</si>
  <si>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</si>
  <si>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</si>
  <si>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</si>
  <si>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</si>
  <si>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</si>
  <si>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</si>
  <si>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</si>
  <si>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</si>
  <si>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</si>
  <si>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</si>
  <si>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</si>
  <si>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</si>
  <si>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</si>
  <si>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</si>
  <si>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</si>
  <si>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</si>
  <si>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</si>
  <si>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</si>
  <si>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</si>
  <si>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</si>
  <si>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</si>
  <si>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</si>
  <si>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</si>
  <si>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</si>
  <si>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</si>
  <si>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</si>
  <si>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</si>
  <si>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</si>
  <si>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</si>
  <si>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</si>
  <si>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</si>
  <si>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</si>
  <si>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</si>
  <si>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</si>
  <si>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</si>
  <si>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</si>
  <si>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</si>
  <si>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</si>
  <si>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</si>
  <si>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</si>
  <si>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</si>
  <si>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</si>
  <si>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</si>
  <si>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</si>
  <si>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</si>
  <si>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</si>
  <si>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</si>
  <si>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</si>
  <si>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</si>
  <si>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</si>
  <si>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</si>
  <si>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</si>
  <si>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</si>
  <si>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</si>
  <si>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</si>
  <si>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</si>
  <si>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</si>
  <si>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</si>
  <si>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</si>
  <si>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</si>
  <si>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</si>
  <si>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</si>
  <si>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</si>
  <si>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</si>
  <si>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</si>
  <si>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</si>
  <si>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</si>
  <si>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</si>
  <si>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</si>
  <si>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</si>
  <si>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</si>
  <si>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</si>
  <si>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</si>
  <si>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</si>
  <si>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</si>
  <si>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</si>
  <si>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</si>
  <si>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</si>
  <si>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</si>
  <si>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</si>
  <si>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</si>
  <si>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</si>
  <si>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</si>
  <si>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</si>
  <si>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</si>
  <si>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</si>
  <si>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</si>
  <si>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</si>
  <si>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</si>
  <si>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</si>
  <si>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</si>
  <si>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</si>
  <si>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</si>
  <si>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</si>
  <si>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</si>
  <si>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</si>
  <si>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</si>
  <si>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</si>
  <si>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</si>
  <si>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</si>
  <si>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</si>
  <si>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</si>
  <si>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</si>
  <si>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</si>
  <si>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</si>
  <si>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</si>
  <si>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</si>
  <si>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</si>
  <si>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</si>
  <si>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</si>
  <si>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</si>
  <si>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</si>
  <si>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</si>
  <si>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</si>
  <si>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</si>
  <si>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</si>
  <si>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</si>
  <si>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</si>
  <si>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</si>
  <si>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</si>
  <si>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</si>
  <si>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</si>
  <si>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</si>
  <si>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</si>
  <si>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</si>
  <si>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</si>
  <si>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</si>
  <si>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</si>
  <si>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</si>
  <si>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</si>
  <si>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</si>
  <si>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</si>
  <si>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</si>
  <si>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</si>
  <si>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</si>
  <si>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</si>
  <si>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</si>
  <si>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</si>
  <si>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</si>
  <si>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</si>
  <si>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</si>
  <si>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</si>
  <si>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</si>
  <si>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</si>
  <si>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</si>
  <si>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</si>
  <si>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</si>
  <si>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</si>
  <si>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</si>
  <si>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</si>
  <si>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</si>
  <si>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</si>
  <si>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</si>
  <si>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</si>
  <si>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</si>
  <si>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</si>
  <si>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</si>
  <si>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</si>
  <si>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</si>
  <si>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</si>
  <si>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</si>
  <si>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</si>
  <si>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</si>
  <si>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</si>
  <si>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</si>
  <si>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</si>
  <si>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</si>
  <si>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</si>
  <si>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</si>
  <si>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</si>
  <si>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</si>
  <si>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</si>
  <si>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</si>
  <si>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</si>
  <si>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</si>
  <si>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</si>
  <si>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</si>
  <si>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</si>
  <si>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</si>
  <si>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</si>
  <si>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</si>
  <si>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</si>
  <si>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</si>
  <si>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</si>
  <si>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</si>
  <si>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</si>
  <si>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</si>
  <si>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</si>
  <si>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</si>
  <si>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</si>
  <si>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</si>
  <si>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</si>
  <si>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</si>
  <si>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</si>
  <si>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</si>
  <si>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</si>
  <si>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</si>
  <si>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</si>
  <si>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</si>
  <si>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</si>
  <si>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</si>
  <si>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</si>
  <si>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</si>
  <si>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</si>
  <si>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</si>
  <si>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</si>
  <si>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</si>
  <si>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</si>
  <si>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</si>
  <si>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</si>
  <si>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</si>
  <si>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</si>
  <si>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</si>
  <si>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</si>
  <si>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</si>
  <si>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</si>
  <si>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</si>
  <si>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</si>
  <si>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</si>
  <si>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</si>
  <si>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</si>
  <si>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</si>
  <si>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</si>
  <si>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</si>
  <si>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</si>
  <si>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</si>
  <si>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</si>
  <si>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</si>
  <si>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</si>
  <si>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</si>
  <si>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</si>
  <si>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</si>
  <si>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</si>
  <si>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</si>
  <si>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</si>
  <si>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</si>
  <si>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</si>
  <si>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</si>
  <si>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</si>
  <si>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</si>
  <si>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</si>
  <si>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</si>
  <si>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</si>
  <si>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</si>
  <si>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</si>
  <si>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</si>
  <si>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</si>
  <si>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</si>
  <si>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</si>
  <si>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</si>
  <si>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</si>
  <si>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</si>
  <si>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</si>
  <si>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</si>
  <si>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</si>
  <si>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</si>
  <si>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</si>
  <si>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</si>
  <si>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</si>
  <si>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</si>
  <si>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</si>
  <si>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</si>
  <si>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</si>
  <si>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</si>
  <si>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</si>
  <si>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</si>
  <si>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</si>
  <si>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</si>
  <si>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</si>
  <si>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</si>
  <si>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</si>
  <si>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</si>
  <si>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</si>
  <si>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</si>
  <si>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</si>
  <si>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</si>
  <si>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</si>
  <si>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</si>
  <si>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</si>
  <si>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</si>
  <si>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</si>
  <si>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</si>
  <si>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</si>
  <si>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</si>
  <si>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</si>
  <si>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</si>
  <si>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</si>
  <si>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</si>
  <si>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</si>
  <si>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</si>
  <si>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</si>
  <si>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</si>
  <si>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</si>
  <si>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</si>
  <si>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</si>
  <si>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</si>
  <si>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</si>
  <si>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</si>
  <si>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</si>
  <si>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</si>
  <si>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</si>
  <si>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</si>
  <si>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</si>
  <si>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</si>
  <si>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</si>
  <si>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</si>
  <si>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</si>
  <si>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</si>
  <si>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</si>
  <si>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</si>
  <si>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</si>
  <si>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</si>
  <si>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</si>
  <si>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</si>
  <si>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</si>
  <si>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</si>
  <si>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</si>
  <si>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</si>
  <si>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</si>
  <si>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</si>
  <si>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</si>
  <si>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</si>
  <si>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</si>
  <si>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</si>
  <si>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</si>
  <si>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</si>
  <si>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</si>
  <si>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</si>
  <si>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</si>
  <si>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</si>
  <si>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</si>
  <si>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</si>
  <si>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</si>
  <si>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</si>
  <si>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</si>
  <si>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</si>
  <si>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</si>
  <si>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</si>
  <si>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</si>
  <si>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</si>
  <si>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</si>
  <si>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</si>
  <si>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</si>
  <si>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</si>
  <si>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</si>
  <si>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</si>
  <si>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</si>
  <si>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</si>
  <si>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</si>
  <si>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</si>
  <si>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</si>
  <si>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</si>
  <si>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</si>
  <si>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</si>
  <si>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</si>
  <si>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</si>
  <si>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</si>
  <si>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</si>
  <si>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</si>
  <si>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</si>
  <si>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</si>
  <si>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</si>
  <si>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</si>
  <si>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</si>
  <si>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</si>
  <si>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</si>
  <si>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</si>
  <si>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</si>
  <si>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</si>
  <si>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</si>
  <si>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</si>
  <si>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</si>
  <si>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</si>
  <si>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</si>
  <si>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</si>
  <si>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</si>
  <si>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</si>
  <si>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</si>
  <si>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</si>
  <si>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</si>
  <si>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</si>
  <si>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</si>
  <si>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</si>
  <si>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</si>
  <si>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</si>
  <si>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</si>
  <si>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</si>
  <si>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</si>
  <si>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</si>
  <si>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</si>
  <si>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</si>
  <si>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</si>
  <si>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</si>
  <si>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</si>
  <si>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</si>
  <si>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</si>
  <si>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</si>
  <si>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</si>
  <si>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</si>
  <si>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</si>
  <si>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</si>
  <si>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</si>
  <si>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</si>
  <si>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</si>
  <si>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</si>
  <si>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</si>
  <si>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</si>
  <si>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</si>
  <si>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</si>
  <si>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</si>
  <si>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</si>
  <si>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</si>
  <si>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</si>
  <si>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</si>
  <si>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</si>
  <si>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</si>
  <si>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</si>
  <si>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</si>
  <si>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</si>
  <si>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</si>
  <si>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</si>
  <si>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</si>
  <si>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</si>
  <si>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</si>
  <si>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</si>
  <si>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</si>
  <si>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</si>
  <si>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</si>
  <si>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</si>
  <si>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</si>
  <si>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</si>
  <si>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</si>
  <si>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</si>
  <si>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</si>
  <si>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</si>
  <si>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</si>
  <si>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</si>
  <si>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</si>
  <si>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</si>
  <si>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</si>
  <si>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</si>
  <si>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</si>
  <si>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</si>
  <si>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</si>
  <si>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</si>
  <si>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</si>
  <si>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</si>
  <si>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</si>
  <si>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</si>
  <si>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</si>
  <si>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</si>
  <si>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</si>
  <si>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</si>
  <si>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</si>
  <si>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</si>
  <si>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</si>
  <si>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</si>
  <si>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</si>
  <si>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</si>
  <si>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</si>
  <si>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</si>
  <si>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</si>
  <si>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</si>
  <si>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</si>
  <si>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</si>
  <si>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</si>
  <si>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</si>
  <si>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</si>
  <si>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</si>
  <si>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</si>
  <si>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</si>
  <si>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</si>
  <si>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</si>
  <si>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</si>
  <si>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</si>
  <si>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</si>
  <si>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</si>
  <si>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</si>
  <si>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</si>
  <si>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</si>
  <si>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</si>
  <si>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</si>
  <si>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</si>
  <si>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</si>
  <si>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</si>
  <si>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</si>
  <si>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</si>
  <si>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</si>
  <si>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</si>
  <si>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</si>
  <si>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</si>
  <si>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</si>
  <si>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</si>
  <si>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</si>
  <si>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</si>
  <si>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</si>
  <si>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</si>
  <si>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</si>
  <si>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</si>
  <si>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</si>
  <si>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</si>
  <si>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</si>
  <si>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</si>
  <si>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</si>
  <si>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</si>
  <si>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</si>
  <si>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</si>
  <si>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</si>
  <si>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</si>
  <si>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</si>
  <si>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</si>
  <si>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</si>
  <si>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</si>
  <si>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</si>
  <si>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</si>
  <si>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</si>
  <si>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</si>
  <si>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</si>
  <si>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</si>
  <si>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</si>
  <si>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</si>
  <si>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</si>
  <si>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</si>
  <si>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</si>
  <si>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</si>
  <si>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</si>
  <si>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</si>
  <si>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</si>
  <si>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</si>
  <si>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</si>
  <si>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</si>
  <si>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</si>
  <si>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</si>
  <si>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</si>
  <si>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</si>
  <si>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</si>
  <si>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</si>
  <si>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</si>
  <si>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</si>
  <si>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</si>
  <si>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</si>
  <si>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</si>
  <si>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</si>
  <si>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</si>
  <si>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</si>
  <si>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</si>
  <si>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</si>
  <si>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</si>
  <si>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</si>
  <si>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</si>
  <si>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</si>
  <si>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</si>
  <si>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</si>
  <si>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</si>
  <si>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</si>
  <si>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</si>
  <si>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</si>
  <si>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</si>
  <si>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</si>
  <si>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</si>
  <si>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</si>
  <si>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</si>
  <si>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</si>
  <si>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</si>
  <si>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</si>
  <si>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</si>
  <si>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</si>
  <si>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</si>
  <si>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</si>
  <si>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</si>
  <si>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</si>
  <si>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</si>
  <si>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</si>
  <si>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</si>
  <si>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</si>
  <si>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</si>
  <si>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</si>
  <si>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</si>
  <si>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</si>
  <si>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</si>
  <si>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</si>
  <si>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</si>
  <si>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</si>
  <si>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</si>
  <si>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</si>
  <si>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</si>
  <si>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</si>
  <si>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</si>
  <si>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</si>
  <si>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</si>
  <si>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</si>
  <si>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</si>
  <si>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</si>
  <si>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</si>
  <si>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</si>
  <si>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</si>
  <si>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</si>
  <si>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</si>
  <si>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</si>
  <si>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</si>
  <si>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</si>
  <si>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</si>
  <si>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</si>
  <si>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</si>
  <si>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</si>
  <si>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</si>
  <si>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</si>
  <si>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</si>
  <si>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</si>
  <si>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</si>
  <si>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</si>
  <si>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</si>
  <si>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</si>
  <si>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</si>
  <si>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</si>
  <si>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</si>
  <si>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</si>
  <si>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</si>
  <si>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</si>
  <si>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</si>
  <si>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</si>
  <si>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</si>
  <si>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</si>
  <si>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</si>
  <si>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</si>
  <si>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</si>
  <si>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</si>
  <si>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</si>
  <si>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</si>
  <si>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</si>
  <si>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</si>
  <si>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</si>
  <si>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</si>
  <si>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</si>
  <si>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</si>
  <si>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</si>
  <si>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</si>
  <si>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</si>
  <si>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</si>
  <si>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</si>
  <si>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</si>
  <si>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</si>
  <si>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</si>
  <si>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</si>
  <si>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</si>
  <si>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</si>
  <si>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</si>
  <si>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</si>
  <si>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</si>
  <si>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</si>
  <si>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</si>
  <si>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</si>
  <si>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</si>
  <si>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</si>
  <si>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</si>
  <si>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</si>
  <si>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</si>
  <si>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</si>
  <si>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</si>
  <si>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</si>
  <si>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</si>
  <si>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</si>
  <si>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</si>
  <si>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</si>
  <si>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</si>
  <si>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</si>
  <si>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</si>
  <si>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</si>
  <si>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</si>
  <si>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</si>
  <si>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</si>
  <si>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</si>
  <si>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</si>
  <si>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</si>
  <si>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</si>
  <si>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</si>
  <si>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</si>
  <si>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</si>
  <si>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</si>
  <si>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</si>
  <si>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</si>
  <si>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</si>
  <si>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</si>
  <si>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</si>
  <si>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</si>
  <si>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</si>
  <si>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</si>
  <si>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</si>
  <si>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</si>
  <si>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</si>
  <si>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</si>
  <si>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</si>
  <si>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</si>
  <si>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</si>
  <si>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</si>
  <si>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</si>
  <si>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</si>
  <si>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</si>
  <si>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</si>
  <si>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</si>
  <si>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</si>
  <si>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</si>
  <si>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</si>
  <si>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</si>
  <si>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</si>
  <si>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</si>
  <si>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</si>
  <si>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</si>
  <si>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</si>
  <si>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</si>
  <si>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</si>
  <si>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</si>
  <si>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</si>
  <si>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</si>
  <si>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</si>
  <si>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</si>
  <si>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</si>
  <si>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</si>
  <si>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</si>
  <si>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</si>
  <si>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</si>
  <si>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</si>
  <si>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</si>
  <si>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</si>
  <si>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</si>
  <si>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</si>
  <si>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</si>
  <si>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</si>
  <si>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</si>
  <si>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</si>
  <si>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</si>
  <si>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</si>
  <si>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</si>
  <si>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</si>
  <si>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</si>
  <si>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</si>
  <si>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</si>
  <si>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</si>
  <si>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</si>
  <si>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</si>
  <si>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</si>
  <si>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</si>
  <si>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</si>
  <si>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</si>
  <si>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</si>
  <si>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</si>
  <si>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</si>
  <si>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</si>
  <si>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</si>
  <si>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</si>
  <si>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</si>
  <si>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</si>
  <si>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</si>
  <si>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</si>
  <si>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</si>
  <si>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</si>
  <si>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</si>
  <si>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</si>
  <si>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</si>
  <si>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</si>
  <si>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</si>
  <si>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</si>
  <si>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</si>
  <si>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</si>
  <si>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</si>
  <si>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</si>
  <si>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</si>
  <si>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</si>
  <si>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</si>
  <si>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</si>
  <si>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</si>
  <si>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</si>
  <si>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</si>
  <si>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</si>
  <si>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</si>
  <si>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</si>
  <si>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</si>
  <si>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</si>
  <si>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</si>
  <si>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</si>
  <si>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</si>
  <si>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</si>
  <si>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</si>
  <si>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</si>
  <si>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</si>
  <si>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</si>
  <si>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</si>
  <si>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</si>
  <si>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</si>
  <si>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</si>
  <si>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</si>
  <si>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</si>
  <si>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</si>
  <si>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</si>
  <si>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</si>
  <si>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</si>
  <si>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</si>
  <si>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</si>
  <si>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</si>
  <si>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</si>
  <si>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</si>
  <si>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</si>
  <si>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</si>
  <si>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</si>
  <si>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</si>
  <si>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</si>
  <si>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</si>
  <si>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</si>
  <si>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</si>
  <si>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</si>
  <si>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</si>
  <si>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</si>
  <si>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</si>
  <si>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</si>
  <si>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</si>
  <si>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</si>
  <si>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</si>
  <si>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</si>
  <si>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</si>
  <si>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</si>
  <si>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</si>
  <si>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</si>
  <si>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</si>
  <si>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</si>
  <si>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</si>
  <si>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</si>
  <si>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</si>
  <si>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</si>
  <si>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</si>
  <si>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</si>
  <si>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</si>
  <si>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</si>
  <si>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</si>
  <si>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</si>
  <si>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</si>
  <si>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</si>
  <si>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</si>
  <si>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</si>
  <si>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</si>
  <si>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</si>
  <si>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</si>
  <si>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</si>
  <si>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</si>
  <si>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</si>
  <si>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</si>
  <si>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</si>
  <si>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</si>
  <si>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</si>
  <si>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</si>
  <si>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</si>
  <si>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</si>
  <si>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</si>
  <si>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</si>
  <si>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</si>
  <si>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</si>
  <si>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</si>
  <si>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</si>
  <si>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</si>
  <si>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</si>
  <si>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</si>
  <si>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</si>
  <si>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</si>
  <si>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</si>
  <si>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</si>
  <si>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</si>
  <si>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</si>
  <si>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</si>
  <si>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</si>
  <si>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</si>
  <si>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</si>
  <si>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</si>
  <si>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</si>
  <si>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</si>
  <si>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</si>
  <si>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</si>
  <si>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</si>
  <si>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</si>
  <si>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</si>
  <si>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</si>
  <si>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</si>
  <si>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</si>
  <si>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</si>
  <si>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</si>
  <si>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</si>
  <si>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</si>
  <si>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</si>
  <si>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</si>
  <si>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</si>
  <si>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</si>
  <si>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</si>
  <si>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</si>
  <si>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</si>
  <si>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</si>
  <si>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</si>
  <si>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</si>
  <si>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</si>
  <si>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</si>
  <si>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</si>
  <si>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</si>
  <si>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</si>
  <si>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</si>
  <si>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</si>
  <si>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</si>
  <si>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</si>
  <si>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</si>
  <si>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</si>
  <si>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</si>
  <si>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</si>
  <si>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</si>
  <si>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</si>
  <si>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</si>
  <si>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</si>
  <si>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</si>
  <si>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</si>
  <si>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</si>
  <si>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</si>
  <si>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</si>
  <si>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</si>
  <si>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</si>
  <si>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</si>
  <si>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</si>
  <si>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</si>
  <si>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</si>
  <si>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</si>
  <si>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</si>
  <si>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</si>
  <si>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</si>
  <si>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</si>
  <si>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</si>
  <si>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</si>
  <si>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</si>
  <si>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</si>
  <si>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</si>
  <si>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</si>
  <si>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</si>
  <si>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</si>
  <si>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</si>
  <si>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</si>
  <si>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</si>
  <si>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</si>
  <si>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</si>
  <si>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</si>
  <si>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</si>
  <si>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</si>
  <si>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</si>
  <si>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</si>
  <si>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</si>
  <si>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</si>
  <si>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</si>
  <si>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</si>
  <si>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</si>
  <si>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</si>
  <si>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</si>
  <si>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</si>
  <si>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</si>
  <si>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</si>
  <si>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</si>
  <si>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</si>
  <si>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</si>
  <si>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</si>
  <si>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</si>
  <si>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</si>
  <si>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</si>
  <si>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</si>
  <si>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</si>
  <si>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</si>
  <si>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</si>
  <si>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</si>
  <si>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</si>
  <si>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</si>
  <si>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</si>
  <si>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</si>
  <si>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</si>
  <si>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</si>
  <si>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</si>
  <si>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</si>
  <si>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</si>
  <si>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</si>
  <si>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</si>
  <si>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</si>
  <si>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</si>
  <si>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</si>
  <si>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</si>
  <si>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</si>
  <si>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</si>
  <si>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</si>
  <si>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</si>
  <si>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</si>
  <si>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</si>
  <si>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</si>
  <si>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</si>
  <si>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</si>
  <si>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</si>
  <si>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</si>
  <si>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</si>
  <si>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</si>
  <si>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</si>
  <si>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</si>
  <si>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</si>
  <si>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</si>
  <si>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</si>
  <si>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</si>
  <si>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</si>
  <si>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</si>
  <si>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</si>
  <si>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</si>
  <si>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</si>
  <si>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</si>
  <si>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</si>
  <si>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</si>
  <si>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</si>
  <si>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</si>
  <si>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</si>
  <si>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</si>
  <si>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</si>
  <si>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</si>
  <si>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</si>
  <si>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</si>
  <si>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</si>
  <si>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</si>
  <si>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</si>
  <si>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</si>
  <si>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</si>
  <si>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</si>
  <si>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</si>
  <si>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</si>
  <si>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</si>
  <si>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</si>
  <si>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</si>
  <si>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</si>
  <si>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</si>
  <si>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</si>
  <si>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</si>
  <si>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</si>
  <si>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</si>
  <si>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</si>
  <si>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</si>
  <si>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</si>
  <si>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</si>
  <si>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</si>
  <si>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</si>
  <si>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</si>
  <si>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</si>
  <si>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</si>
  <si>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</si>
  <si>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</si>
  <si>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</si>
  <si>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</si>
  <si>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</si>
  <si>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</si>
  <si>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</si>
  <si>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</si>
  <si>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</si>
  <si>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</si>
  <si>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</si>
  <si>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</si>
  <si>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</si>
  <si>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</si>
  <si>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</si>
  <si>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</si>
  <si>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</si>
  <si>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</si>
  <si>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</si>
  <si>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</si>
  <si>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</si>
  <si>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</si>
  <si>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</si>
  <si>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</si>
  <si>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</si>
  <si>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</si>
  <si>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</si>
  <si>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</si>
  <si>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</si>
  <si>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</si>
  <si>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</si>
  <si>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</si>
  <si>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</si>
  <si>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</si>
  <si>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</si>
  <si>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</si>
  <si>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</si>
  <si>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</si>
  <si>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</si>
  <si>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</si>
  <si>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</si>
  <si>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</si>
  <si>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</si>
  <si>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</si>
  <si>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</si>
  <si>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</si>
  <si>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</si>
  <si>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</si>
  <si>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</si>
  <si>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</si>
  <si>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</si>
  <si>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</si>
  <si>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</si>
  <si>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</si>
  <si>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</si>
  <si>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</si>
  <si>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</si>
  <si>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</si>
  <si>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</si>
  <si>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</si>
  <si>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</si>
  <si>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</si>
  <si>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</si>
  <si>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</si>
  <si>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</si>
  <si>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</si>
  <si>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</si>
  <si>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</si>
  <si>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</si>
  <si>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</si>
  <si>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</si>
  <si>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</si>
  <si>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</si>
  <si>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</si>
  <si>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</si>
  <si>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</si>
  <si>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</si>
  <si>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</si>
  <si>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</si>
  <si>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</si>
  <si>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</si>
  <si>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</si>
  <si>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</si>
  <si>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</si>
  <si>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</si>
  <si>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</si>
  <si>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</si>
  <si>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</si>
  <si>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</si>
  <si>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</si>
  <si>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</si>
  <si>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</si>
  <si>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</si>
  <si>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</si>
  <si>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</si>
  <si>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</si>
  <si>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</si>
  <si>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</si>
  <si>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</si>
  <si>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</si>
  <si>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</si>
  <si>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</si>
  <si>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</si>
  <si>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</si>
  <si>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</si>
  <si>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</si>
  <si>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</si>
  <si>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</si>
  <si>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</si>
  <si>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</si>
  <si>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</si>
  <si>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</si>
  <si>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</si>
  <si>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</si>
  <si>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</si>
  <si>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</si>
  <si>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</si>
  <si>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</si>
  <si>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</si>
  <si>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</si>
  <si>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</si>
  <si>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</si>
  <si>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</si>
  <si>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</si>
  <si>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</si>
  <si>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</si>
  <si>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</si>
  <si>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</si>
  <si>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</si>
  <si>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</si>
  <si>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</si>
  <si>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</si>
  <si>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</si>
  <si>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</si>
  <si>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</si>
  <si>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</si>
  <si>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</si>
  <si>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</si>
  <si>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</si>
  <si>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</si>
  <si>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</si>
  <si>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</si>
  <si>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</si>
  <si>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</si>
  <si>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</si>
  <si>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</si>
  <si>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</si>
  <si>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</si>
  <si>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</si>
  <si>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</si>
  <si>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</si>
  <si>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</si>
  <si>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</si>
  <si>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</si>
  <si>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</si>
  <si>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</si>
  <si>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</si>
  <si>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</si>
  <si>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</si>
  <si>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</si>
  <si>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</si>
  <si>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</si>
  <si>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</si>
  <si>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</si>
  <si>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</si>
  <si>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</si>
  <si>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</si>
  <si>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</si>
  <si>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</si>
  <si>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</si>
  <si>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</si>
  <si>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</si>
  <si>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</si>
  <si>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</si>
  <si>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</si>
  <si>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</si>
  <si>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</si>
  <si>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</si>
  <si>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</si>
  <si>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</si>
  <si>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</si>
  <si>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</si>
  <si>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</si>
  <si>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</si>
  <si>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</si>
  <si>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</si>
  <si>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</si>
  <si>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</si>
  <si>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</si>
  <si>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</si>
  <si>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</si>
  <si>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</si>
  <si>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</si>
  <si>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</si>
  <si>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</si>
  <si>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</si>
  <si>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</si>
  <si>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</si>
  <si>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</si>
  <si>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</si>
  <si>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</si>
  <si>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</si>
  <si>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</si>
  <si>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</si>
  <si>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</si>
  <si>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</si>
  <si>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</si>
  <si>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</si>
  <si>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</si>
  <si>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</si>
  <si>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</si>
  <si>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</si>
  <si>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</si>
  <si>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</si>
  <si>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</si>
  <si>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</si>
  <si>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</si>
  <si>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</si>
  <si>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</si>
  <si>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</si>
  <si>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</si>
  <si>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</si>
  <si>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</si>
  <si>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</si>
  <si>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</si>
  <si>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</si>
  <si>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</si>
  <si>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</si>
  <si>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</si>
  <si>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</si>
  <si>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</si>
  <si>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</si>
  <si>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</si>
  <si>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</si>
  <si>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</si>
  <si>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</si>
  <si>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</si>
  <si>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</si>
  <si>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</si>
  <si>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</si>
  <si>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</si>
  <si>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</si>
  <si>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</si>
  <si>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</si>
  <si>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</si>
  <si>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</si>
  <si>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</si>
  <si>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</si>
  <si>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</si>
  <si>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</si>
  <si>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</si>
  <si>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</si>
  <si>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</si>
  <si>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</si>
  <si>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</si>
  <si>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</si>
  <si>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</si>
  <si>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</si>
  <si>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</si>
  <si>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</si>
  <si>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</si>
  <si>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</si>
  <si>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</si>
  <si>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</si>
  <si>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</si>
  <si>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</si>
  <si>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</si>
  <si>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</si>
  <si>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</si>
  <si>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</si>
  <si>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</si>
  <si>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</si>
  <si>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</si>
  <si>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</si>
  <si>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</si>
  <si>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</si>
  <si>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</si>
  <si>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</si>
  <si>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</si>
  <si>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</si>
  <si>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</si>
  <si>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</si>
  <si>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</si>
  <si>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</si>
  <si>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</si>
  <si>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</si>
  <si>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</si>
  <si>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</si>
  <si>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</si>
  <si>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</si>
  <si>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</si>
  <si>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</si>
  <si>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</si>
  <si>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</si>
  <si>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</si>
  <si>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</si>
  <si>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</si>
  <si>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</si>
  <si>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</si>
  <si>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</si>
  <si>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</si>
  <si>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</si>
  <si>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</si>
  <si>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</si>
  <si>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</si>
  <si>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</si>
  <si>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</si>
  <si>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</si>
  <si>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</si>
  <si>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</si>
  <si>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</si>
  <si>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</si>
  <si>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</si>
  <si>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</si>
  <si>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</si>
  <si>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</si>
  <si>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</si>
  <si>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</si>
  <si>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</si>
  <si>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</si>
  <si>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</si>
  <si>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</si>
  <si>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</si>
  <si>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</si>
  <si>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</si>
  <si>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</si>
  <si>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</si>
  <si>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</si>
  <si>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</si>
  <si>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</si>
  <si>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</si>
  <si>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</si>
  <si>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</si>
  <si>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</si>
  <si>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</si>
  <si>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</si>
  <si>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</si>
  <si>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</si>
  <si>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</si>
  <si>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</si>
  <si>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</si>
  <si>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</si>
  <si>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</si>
  <si>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</si>
  <si>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</si>
  <si>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</si>
  <si>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</si>
  <si>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</si>
  <si>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</si>
  <si>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</si>
  <si>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</si>
  <si>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</si>
  <si>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</si>
  <si>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</si>
  <si>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</si>
  <si>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</si>
  <si>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</si>
  <si>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</si>
  <si>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</si>
  <si>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</si>
  <si>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</si>
  <si>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</si>
  <si>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</si>
  <si>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</si>
  <si>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</si>
  <si>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</si>
  <si>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</si>
  <si>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</si>
  <si>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</si>
  <si>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</si>
  <si>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</si>
  <si>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</si>
  <si>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</si>
  <si>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</si>
  <si>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</si>
  <si>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</si>
  <si>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</si>
  <si>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</si>
  <si>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</si>
  <si>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</si>
  <si>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</si>
  <si>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</si>
  <si>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</si>
  <si>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</si>
  <si>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</si>
  <si>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</si>
  <si>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</si>
  <si>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</si>
  <si>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</si>
  <si>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</si>
  <si>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</si>
  <si>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</si>
  <si>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</si>
  <si>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</si>
  <si>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</si>
  <si>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</si>
  <si>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</si>
  <si>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</si>
  <si>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</si>
  <si>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</si>
  <si>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</si>
  <si>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</si>
  <si>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</si>
  <si>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</si>
  <si>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</si>
  <si>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</si>
  <si>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</si>
  <si>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</si>
  <si>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</si>
  <si>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</si>
  <si>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</si>
  <si>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</si>
  <si>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</si>
  <si>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</si>
  <si>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</si>
  <si>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</si>
  <si>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</si>
  <si>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</si>
  <si>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</si>
  <si>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</si>
  <si>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</si>
  <si>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</si>
  <si>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</si>
  <si>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</si>
  <si>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</si>
  <si>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</si>
  <si>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</si>
  <si>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</si>
  <si>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</si>
  <si>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</si>
  <si>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</si>
  <si>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</si>
  <si>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</si>
  <si>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</si>
  <si>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</si>
  <si>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</si>
  <si>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</si>
  <si>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</si>
  <si>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</si>
  <si>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</si>
  <si>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</si>
  <si>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</si>
  <si>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</si>
  <si>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</si>
  <si>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</si>
  <si>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</si>
  <si>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</si>
  <si>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</si>
  <si>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</si>
  <si>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</si>
  <si>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</si>
  <si>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</si>
  <si>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</si>
  <si>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</si>
  <si>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</si>
  <si>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</si>
  <si>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</si>
  <si>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</si>
  <si>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</si>
  <si>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</si>
  <si>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</si>
  <si>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</si>
  <si>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</si>
  <si>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</si>
  <si>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</si>
  <si>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</si>
  <si>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</si>
  <si>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</si>
  <si>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</si>
  <si>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</si>
  <si>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</si>
  <si>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</si>
  <si>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</si>
  <si>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</si>
  <si>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</si>
  <si>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</si>
  <si>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</si>
  <si>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</si>
  <si>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</si>
  <si>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</si>
  <si>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</si>
  <si>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</si>
  <si>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</si>
  <si>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</si>
  <si>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</si>
  <si>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</si>
  <si>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</si>
  <si>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</si>
  <si>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</si>
  <si>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</si>
  <si>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</si>
  <si>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</si>
  <si>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</si>
  <si>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</si>
  <si>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</si>
  <si>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</si>
  <si>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</si>
  <si>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</si>
  <si>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</si>
  <si>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</si>
  <si>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</si>
  <si>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</si>
  <si>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</si>
  <si>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</si>
  <si>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</si>
  <si>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</si>
  <si>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</si>
  <si>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</si>
  <si>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</si>
  <si>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</si>
  <si>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</si>
  <si>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</si>
  <si>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</si>
  <si>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</si>
  <si>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</si>
  <si>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</si>
  <si>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</si>
  <si>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</si>
  <si>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</si>
  <si>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</si>
  <si>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</si>
  <si>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</si>
  <si>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</si>
  <si>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</si>
  <si>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</si>
  <si>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</si>
  <si>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</si>
  <si>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</si>
  <si>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</si>
  <si>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</si>
  <si>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</si>
  <si>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</si>
  <si>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</si>
  <si>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</si>
  <si>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</si>
  <si>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</si>
  <si>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</si>
  <si>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</si>
  <si>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</si>
  <si>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</si>
  <si>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</si>
  <si>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</si>
  <si>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</si>
  <si>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</si>
  <si>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</si>
  <si>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</si>
  <si>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</si>
  <si>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</si>
  <si>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</si>
  <si>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</si>
  <si>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</si>
  <si>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</si>
  <si>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</si>
  <si>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</si>
  <si>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</si>
  <si>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</si>
  <si>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</si>
  <si>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</si>
  <si>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</si>
  <si>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</si>
  <si>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</si>
  <si>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</si>
  <si>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</si>
  <si>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</si>
  <si>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</si>
  <si>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</si>
  <si>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</si>
  <si>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</si>
  <si>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</si>
  <si>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</si>
  <si>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</si>
  <si>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</si>
  <si>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</si>
  <si>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</si>
  <si>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</si>
  <si>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</si>
  <si>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</si>
  <si>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</si>
  <si>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</si>
  <si>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</si>
  <si>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</si>
  <si>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</si>
  <si>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</si>
  <si>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</si>
  <si>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</si>
  <si>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</si>
  <si>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</si>
  <si>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</si>
  <si>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</si>
  <si>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</si>
  <si>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</si>
  <si>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</si>
  <si>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</si>
  <si>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</si>
  <si>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</si>
  <si>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</si>
  <si>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</si>
  <si>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</si>
  <si>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</si>
  <si>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</si>
  <si>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</si>
  <si>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</si>
  <si>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</si>
  <si>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</si>
  <si>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</si>
  <si>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</si>
  <si>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</si>
  <si>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</si>
  <si>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</si>
  <si>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</si>
  <si>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</si>
  <si>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</si>
  <si>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</si>
  <si>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</si>
  <si>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</si>
  <si>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</si>
  <si>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</si>
  <si>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</si>
  <si>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</si>
  <si>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</si>
  <si>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</si>
  <si>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</si>
  <si>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</si>
  <si>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</si>
  <si>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</si>
  <si>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</si>
  <si>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</si>
  <si>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</si>
  <si>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</si>
  <si>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</si>
  <si>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</si>
  <si>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</si>
  <si>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</si>
  <si>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</si>
  <si>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</si>
  <si>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</si>
  <si>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</si>
  <si>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</si>
  <si>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</si>
  <si>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</si>
  <si>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</si>
  <si>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</si>
  <si>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</si>
  <si>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</si>
  <si>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</si>
  <si>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</si>
  <si>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</si>
  <si>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</si>
  <si>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</si>
  <si>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</si>
  <si>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</si>
  <si>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</si>
  <si>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</si>
  <si>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</si>
  <si>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</si>
  <si>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</si>
  <si>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</si>
  <si>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</si>
  <si>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</si>
  <si>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</si>
  <si>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</si>
  <si>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</si>
  <si>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</si>
  <si>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</si>
  <si>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</si>
  <si>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</si>
  <si>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</si>
  <si>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</si>
  <si>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</si>
  <si>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</si>
  <si>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</si>
  <si>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</si>
  <si>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</si>
  <si>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</si>
  <si>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</si>
  <si>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</si>
  <si>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</si>
  <si>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</si>
  <si>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</si>
  <si>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</si>
  <si>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</si>
  <si>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</si>
  <si>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</si>
  <si>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</si>
  <si>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</si>
  <si>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</si>
  <si>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</si>
  <si>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</si>
  <si>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</si>
  <si>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</si>
  <si>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</si>
  <si>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</si>
  <si>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</si>
  <si>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</si>
  <si>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</si>
  <si>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</si>
  <si>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</si>
  <si>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</si>
  <si>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</si>
  <si>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</si>
  <si>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</si>
  <si>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</si>
  <si>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</si>
  <si>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</si>
  <si>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</si>
  <si>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</si>
  <si>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</si>
  <si>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</si>
  <si>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</si>
  <si>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</si>
  <si>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</si>
  <si>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</si>
  <si>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</si>
  <si>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</si>
  <si>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</si>
  <si>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</si>
  <si>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</si>
  <si>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</si>
  <si>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</si>
  <si>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</si>
  <si>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</si>
  <si>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</si>
  <si>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</si>
  <si>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</si>
  <si>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</si>
  <si>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</si>
  <si>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</si>
  <si>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</si>
  <si>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</si>
  <si>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</si>
  <si>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</si>
  <si>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</si>
  <si>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</si>
  <si>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</si>
  <si>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</si>
  <si>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</si>
  <si>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</si>
  <si>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</si>
  <si>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</si>
  <si>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</si>
  <si>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</si>
  <si>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</si>
  <si>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</si>
  <si>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</si>
  <si>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</si>
  <si>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</si>
  <si>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</si>
  <si>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</si>
  <si>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</si>
  <si>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</si>
  <si>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</si>
  <si>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</si>
  <si>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</si>
  <si>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</si>
  <si>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</si>
  <si>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</si>
  <si>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</si>
  <si>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</si>
  <si>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</si>
  <si>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</si>
  <si>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</si>
  <si>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</si>
  <si>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</si>
  <si>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</si>
  <si>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</si>
  <si>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</si>
  <si>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</si>
  <si>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</si>
  <si>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</si>
  <si>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</si>
  <si>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</si>
  <si>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</si>
  <si>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</si>
  <si>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</si>
  <si>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</si>
  <si>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</si>
  <si>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</si>
  <si>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</si>
  <si>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</si>
  <si>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</si>
  <si>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</si>
  <si>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</si>
  <si>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</si>
  <si>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</si>
  <si>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</si>
  <si>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</si>
  <si>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</si>
  <si>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</si>
  <si>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</si>
  <si>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</si>
  <si>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</si>
  <si>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</si>
  <si>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</si>
  <si>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</si>
  <si>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</si>
  <si>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</si>
  <si>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</si>
  <si>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</si>
  <si>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</si>
  <si>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</si>
  <si>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</si>
  <si>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</si>
  <si>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</si>
  <si>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</si>
  <si>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</si>
  <si>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</si>
  <si>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</si>
  <si>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</si>
  <si>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</si>
  <si>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</si>
  <si>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</si>
  <si>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</si>
  <si>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</si>
  <si>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</si>
  <si>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</si>
  <si>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</si>
  <si>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</si>
  <si>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</si>
  <si>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</si>
  <si>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</si>
  <si>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</si>
  <si>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</si>
  <si>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</si>
  <si>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</si>
  <si>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</si>
  <si>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</si>
  <si>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</si>
  <si>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</si>
  <si>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</si>
  <si>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</si>
  <si>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</si>
  <si>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</si>
  <si>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</si>
  <si>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</si>
  <si>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</si>
  <si>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</si>
  <si>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</si>
  <si>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</si>
  <si>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</si>
  <si>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</si>
  <si>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</si>
  <si>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</si>
  <si>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</si>
  <si>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</si>
  <si>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</si>
  <si>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</si>
  <si>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</si>
  <si>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</si>
  <si>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</si>
  <si>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</si>
  <si>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</si>
  <si>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</si>
  <si>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</si>
  <si>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</si>
  <si>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</si>
  <si>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</si>
  <si>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</si>
  <si>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</si>
  <si>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</si>
  <si>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</si>
  <si>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</si>
  <si>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</si>
  <si>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</si>
  <si>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</si>
  <si>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</si>
  <si>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</si>
  <si>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</si>
  <si>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</si>
  <si>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</si>
  <si>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</si>
  <si>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</si>
  <si>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</si>
  <si>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</si>
  <si>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</si>
  <si>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</si>
  <si>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</si>
  <si>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</si>
  <si>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</si>
  <si>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</si>
  <si>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</si>
  <si>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</si>
  <si>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</si>
  <si>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</si>
  <si>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</si>
  <si>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</si>
  <si>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</si>
  <si>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</si>
  <si>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</si>
  <si>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</si>
  <si>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</si>
  <si>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</si>
  <si>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</si>
  <si>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</si>
  <si>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</si>
  <si>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</si>
  <si>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</si>
  <si>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</si>
  <si>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</si>
  <si>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</si>
  <si>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</si>
  <si>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</si>
  <si>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</si>
  <si>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</si>
  <si>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</si>
  <si>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</si>
  <si>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</si>
  <si>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</si>
  <si>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</si>
  <si>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</si>
  <si>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</si>
  <si>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</si>
  <si>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</si>
  <si>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</si>
  <si>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</si>
  <si>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</si>
  <si>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</si>
  <si>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</si>
  <si>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</si>
  <si>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</si>
  <si>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</si>
  <si>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</si>
  <si>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</si>
  <si>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</si>
  <si>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</si>
  <si>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</si>
  <si>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</si>
  <si>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</si>
  <si>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</si>
  <si>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</si>
  <si>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</si>
  <si>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</si>
  <si>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</si>
  <si>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</si>
  <si>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</si>
  <si>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</si>
  <si>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</si>
  <si>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</si>
  <si>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</si>
  <si>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</si>
  <si>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</si>
  <si>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</si>
  <si>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</si>
  <si>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</si>
  <si>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</si>
  <si>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</si>
  <si>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</si>
  <si>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</si>
  <si>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</si>
  <si>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</si>
  <si>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</si>
  <si>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</si>
  <si>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</si>
  <si>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</si>
  <si>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</si>
  <si>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</si>
  <si>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</si>
  <si>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</si>
  <si>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</si>
  <si>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</si>
  <si>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</si>
  <si>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</si>
  <si>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</si>
  <si>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</si>
  <si>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</si>
  <si>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</si>
  <si>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</si>
  <si>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</si>
  <si>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</si>
  <si>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</si>
  <si>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</si>
  <si>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</si>
  <si>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</si>
  <si>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</si>
  <si>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</si>
  <si>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</si>
  <si>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</si>
  <si>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</si>
  <si>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</si>
  <si>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</si>
  <si>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</si>
  <si>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</si>
  <si>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</si>
  <si>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</si>
  <si>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</si>
  <si>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</si>
  <si>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</si>
  <si>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</si>
  <si>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</si>
  <si>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</si>
  <si>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</si>
  <si>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</si>
  <si>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</si>
  <si>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</si>
  <si>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</si>
  <si>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</si>
  <si>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</si>
  <si>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</si>
  <si>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</si>
  <si>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</si>
  <si>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</si>
  <si>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</si>
  <si>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</si>
  <si>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</si>
  <si>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</si>
  <si>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</si>
  <si>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</si>
  <si>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</si>
  <si>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</si>
  <si>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</si>
  <si>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</si>
  <si>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</si>
  <si>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</si>
  <si>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</si>
  <si>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</si>
  <si>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</si>
  <si>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</si>
  <si>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</si>
  <si>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</si>
  <si>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</si>
  <si>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</si>
  <si>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</si>
  <si>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</si>
  <si>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</si>
  <si>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</si>
  <si>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</si>
  <si>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</si>
  <si>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</si>
  <si>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</si>
  <si>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</si>
  <si>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</si>
  <si>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</si>
  <si>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</si>
  <si>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</si>
  <si>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</si>
  <si>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</si>
  <si>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</si>
  <si>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</si>
  <si>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</si>
  <si>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</si>
  <si>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</si>
  <si>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</si>
  <si>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</si>
  <si>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</si>
  <si>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</si>
  <si>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</si>
  <si>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</si>
  <si>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</si>
  <si>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</si>
  <si>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</si>
  <si>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</si>
  <si>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</si>
  <si>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</si>
  <si>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</si>
  <si>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</si>
  <si>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</si>
  <si>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</si>
  <si>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</si>
  <si>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</si>
  <si>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</si>
  <si>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</si>
  <si>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</si>
  <si>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</si>
  <si>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</si>
  <si>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</si>
  <si>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</si>
  <si>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</si>
  <si>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</si>
  <si>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</si>
  <si>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</si>
  <si>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</si>
  <si>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</si>
  <si>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</si>
  <si>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</si>
  <si>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</si>
  <si>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</si>
  <si>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</si>
  <si>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</si>
  <si>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</si>
  <si>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</si>
  <si>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</si>
  <si>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</si>
  <si>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</si>
  <si>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</si>
  <si>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</si>
  <si>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</si>
  <si>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</si>
  <si>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</si>
  <si>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</si>
  <si>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</si>
  <si>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</si>
  <si>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</si>
  <si>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</si>
  <si>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</si>
  <si>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</si>
  <si>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</si>
  <si>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</si>
  <si>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</si>
  <si>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</si>
  <si>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</si>
  <si>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</si>
  <si>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</si>
  <si>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</si>
  <si>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</si>
  <si>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</si>
  <si>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</si>
  <si>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</si>
  <si>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</si>
  <si>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</si>
  <si>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</si>
  <si>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</si>
  <si>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</si>
  <si>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</si>
  <si>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</si>
  <si>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</si>
  <si>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</si>
  <si>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</si>
  <si>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</si>
  <si>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</si>
  <si>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</si>
  <si>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</si>
  <si>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</si>
  <si>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</si>
  <si>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</si>
  <si>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</si>
  <si>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</si>
  <si>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</si>
  <si>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</si>
  <si>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</si>
  <si>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</si>
  <si>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</si>
  <si>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</si>
  <si>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</si>
  <si>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</si>
  <si>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</si>
  <si>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</si>
  <si>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</si>
  <si>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</si>
  <si>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</si>
  <si>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</si>
  <si>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</si>
  <si>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</si>
  <si>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</si>
  <si>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</si>
  <si>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</si>
  <si>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</si>
  <si>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</si>
  <si>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</si>
  <si>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</si>
  <si>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</si>
  <si>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</si>
  <si>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</si>
  <si>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</si>
  <si>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</si>
  <si>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</si>
  <si>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</si>
  <si>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</si>
  <si>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</si>
  <si>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</si>
  <si>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</si>
  <si>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</si>
  <si>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</si>
  <si>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</si>
  <si>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</si>
  <si>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</si>
  <si>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</si>
  <si>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</si>
  <si>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</si>
  <si>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</si>
  <si>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</si>
  <si>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</si>
  <si>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</si>
  <si>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</si>
  <si>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</si>
  <si>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</si>
  <si>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</si>
  <si>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</si>
  <si>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</si>
  <si>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</si>
  <si>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</si>
  <si>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</si>
  <si>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</si>
  <si>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</si>
  <si>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</si>
  <si>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</si>
  <si>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</si>
  <si>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</si>
  <si>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</si>
  <si>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</si>
  <si>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</si>
  <si>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</si>
  <si>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</si>
  <si>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</si>
  <si>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</si>
  <si>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</si>
  <si>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</si>
  <si>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</si>
  <si>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</si>
  <si>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</si>
  <si>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</si>
  <si>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</si>
  <si>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</si>
  <si>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</si>
  <si>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</si>
  <si>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</si>
  <si>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</si>
  <si>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</si>
  <si>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</si>
  <si>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</si>
  <si>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</si>
  <si>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</si>
  <si>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</si>
  <si>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</si>
  <si>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</si>
  <si>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</si>
  <si>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</si>
  <si>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</si>
  <si>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</si>
  <si>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</si>
  <si>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</si>
  <si>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</si>
  <si>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</si>
  <si>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</si>
  <si>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</si>
  <si>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</si>
  <si>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</si>
  <si>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</si>
  <si>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</si>
  <si>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</si>
  <si>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</si>
  <si>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</si>
  <si>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</si>
  <si>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</si>
  <si>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</si>
  <si>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</si>
  <si>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</si>
  <si>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</si>
  <si>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</si>
  <si>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</si>
  <si>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</si>
  <si>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</si>
  <si>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</si>
  <si>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</si>
  <si>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</si>
  <si>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</si>
  <si>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</si>
  <si>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</si>
  <si>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</si>
  <si>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</si>
  <si>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</si>
  <si>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</si>
  <si>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</si>
  <si>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</si>
  <si>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</si>
  <si>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</si>
  <si>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</si>
  <si>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</si>
  <si>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</si>
  <si>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</si>
  <si>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</si>
  <si>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</si>
  <si>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</si>
  <si>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</si>
  <si>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</si>
  <si>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</si>
  <si>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</si>
  <si>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</si>
  <si>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</si>
  <si>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</si>
  <si>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</si>
  <si>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</si>
  <si>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</si>
  <si>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</si>
  <si>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</si>
  <si>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</si>
  <si>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</si>
  <si>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</si>
  <si>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</si>
  <si>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</si>
  <si>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</si>
  <si>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</si>
  <si>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</si>
  <si>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</si>
  <si>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</si>
  <si>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</si>
  <si>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</si>
  <si>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</si>
  <si>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</si>
  <si>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</si>
  <si>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</si>
  <si>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</si>
  <si>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</si>
  <si>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</si>
  <si>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</si>
  <si>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</si>
  <si>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</si>
  <si>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</si>
  <si>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</si>
  <si>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</si>
  <si>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</si>
  <si>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</si>
  <si>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</si>
  <si>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</si>
  <si>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</si>
  <si>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</si>
  <si>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</si>
  <si>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</si>
  <si>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</si>
  <si>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</si>
  <si>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</si>
  <si>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</si>
  <si>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</si>
  <si>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</si>
  <si>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</si>
  <si>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</si>
  <si>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</si>
  <si>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</si>
  <si>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</si>
  <si>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</si>
  <si>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</si>
  <si>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</si>
  <si>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</si>
  <si>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</si>
  <si>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</si>
  <si>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</si>
  <si>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</si>
  <si>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</si>
  <si>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</si>
  <si>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</si>
  <si>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</si>
  <si>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</si>
  <si>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</si>
  <si>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</si>
  <si>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</si>
  <si>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</si>
  <si>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</si>
  <si>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</si>
  <si>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</si>
  <si>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</si>
  <si>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</si>
  <si>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</si>
  <si>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</si>
  <si>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</si>
  <si>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</si>
  <si>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</si>
  <si>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</si>
  <si>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</si>
  <si>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</si>
  <si>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</si>
  <si>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</si>
  <si>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</si>
  <si>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</si>
  <si>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</si>
  <si>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</si>
  <si>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</si>
  <si>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</si>
  <si>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</si>
  <si>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</si>
  <si>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</si>
  <si>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</si>
  <si>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</si>
  <si>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</si>
  <si>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</si>
  <si>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</si>
  <si>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</si>
  <si>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</si>
  <si>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</si>
  <si>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</si>
  <si>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</si>
  <si>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</si>
  <si>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</si>
  <si>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</si>
  <si>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</si>
  <si>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</si>
  <si>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</si>
  <si>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</si>
  <si>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</si>
  <si>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</si>
  <si>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</si>
  <si>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</si>
  <si>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</si>
  <si>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</si>
  <si>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</si>
  <si>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</si>
  <si>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</si>
  <si>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</si>
  <si>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</si>
  <si>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</si>
  <si>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</si>
  <si>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</si>
  <si>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</si>
  <si>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</si>
  <si>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</si>
  <si>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</si>
  <si>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</si>
  <si>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</si>
  <si>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</si>
  <si>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</si>
  <si>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</si>
  <si>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</si>
  <si>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</si>
  <si>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</si>
  <si>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</si>
  <si>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</si>
  <si>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</si>
  <si>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</si>
  <si>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</si>
  <si>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</si>
  <si>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</si>
  <si>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</si>
  <si>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</si>
  <si>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</si>
  <si>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</si>
  <si>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</si>
  <si>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</si>
  <si>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</si>
  <si>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</si>
  <si>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</si>
  <si>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</si>
  <si>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</si>
  <si>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</si>
  <si>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</si>
  <si>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</si>
  <si>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</si>
  <si>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</si>
  <si>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</si>
  <si>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</si>
  <si>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</si>
  <si>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</si>
  <si>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</si>
  <si>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</si>
  <si>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</si>
  <si>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</si>
  <si>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</si>
  <si>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</si>
  <si>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</si>
  <si>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</si>
  <si>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</si>
  <si>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</si>
  <si>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</si>
  <si>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</si>
  <si>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</si>
  <si>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</si>
  <si>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</si>
  <si>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</si>
  <si>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</si>
  <si>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</si>
  <si>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</si>
  <si>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</si>
  <si>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</si>
  <si>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</si>
  <si>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</si>
  <si>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</si>
  <si>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</si>
  <si>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</si>
  <si>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</si>
  <si>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</si>
  <si>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</si>
  <si>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</si>
  <si>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</si>
  <si>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</si>
  <si>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</si>
  <si>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</si>
  <si>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</si>
  <si>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</si>
  <si>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</si>
  <si>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</si>
  <si>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</si>
  <si>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</si>
  <si>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</si>
  <si>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</si>
  <si>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</si>
  <si>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</si>
  <si>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</si>
  <si>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</si>
  <si>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</si>
  <si>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</si>
  <si>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</si>
  <si>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</si>
  <si>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</si>
  <si>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</si>
  <si>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</si>
  <si>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</si>
  <si>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</si>
  <si>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</si>
  <si>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</si>
  <si>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</si>
  <si>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</si>
  <si>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</si>
  <si>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</si>
  <si>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</si>
  <si>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</si>
  <si>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</si>
  <si>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</si>
  <si>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</si>
  <si>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</si>
  <si>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</si>
  <si>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</si>
  <si>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</si>
  <si>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</si>
  <si>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</si>
  <si>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</si>
  <si>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</si>
  <si>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</si>
  <si>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</si>
  <si>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</si>
  <si>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</si>
  <si>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</si>
  <si>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</si>
  <si>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</si>
  <si>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</si>
  <si>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</si>
  <si>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</si>
  <si>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</si>
  <si>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</si>
  <si>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</si>
  <si>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</si>
  <si>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</si>
  <si>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</si>
  <si>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</si>
  <si>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</si>
  <si>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</si>
  <si>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</si>
  <si>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</si>
  <si>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</si>
  <si>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</si>
  <si>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</si>
  <si>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</si>
  <si>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</si>
  <si>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</si>
  <si>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</si>
  <si>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</si>
  <si>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</si>
  <si>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</si>
  <si>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</si>
  <si>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</si>
  <si>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</si>
  <si>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</si>
  <si>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</si>
  <si>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</si>
  <si>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</si>
  <si>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</si>
  <si>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</si>
  <si>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</si>
  <si>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</si>
  <si>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</si>
  <si>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</si>
  <si>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</si>
  <si>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</si>
  <si>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</si>
  <si>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</si>
  <si>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</si>
  <si>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</si>
  <si>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</si>
  <si>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</si>
  <si>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</si>
  <si>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</si>
  <si>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</si>
  <si>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</si>
  <si>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</si>
  <si>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</si>
  <si>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</si>
  <si>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</si>
  <si>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</si>
  <si>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</si>
  <si>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</si>
  <si>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</si>
  <si>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</si>
  <si>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</si>
  <si>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</si>
  <si>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</si>
  <si>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</si>
  <si>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</si>
  <si>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</si>
  <si>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</si>
  <si>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</si>
  <si>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</si>
  <si>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</si>
  <si>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</si>
  <si>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</si>
  <si>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</si>
  <si>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</si>
  <si>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</si>
  <si>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</si>
  <si>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</si>
  <si>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</si>
  <si>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</si>
  <si>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</si>
  <si>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</si>
  <si>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</si>
  <si>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</si>
  <si>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</si>
  <si>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</si>
  <si>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</si>
  <si>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</si>
  <si>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</si>
  <si>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</si>
  <si>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</si>
  <si>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</si>
  <si>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</si>
  <si>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</si>
  <si>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</si>
  <si>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</si>
  <si>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</si>
  <si>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</si>
  <si>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</si>
  <si>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</si>
  <si>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</si>
  <si>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</si>
  <si>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</si>
  <si>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</si>
  <si>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</si>
  <si>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</si>
  <si>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</si>
  <si>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</si>
  <si>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</si>
  <si>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</si>
  <si>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</si>
  <si>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</si>
  <si>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</si>
  <si>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</si>
  <si>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</si>
  <si>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</si>
  <si>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</si>
  <si>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</si>
  <si>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</si>
  <si>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</si>
  <si>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</si>
  <si>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</si>
  <si>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</si>
  <si>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</si>
  <si>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</si>
  <si>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</si>
  <si>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</si>
  <si>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</si>
  <si>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</si>
  <si>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</si>
  <si>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</si>
  <si>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</si>
  <si>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</si>
  <si>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</si>
  <si>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</si>
  <si>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</si>
  <si>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</si>
  <si>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</si>
  <si>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</si>
  <si>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</si>
  <si>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</si>
  <si>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</si>
  <si>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</si>
  <si>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</si>
  <si>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</si>
  <si>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</si>
  <si>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</si>
  <si>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</si>
  <si>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</si>
  <si>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</si>
  <si>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</si>
  <si>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</si>
  <si>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</si>
  <si>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</si>
  <si>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</si>
  <si>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</si>
  <si>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</si>
  <si>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</si>
  <si>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</si>
  <si>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</si>
  <si>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</si>
  <si>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</si>
  <si>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</si>
  <si>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</si>
  <si>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</si>
  <si>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</si>
  <si>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</si>
  <si>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</si>
  <si>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</si>
  <si>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</si>
  <si>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</si>
  <si>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</si>
  <si>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</si>
  <si>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</si>
  <si>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</si>
  <si>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</si>
  <si>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</si>
  <si>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</si>
  <si>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</si>
  <si>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</si>
  <si>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</si>
  <si>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</si>
  <si>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</si>
  <si>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</si>
  <si>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</si>
  <si>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</si>
  <si>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</si>
  <si>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</si>
  <si>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</si>
  <si>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</si>
  <si>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</si>
  <si>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</si>
  <si>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</si>
  <si>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</si>
  <si>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</si>
  <si>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</si>
  <si>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</si>
  <si>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</si>
  <si>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</si>
  <si>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</si>
  <si>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</si>
  <si>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</si>
  <si>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</si>
  <si>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</si>
  <si>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</si>
  <si>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</si>
  <si>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</si>
  <si>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</si>
  <si>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</si>
  <si>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</si>
  <si>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</si>
  <si>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</si>
  <si>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</si>
  <si>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</si>
  <si>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</si>
  <si>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</si>
  <si>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</si>
  <si>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</si>
  <si>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</si>
  <si>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</si>
  <si>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</si>
  <si>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</si>
  <si>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</si>
  <si>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</si>
  <si>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</si>
  <si>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</si>
  <si>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</si>
  <si>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</si>
  <si>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</si>
  <si>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</si>
  <si>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</si>
  <si>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</si>
  <si>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</si>
  <si>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</si>
  <si>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</si>
  <si>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</si>
  <si>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</si>
  <si>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</si>
  <si>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</si>
  <si>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</si>
  <si>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</si>
  <si>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</si>
  <si>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</si>
  <si>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</si>
  <si>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</si>
  <si>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</si>
  <si>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</si>
  <si>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</si>
  <si>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</si>
  <si>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</si>
  <si>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</si>
  <si>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</si>
  <si>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</si>
  <si>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</si>
  <si>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</si>
  <si>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</si>
  <si>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</si>
  <si>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</si>
  <si>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</si>
  <si>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</si>
  <si>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</si>
  <si>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</si>
  <si>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</si>
  <si>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</si>
  <si>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</si>
  <si>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</si>
  <si>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</si>
  <si>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</si>
  <si>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</si>
  <si>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</si>
  <si>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</si>
  <si>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</si>
  <si>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</si>
  <si>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</si>
  <si>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</si>
  <si>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</si>
  <si>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</si>
  <si>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</si>
  <si>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</si>
  <si>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</si>
  <si>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</si>
  <si>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</si>
  <si>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</si>
  <si>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</si>
  <si>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</si>
  <si>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</si>
  <si>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</si>
  <si>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</si>
  <si>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</si>
  <si>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</si>
  <si>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</si>
  <si>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</si>
  <si>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</si>
  <si>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</si>
  <si>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</si>
  <si>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</si>
  <si>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</si>
  <si>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</si>
  <si>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</si>
  <si>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</si>
  <si>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</si>
  <si>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</si>
  <si>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</si>
  <si>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</si>
  <si>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</si>
  <si>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</si>
  <si>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</si>
  <si>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</si>
  <si>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</si>
  <si>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</si>
  <si>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</si>
  <si>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</si>
  <si>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</si>
  <si>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</si>
  <si>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</si>
  <si>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</si>
  <si>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</si>
  <si>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</si>
  <si>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</si>
  <si>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</si>
  <si>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</si>
  <si>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</si>
  <si>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</si>
  <si>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</si>
  <si>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</si>
  <si>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</si>
  <si>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</si>
  <si>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</si>
  <si>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</si>
  <si>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</si>
  <si>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</si>
  <si>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</si>
  <si>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</si>
  <si>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</si>
  <si>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</si>
  <si>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</si>
  <si>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</si>
  <si>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</si>
  <si>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</si>
  <si>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</si>
  <si>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</si>
  <si>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</si>
  <si>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</si>
  <si>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</si>
  <si>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</si>
  <si>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</si>
  <si>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</si>
  <si>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</si>
  <si>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</si>
  <si>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</si>
  <si>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</si>
  <si>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</si>
  <si>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</si>
  <si>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</si>
  <si>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</si>
  <si>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</si>
  <si>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</si>
  <si>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</si>
  <si>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</si>
  <si>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</si>
  <si>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</si>
  <si>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</si>
  <si>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</si>
  <si>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</si>
  <si>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</si>
  <si>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</si>
  <si>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</si>
  <si>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</si>
  <si>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</si>
  <si>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</si>
  <si>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</si>
  <si>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</si>
  <si>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</si>
  <si>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</si>
  <si>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</si>
  <si>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</si>
  <si>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</si>
  <si>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</si>
  <si>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</si>
  <si>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</si>
  <si>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</si>
  <si>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</si>
  <si>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</si>
  <si>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</si>
  <si>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</si>
  <si>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</si>
  <si>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</si>
  <si>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</si>
  <si>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</si>
  <si>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</si>
  <si>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</si>
  <si>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</si>
  <si>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</si>
  <si>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</si>
  <si>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</si>
  <si>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</si>
  <si>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</si>
  <si>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</si>
  <si>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</si>
  <si>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</si>
  <si>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</si>
  <si>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</si>
  <si>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</si>
  <si>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</si>
  <si>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</si>
  <si>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</si>
  <si>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</si>
  <si>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</si>
  <si>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</si>
  <si>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</si>
  <si>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</si>
  <si>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</si>
  <si>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</si>
  <si>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</si>
  <si>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</si>
  <si>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</si>
  <si>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</si>
  <si>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</si>
  <si>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</si>
  <si>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</si>
  <si>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</si>
  <si>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</si>
  <si>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</si>
  <si>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</si>
  <si>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</si>
  <si>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</si>
  <si>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</si>
  <si>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</si>
  <si>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</si>
  <si>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</si>
  <si>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</si>
  <si>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</si>
  <si>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</si>
  <si>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</si>
  <si>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</si>
  <si>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</si>
  <si>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</si>
  <si>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</si>
  <si>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</si>
  <si>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</si>
  <si>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</si>
  <si>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</si>
  <si>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</si>
  <si>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</si>
  <si>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</si>
  <si>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</si>
  <si>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</si>
  <si>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</si>
  <si>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</si>
  <si>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</si>
  <si>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</si>
  <si>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</si>
  <si>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</si>
  <si>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</si>
  <si>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</si>
  <si>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</si>
  <si>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</si>
  <si>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</si>
  <si>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</si>
  <si>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</si>
  <si>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</si>
  <si>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</si>
  <si>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</si>
  <si>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</si>
  <si>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</si>
  <si>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</si>
  <si>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</si>
  <si>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</si>
  <si>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</si>
  <si>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</si>
  <si>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</si>
  <si>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</si>
  <si>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</si>
  <si>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</si>
  <si>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</si>
  <si>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</si>
  <si>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</si>
  <si>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</si>
  <si>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</si>
  <si>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</si>
  <si>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</si>
  <si>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</si>
  <si>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</si>
  <si>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</si>
  <si>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</si>
  <si>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</si>
  <si>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</si>
  <si>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</si>
  <si>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</si>
  <si>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</si>
  <si>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</si>
  <si>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</si>
  <si>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</si>
  <si>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</si>
  <si>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</si>
  <si>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</si>
  <si>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</si>
  <si>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</si>
  <si>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</si>
  <si>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</si>
  <si>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</si>
  <si>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</si>
  <si>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</si>
  <si>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</si>
  <si>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</si>
  <si>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</si>
  <si>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</si>
  <si>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</si>
  <si>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</si>
  <si>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</si>
  <si>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</si>
  <si>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</si>
  <si>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</si>
  <si>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</si>
  <si>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</si>
  <si>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</si>
  <si>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</si>
  <si>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</si>
  <si>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</si>
  <si>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</si>
  <si>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</si>
  <si>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</si>
  <si>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</si>
  <si>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</si>
  <si>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</si>
  <si>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</si>
  <si>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</si>
  <si>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</si>
  <si>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</si>
  <si>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</si>
  <si>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</si>
  <si>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</si>
  <si>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</si>
  <si>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</si>
  <si>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</si>
  <si>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</si>
  <si>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</si>
  <si>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</si>
  <si>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</si>
  <si>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</si>
  <si>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</si>
  <si>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</si>
  <si>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</si>
  <si>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</si>
  <si>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</si>
  <si>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</si>
  <si>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</si>
  <si>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</si>
  <si>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</si>
  <si>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</si>
  <si>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</si>
  <si>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</si>
  <si>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</si>
  <si>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</si>
  <si>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</si>
  <si>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</si>
  <si>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</si>
  <si>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</si>
  <si>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</si>
  <si>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</si>
  <si>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</si>
  <si>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</si>
  <si>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</si>
  <si>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</si>
  <si>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</si>
  <si>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</si>
  <si>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</si>
  <si>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</si>
  <si>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</si>
  <si>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</si>
  <si>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</si>
  <si>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</si>
  <si>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</si>
  <si>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</si>
  <si>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</si>
  <si>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</si>
  <si>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</si>
  <si>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</si>
  <si>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</si>
  <si>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</si>
  <si>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</si>
  <si>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</si>
  <si>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</si>
  <si>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</si>
  <si>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</si>
  <si>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</si>
  <si>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</si>
  <si>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</si>
  <si>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</si>
  <si>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</si>
  <si>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</si>
  <si>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</si>
  <si>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</si>
  <si>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</si>
  <si>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</si>
  <si>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</si>
  <si>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</si>
  <si>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</si>
  <si>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</si>
  <si>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</si>
  <si>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</si>
  <si>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</si>
  <si>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</si>
  <si>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</si>
  <si>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</si>
  <si>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</si>
  <si>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</si>
  <si>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</si>
  <si>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</si>
  <si>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</si>
  <si>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</si>
  <si>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</si>
  <si>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</si>
  <si>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</si>
  <si>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</si>
  <si>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</si>
  <si>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</si>
  <si>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</si>
  <si>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</si>
  <si>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</si>
  <si>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</si>
  <si>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</si>
  <si>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</si>
  <si>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</si>
  <si>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</si>
  <si>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</si>
  <si>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</si>
  <si>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</si>
  <si>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</si>
  <si>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</si>
  <si>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</si>
  <si>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</si>
  <si>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</si>
  <si>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</si>
  <si>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</si>
  <si>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</si>
  <si>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</si>
  <si>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</si>
  <si>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</si>
  <si>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</si>
  <si>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</si>
  <si>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</si>
  <si>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</si>
  <si>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</si>
  <si>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</si>
  <si>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</si>
  <si>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</si>
  <si>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</si>
  <si>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</si>
  <si>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</si>
  <si>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</si>
  <si>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</si>
  <si>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</si>
  <si>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</si>
  <si>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</si>
  <si>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</si>
  <si>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</si>
  <si>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</si>
  <si>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</si>
  <si>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</si>
  <si>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</si>
  <si>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</si>
  <si>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</si>
  <si>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</si>
  <si>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</si>
  <si>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</si>
  <si>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</si>
  <si>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</si>
  <si>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</si>
  <si>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</si>
  <si>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</si>
  <si>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</si>
  <si>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</si>
  <si>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</si>
  <si>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</si>
  <si>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</si>
  <si>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</si>
  <si>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</si>
  <si>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</si>
  <si>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</si>
  <si>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</si>
  <si>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</si>
  <si>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</si>
  <si>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</si>
  <si>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</si>
  <si>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</si>
  <si>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</si>
  <si>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</si>
  <si>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</si>
  <si>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</si>
  <si>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</si>
  <si>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</si>
  <si>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</si>
  <si>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</si>
  <si>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</si>
  <si>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</si>
  <si>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</si>
  <si>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</si>
  <si>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</si>
  <si>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</si>
  <si>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</si>
  <si>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</si>
  <si>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</si>
  <si>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</si>
  <si>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</si>
  <si>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</si>
  <si>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</si>
  <si>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</si>
  <si>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</si>
  <si>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</si>
  <si>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</si>
  <si>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</si>
  <si>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</si>
  <si>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</si>
  <si>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</si>
  <si>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</si>
  <si>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</si>
  <si>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</si>
  <si>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</si>
  <si>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</si>
  <si>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</si>
  <si>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</si>
  <si>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</si>
  <si>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</si>
  <si>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</si>
  <si>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</si>
  <si>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</si>
  <si>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</si>
  <si>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</si>
  <si>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</si>
  <si>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</si>
  <si>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</si>
  <si>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</si>
  <si>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</si>
  <si>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</si>
  <si>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</si>
  <si>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</si>
  <si>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</si>
  <si>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</si>
  <si>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</si>
  <si>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</si>
  <si>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</si>
  <si>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</si>
  <si>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</si>
  <si>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</si>
  <si>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</si>
  <si>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</si>
  <si>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</si>
  <si>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</si>
  <si>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</si>
  <si>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</si>
  <si>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</si>
  <si>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</si>
  <si>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</si>
  <si>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</si>
  <si>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</si>
  <si>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</si>
  <si>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</si>
  <si>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</si>
  <si>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</si>
  <si>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</si>
  <si>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</si>
  <si>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</si>
  <si>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</si>
  <si>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</si>
  <si>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</si>
  <si>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</si>
  <si>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</si>
  <si>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</si>
  <si>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</si>
  <si>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</si>
  <si>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</si>
  <si>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</si>
  <si>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</si>
  <si>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</si>
  <si>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</si>
  <si>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</si>
  <si>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</si>
  <si>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</si>
  <si>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</si>
  <si>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</si>
  <si>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</si>
  <si>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</si>
  <si>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</si>
  <si>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</si>
  <si>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</si>
  <si>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</si>
  <si>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</si>
  <si>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</si>
  <si>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</si>
  <si>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</si>
  <si>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</si>
  <si>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</si>
  <si>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</si>
  <si>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</si>
  <si>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</si>
  <si>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</si>
  <si>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</si>
  <si>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</si>
  <si>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</si>
  <si>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</si>
  <si>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</si>
  <si>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</si>
  <si>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</si>
  <si>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</si>
  <si>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</si>
  <si>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</si>
  <si>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</si>
  <si>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</si>
  <si>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</si>
  <si>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</si>
  <si>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</si>
  <si>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</si>
  <si>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</si>
  <si>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</si>
  <si>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</si>
  <si>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</si>
  <si>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</si>
  <si>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</si>
  <si>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</si>
  <si>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</si>
  <si>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</si>
  <si>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</si>
  <si>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</si>
  <si>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</si>
  <si>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</si>
  <si>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</si>
  <si>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</si>
  <si>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</si>
  <si>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</si>
  <si>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</si>
  <si>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</si>
  <si>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</si>
  <si>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</si>
  <si>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</si>
  <si>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</si>
  <si>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</si>
  <si>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</si>
  <si>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</si>
  <si>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</si>
  <si>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</si>
  <si>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</si>
  <si>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</si>
  <si>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</si>
  <si>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</si>
  <si>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</si>
  <si>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</si>
  <si>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</si>
  <si>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</si>
  <si>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</si>
  <si>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</si>
  <si>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</si>
  <si>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</si>
  <si>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</si>
  <si>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</si>
  <si>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</si>
  <si>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</si>
  <si>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</si>
  <si>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</si>
  <si>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</si>
  <si>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</si>
  <si>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</si>
  <si>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</si>
  <si>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</si>
  <si>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</si>
  <si>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</si>
  <si>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</si>
  <si>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</si>
  <si>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</si>
  <si>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</si>
  <si>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</si>
  <si>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</si>
  <si>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</si>
  <si>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</si>
  <si>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</si>
  <si>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</si>
  <si>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</si>
  <si>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</si>
  <si>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</si>
  <si>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</si>
  <si>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</si>
  <si>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</si>
  <si>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</si>
  <si>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</si>
  <si>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</si>
  <si>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</si>
  <si>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</si>
  <si>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</si>
  <si>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</si>
  <si>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</si>
  <si>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</si>
  <si>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</si>
  <si>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</si>
  <si>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</si>
  <si>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</si>
  <si>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</si>
  <si>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</si>
  <si>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</si>
  <si>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</si>
  <si>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</si>
  <si>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</si>
  <si>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</si>
  <si>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</si>
  <si>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</si>
  <si>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</si>
  <si>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</si>
  <si>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</si>
  <si>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</si>
  <si>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</si>
  <si>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</si>
  <si>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</si>
  <si>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</si>
  <si>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</si>
  <si>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</si>
  <si>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</si>
  <si>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</si>
  <si>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</si>
  <si>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</si>
  <si>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</si>
  <si>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</si>
  <si>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</si>
  <si>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</si>
  <si>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</si>
  <si>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</si>
  <si>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</si>
  <si>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</si>
  <si>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</si>
  <si>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</si>
  <si>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</si>
  <si>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</si>
  <si>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</si>
  <si>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</si>
  <si>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</si>
  <si>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</si>
  <si>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</si>
  <si>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</si>
  <si>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</si>
  <si>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</si>
  <si>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</si>
  <si>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</si>
  <si>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</si>
  <si>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</si>
  <si>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</si>
  <si>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</si>
  <si>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</si>
  <si>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</si>
  <si>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</si>
  <si>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</si>
  <si>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</si>
  <si>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</si>
  <si>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</si>
  <si>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</si>
  <si>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</si>
  <si>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</si>
  <si>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</si>
  <si>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</si>
  <si>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</si>
  <si>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</si>
  <si>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</si>
  <si>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</si>
  <si>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</si>
  <si>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</si>
  <si>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</si>
  <si>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</si>
  <si>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</si>
  <si>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</si>
  <si>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</si>
  <si>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</si>
  <si>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</si>
  <si>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</si>
  <si>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</si>
  <si>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</si>
  <si>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</si>
  <si>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</si>
  <si>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</si>
  <si>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</si>
  <si>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</si>
  <si>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</si>
  <si>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</si>
  <si>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</si>
  <si>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</si>
  <si>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</si>
  <si>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</si>
  <si>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</si>
  <si>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</si>
  <si>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</si>
  <si>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</si>
  <si>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</si>
  <si>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</si>
  <si>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</si>
  <si>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</si>
  <si>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</si>
  <si>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</si>
  <si>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</si>
  <si>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</si>
  <si>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</si>
  <si>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</si>
  <si>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</si>
  <si>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</si>
  <si>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</si>
  <si>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</si>
  <si>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</si>
  <si>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</si>
  <si>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</si>
  <si>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</si>
  <si>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</si>
  <si>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</si>
  <si>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</si>
  <si>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</si>
  <si>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</si>
  <si>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</si>
  <si>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</si>
  <si>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</si>
  <si>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</si>
  <si>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</si>
  <si>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</si>
  <si>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</si>
  <si>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</si>
  <si>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</si>
  <si>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</si>
  <si>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</si>
  <si>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</si>
  <si>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</si>
  <si>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</si>
  <si>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</si>
  <si>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</si>
  <si>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</si>
  <si>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</si>
  <si>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</si>
  <si>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</si>
  <si>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</si>
  <si>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</si>
  <si>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</si>
  <si>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</si>
  <si>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</si>
  <si>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</si>
  <si>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</si>
  <si>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</si>
  <si>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</si>
  <si>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</si>
  <si>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</si>
  <si>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</si>
  <si>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</si>
  <si>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</si>
  <si>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</si>
  <si>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</si>
  <si>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</si>
  <si>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</si>
  <si>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</si>
  <si>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</si>
  <si>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</si>
  <si>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</si>
  <si>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</si>
  <si>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</si>
  <si>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</si>
  <si>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</si>
  <si>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</si>
  <si>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</si>
  <si>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</si>
  <si>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</si>
  <si>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</si>
  <si>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</si>
  <si>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</si>
  <si>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</si>
  <si>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</si>
  <si>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</si>
  <si>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</si>
  <si>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</si>
  <si>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</si>
  <si>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</si>
  <si>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</si>
  <si>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</si>
  <si>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</si>
  <si>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</si>
  <si>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</si>
  <si>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</si>
  <si>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</si>
  <si>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</si>
  <si>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</si>
  <si>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</si>
  <si>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</si>
  <si>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</si>
  <si>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</si>
  <si>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</si>
  <si>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</si>
  <si>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L000005380</t>
  </si>
  <si>
    <t>L000009894</t>
  </si>
  <si>
    <t>L000012494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</si>
  <si>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</si>
  <si>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</si>
  <si>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</si>
  <si>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</si>
  <si>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</si>
  <si>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</si>
  <si>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ITEMPEU_001700006137 RO OGSIVEO MA</t>
  </si>
  <si>
    <t>ITEMPEU_001700006138 RG EZMEKLY MA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</si>
  <si>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</si>
  <si>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</si>
  <si>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</si>
  <si>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</si>
  <si>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</si>
  <si>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</si>
  <si>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</si>
  <si>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CLFF_1000$$$EG50Z01000 Auto Acc.assign OKB9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</si>
  <si>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</si>
  <si>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</si>
  <si>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</si>
  <si>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</si>
  <si>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</si>
  <si>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</si>
  <si>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</si>
  <si>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</si>
  <si>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</si>
  <si>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</si>
  <si>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</si>
  <si>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</si>
  <si>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</si>
  <si>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</si>
  <si>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</si>
  <si>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</si>
  <si>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 xml:space="preserve">H000002956 </t>
  </si>
  <si>
    <t xml:space="preserve">H000002954 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</si>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</sst>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9.123618634258" createdVersion="7" refreshedVersion="7" minRefreshableVersion="3" recordCount="4488" xr:uid="{11839AE3-6158-4318-87AD-2C711D0BF451}">
  <cacheSource type="worksheet">
    <worksheetSource name="Proc"/>
  </cacheSource>
  <cacheFields count="19">
    <cacheField name="App" numFmtId="0">
      <sharedItems containsBlank="1" count="158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3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8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6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0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8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8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8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8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8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8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8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8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8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0"/>
    <n v="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0"/>
    <n v="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0"/>
    <n v="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0"/>
    <n v="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0"/>
    <n v="4"/>
    <s v="Michiko Nakatani"/>
    <m/>
  </r>
  <r>
    <x v="401"/>
    <x v="1"/>
    <x v="5"/>
    <s v="CFLTFLE_22760000891078"/>
    <s v="H000000729"/>
    <s v="H000000803"/>
    <s v="Non-LFF"/>
    <s v=""/>
    <m/>
    <b v="0"/>
    <x v="1"/>
    <x v="0"/>
    <d v="2025-10-24T00:00:00"/>
    <m/>
    <m/>
    <x v="0"/>
    <n v="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0"/>
    <n v="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0"/>
    <n v="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0"/>
    <n v="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0"/>
    <n v="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0"/>
    <n v="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0"/>
    <n v="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0"/>
    <n v="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0"/>
    <n v="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0"/>
    <n v="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0"/>
    <n v="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0"/>
    <n v="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0"/>
    <n v="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0"/>
    <n v="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0"/>
    <n v="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0"/>
    <n v="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0"/>
    <n v="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0"/>
    <n v="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0"/>
    <n v="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0"/>
    <n v="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0"/>
    <n v="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0"/>
    <n v="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0"/>
    <n v="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0"/>
    <n v="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0"/>
    <n v="2"/>
    <s v="John Rowie Del Rosario"/>
    <m/>
  </r>
  <r>
    <x v="403"/>
    <x v="1"/>
    <x v="5"/>
    <s v="CFLTFLE_2152IMIPARVR01"/>
    <s v="P000000540"/>
    <m/>
    <s v="Non-LFF"/>
    <s v=""/>
    <m/>
    <b v="0"/>
    <x v="3"/>
    <x v="0"/>
    <d v="2025-10-27T00:00:00"/>
    <m/>
    <m/>
    <x v="0"/>
    <n v="2"/>
    <s v="Roselle Delos Angeles"/>
    <m/>
  </r>
  <r>
    <x v="404"/>
    <x v="1"/>
    <x v="2"/>
    <s v="CFLTFLE_17710000508010"/>
    <s v="H000003319"/>
    <s v="H000003319"/>
    <s v="Non-LFF"/>
    <s v=""/>
    <m/>
    <b v="1"/>
    <x v="0"/>
    <x v="0"/>
    <d v="2025-10-27T00:00:00"/>
    <m/>
    <m/>
    <x v="0"/>
    <n v="2"/>
    <s v="Yulia Glazyrina"/>
    <m/>
  </r>
  <r>
    <x v="404"/>
    <x v="1"/>
    <x v="3"/>
    <s v="CFLTFLE_17710000113000"/>
    <s v="G000000637"/>
    <m/>
    <s v="Non-LFF"/>
    <s v=""/>
    <s v="Have to be mapped based on parent"/>
    <b v="0"/>
    <x v="0"/>
    <x v="0"/>
    <d v="2025-10-27T00:00:00"/>
    <m/>
    <m/>
    <x v="0"/>
    <n v="2"/>
    <s v="Yulia Glazyrina"/>
    <m/>
  </r>
  <r>
    <x v="405"/>
    <x v="1"/>
    <x v="5"/>
    <s v="CTEMPEU_1000PL80GHR227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EU_1000PL80GFO016"/>
    <s v="G000001447"/>
    <s v="G000001441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EU_1000PL80GFO025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NA_1000PH80GFO123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NA_1000PH80GFO003"/>
    <s v="G000001447"/>
    <s v="G000001441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NA_1000PH80GFO043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EMERAL_70006502ID6502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1000$$$IT50YIT001"/>
    <s v="G000001378"/>
    <s v="G000000247"/>
    <s v="LFF (MDG-F)"/>
    <s v="IT50YIT001"/>
    <m/>
    <b v="0"/>
    <x v="0"/>
    <x v="0"/>
    <d v="2025-10-28T00:00:00"/>
    <m/>
    <m/>
    <x v="0"/>
    <n v="1"/>
    <s v="Jay-R Lizardo"/>
    <m/>
  </r>
  <r>
    <x v="405"/>
    <x v="1"/>
    <x v="5"/>
    <s v="CTEMPEU_1000FR40701604"/>
    <s v="G000001449"/>
    <s v="G000001233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1000$$$DE10GIT04K"/>
    <s v="G000001446"/>
    <s v="G000000893"/>
    <s v="LFF (MDG-F)"/>
    <s v="DE10GIT04K"/>
    <m/>
    <b v="0"/>
    <x v="0"/>
    <x v="0"/>
    <d v="2025-10-28T00:00:00"/>
    <m/>
    <m/>
    <x v="0"/>
    <n v="1"/>
    <s v="Jay-R Lizardo"/>
    <m/>
  </r>
  <r>
    <x v="405"/>
    <x v="1"/>
    <x v="6"/>
    <s v="CLFF_1000$$$DE10638210"/>
    <s v="G000001449"/>
    <s v="G000001233"/>
    <s v="LFF (MDG-F)"/>
    <s v="DE10638210"/>
    <m/>
    <b v="0"/>
    <x v="0"/>
    <x v="0"/>
    <d v="2025-10-28T00:00:00"/>
    <m/>
    <m/>
    <x v="0"/>
    <n v="1"/>
    <s v="Jay-R Lizardo"/>
    <m/>
  </r>
  <r>
    <x v="405"/>
    <x v="1"/>
    <x v="6"/>
    <s v="CLFF_1000$$$DE10GIT101"/>
    <s v="G000001446"/>
    <s v="G000000893"/>
    <s v="LFF (MDG-F)"/>
    <s v="DE10GIT101"/>
    <m/>
    <b v="0"/>
    <x v="0"/>
    <x v="0"/>
    <d v="2025-10-28T00:00:00"/>
    <m/>
    <m/>
    <x v="0"/>
    <n v="1"/>
    <s v="Jay-R Lizardo"/>
    <m/>
  </r>
  <r>
    <x v="405"/>
    <x v="1"/>
    <x v="6"/>
    <s v="CLFF_1000$$$DE10GIT02K"/>
    <s v="G000001446"/>
    <s v="G000000893"/>
    <s v="LFF (MDG-F)"/>
    <s v="DE10GIT02K"/>
    <m/>
    <b v="0"/>
    <x v="0"/>
    <x v="0"/>
    <d v="2025-10-28T00:00:00"/>
    <m/>
    <m/>
    <x v="0"/>
    <n v="1"/>
    <s v="Jay-R Lizardo"/>
    <m/>
  </r>
  <r>
    <x v="405"/>
    <x v="1"/>
    <x v="6"/>
    <s v="CLFF_1000$$$DE10669638"/>
    <s v="G000001447"/>
    <s v="G000001441"/>
    <s v="LFF (MDG-F)"/>
    <s v="DE10669638"/>
    <m/>
    <b v="0"/>
    <x v="0"/>
    <x v="0"/>
    <d v="2025-10-28T00:00:00"/>
    <m/>
    <m/>
    <x v="0"/>
    <n v="1"/>
    <s v="Jay-R Lizardo"/>
    <m/>
  </r>
  <r>
    <x v="405"/>
    <x v="1"/>
    <x v="6"/>
    <s v="CLFF_1000$$$DE10669636"/>
    <s v="G000001445"/>
    <s v="G000001387"/>
    <s v="LFF (MDG-F)"/>
    <s v="DE10669636"/>
    <m/>
    <b v="0"/>
    <x v="0"/>
    <x v="0"/>
    <d v="2025-10-28T00:00:00"/>
    <m/>
    <m/>
    <x v="0"/>
    <n v="1"/>
    <s v="Jay-R Lizardo"/>
    <m/>
  </r>
  <r>
    <x v="405"/>
    <x v="1"/>
    <x v="5"/>
    <s v="CTEMPNA_1000US20CA8407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1000$$$CH65GIT20H"/>
    <s v="G000001378"/>
    <s v="G000000247"/>
    <s v="LFF (MDG-F)"/>
    <s v="CH65GIT20H"/>
    <m/>
    <b v="0"/>
    <x v="0"/>
    <x v="0"/>
    <d v="2025-10-28T00:00:00"/>
    <m/>
    <m/>
    <x v="0"/>
    <n v="1"/>
    <s v="Jay-R Lizardo"/>
    <m/>
  </r>
  <r>
    <x v="405"/>
    <x v="1"/>
    <x v="5"/>
    <s v="CNOW_7210$$$0000010260"/>
    <s v="G000001446"/>
    <s v="G000000893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NOW_7210$$$0000052358"/>
    <s v="G000000253"/>
    <s v="L000013395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7210$$$2123C00103"/>
    <s v="G000001445"/>
    <s v="G000001387"/>
    <s v="LFF (MDG-F)"/>
    <s v="2123C00103"/>
    <m/>
    <b v="0"/>
    <x v="0"/>
    <x v="0"/>
    <d v="2025-10-28T00:00:00"/>
    <m/>
    <m/>
    <x v="0"/>
    <n v="1"/>
    <s v="Jay-R Lizardo"/>
    <m/>
  </r>
  <r>
    <x v="405"/>
    <x v="1"/>
    <x v="6"/>
    <s v="CLFF_7210$$$2123GM1110"/>
    <s v="G000001445"/>
    <s v="G000001387"/>
    <s v="LFF (MDG-F)"/>
    <s v="2123GM1110"/>
    <m/>
    <b v="0"/>
    <x v="0"/>
    <x v="0"/>
    <d v="2025-10-28T00:00:00"/>
    <m/>
    <m/>
    <x v="0"/>
    <n v="1"/>
    <s v="Jay-R Lizardo"/>
    <m/>
  </r>
  <r>
    <x v="405"/>
    <x v="1"/>
    <x v="6"/>
    <s v="CLFF_7210$$$2123GMS050"/>
    <s v="G000001447"/>
    <s v="G000001441"/>
    <s v="LFF (MDG-F)"/>
    <s v="2123GMS050"/>
    <m/>
    <b v="0"/>
    <x v="0"/>
    <x v="0"/>
    <d v="2025-10-28T00:00:00"/>
    <m/>
    <m/>
    <x v="0"/>
    <n v="1"/>
    <s v="Jay-R Lizardo"/>
    <m/>
  </r>
  <r>
    <x v="405"/>
    <x v="1"/>
    <x v="6"/>
    <s v="CLFF_7210$$$2123GMS080"/>
    <s v="G000001447"/>
    <s v="G000001443"/>
    <s v="LFF (MDG-F)"/>
    <s v="2123GMS080"/>
    <m/>
    <b v="0"/>
    <x v="0"/>
    <x v="0"/>
    <d v="2025-10-28T00:00:00"/>
    <m/>
    <m/>
    <x v="0"/>
    <n v="1"/>
    <s v="Jay-R Lizardo"/>
    <m/>
  </r>
  <r>
    <x v="405"/>
    <x v="1"/>
    <x v="6"/>
    <s v="CLFF_7210$$$2123L50005"/>
    <s v="G000001445"/>
    <s v="G000001387"/>
    <s v="LFF (MDG-F)"/>
    <s v="2123L50005"/>
    <m/>
    <b v="0"/>
    <x v="0"/>
    <x v="0"/>
    <d v="2025-10-28T00:00:00"/>
    <m/>
    <m/>
    <x v="0"/>
    <n v="1"/>
    <s v="Jay-R Lizardo"/>
    <m/>
  </r>
  <r>
    <x v="405"/>
    <x v="1"/>
    <x v="6"/>
    <s v="CLFF_7210$$$2123OF0010"/>
    <s v="G000001445"/>
    <s v="G000001387"/>
    <s v="LFF (MDG-F)"/>
    <s v="2123OF0010"/>
    <m/>
    <b v="0"/>
    <x v="0"/>
    <x v="0"/>
    <d v="2025-10-28T00:00:00"/>
    <m/>
    <m/>
    <x v="0"/>
    <n v="1"/>
    <s v="Jay-R Lizardo"/>
    <m/>
  </r>
  <r>
    <x v="405"/>
    <x v="1"/>
    <x v="6"/>
    <s v="CLFF_7210$$$2123TPSZ93"/>
    <s v="G000001445"/>
    <s v="G000001387"/>
    <s v="LFF (MDG-F)"/>
    <s v="2123TPSZ93"/>
    <m/>
    <b v="0"/>
    <x v="0"/>
    <x v="0"/>
    <d v="2025-10-28T00:00:00"/>
    <m/>
    <m/>
    <x v="0"/>
    <n v="1"/>
    <s v="Jay-R Lizardo"/>
    <m/>
  </r>
  <r>
    <x v="405"/>
    <x v="1"/>
    <x v="6"/>
    <s v="CLFF_7210$$$2123TQJZ94"/>
    <s v="G000001445"/>
    <s v="G000001387"/>
    <s v="LFF (MDG-F)"/>
    <s v="2123TQJZ94"/>
    <m/>
    <b v="0"/>
    <x v="0"/>
    <x v="0"/>
    <d v="2025-10-28T00:00:00"/>
    <m/>
    <m/>
    <x v="0"/>
    <n v="1"/>
    <s v="Jay-R Lizardo"/>
    <m/>
  </r>
  <r>
    <x v="405"/>
    <x v="1"/>
    <x v="6"/>
    <s v="CLFF_7210$$$2123GIT134"/>
    <s v="G000001446"/>
    <s v="G000000893"/>
    <s v="LFF (MDG-F)"/>
    <s v="2123GIT134"/>
    <m/>
    <b v="0"/>
    <x v="0"/>
    <x v="0"/>
    <d v="2025-10-28T00:00:00"/>
    <m/>
    <m/>
    <x v="0"/>
    <n v="1"/>
    <s v="Jay-R Lizardo"/>
    <m/>
  </r>
  <r>
    <x v="405"/>
    <x v="1"/>
    <x v="6"/>
    <s v="CLFF_7210$$$2123YIT004"/>
    <s v="G000001445"/>
    <s v="G000001387"/>
    <s v="LFF (MDG-F)"/>
    <s v="2123YIT004"/>
    <m/>
    <b v="0"/>
    <x v="0"/>
    <x v="0"/>
    <d v="2025-10-28T00:00:00"/>
    <m/>
    <m/>
    <x v="0"/>
    <n v="1"/>
    <s v="Jay-R Lizardo"/>
    <m/>
  </r>
  <r>
    <x v="405"/>
    <x v="1"/>
    <x v="6"/>
    <s v="CLFF_7210$$$2123YIT005"/>
    <s v="G000001445"/>
    <s v="G000001387"/>
    <s v="LFF (MDG-F)"/>
    <s v="2123YIT005"/>
    <m/>
    <b v="0"/>
    <x v="0"/>
    <x v="0"/>
    <d v="2025-10-28T00:00:00"/>
    <m/>
    <m/>
    <x v="0"/>
    <n v="1"/>
    <s v="Jay-R Lizardo"/>
    <m/>
  </r>
  <r>
    <x v="405"/>
    <x v="1"/>
    <x v="6"/>
    <s v="CLFF_1000$$$DE10YIT016"/>
    <s v="G000001448"/>
    <s v="G000001378"/>
    <s v="LFF (MDG-F)"/>
    <s v="DE10YIT016"/>
    <m/>
    <b v="0"/>
    <x v="0"/>
    <x v="0"/>
    <d v="2025-10-28T00:00:00"/>
    <m/>
    <m/>
    <x v="0"/>
    <n v="1"/>
    <s v="Jay-R Lizardo"/>
    <m/>
  </r>
  <r>
    <x v="405"/>
    <x v="1"/>
    <x v="6"/>
    <s v="CLFF_7210$$$2123YIT008"/>
    <s v="G000001448"/>
    <s v="G000001378"/>
    <s v="LFF (MDG-F)"/>
    <s v="2123YIT008"/>
    <m/>
    <b v="0"/>
    <x v="0"/>
    <x v="0"/>
    <d v="2025-10-28T00:00:00"/>
    <m/>
    <m/>
    <x v="0"/>
    <n v="1"/>
    <s v="Jay-R Lizardo"/>
    <m/>
  </r>
  <r>
    <x v="405"/>
    <x v="1"/>
    <x v="5"/>
    <s v="CTEMPEU_1000PL80GIT004"/>
    <s v="G000001448"/>
    <s v="G000001378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7210$$$2123YIT009"/>
    <s v="G000001449"/>
    <s v="G000001378"/>
    <s v="LFF (MDG-F)"/>
    <s v="2123YIT009"/>
    <m/>
    <b v="0"/>
    <x v="0"/>
    <x v="0"/>
    <d v="2025-10-28T00:00:00"/>
    <m/>
    <m/>
    <x v="0"/>
    <n v="1"/>
    <s v="Jay-R Lizardo"/>
    <m/>
  </r>
  <r>
    <x v="405"/>
    <x v="1"/>
    <x v="5"/>
    <s v="CTEMPEU_1000PL80YIT002"/>
    <s v="G000001449"/>
    <s v="G000001378"/>
    <s v="Non-LFF"/>
    <s v=""/>
    <m/>
    <b v="0"/>
    <x v="0"/>
    <x v="0"/>
    <d v="2025-10-28T00:00:00"/>
    <m/>
    <m/>
    <x v="0"/>
    <n v="1"/>
    <s v="Jay-R Lizardo"/>
    <m/>
  </r>
  <r>
    <x v="406"/>
    <x v="1"/>
    <x v="5"/>
    <s v="CORAERP_MMOR1975.5919 MarCom Print"/>
    <s v="L000005366"/>
    <s v="L000012494"/>
    <s v="Non-LFF"/>
    <s v=""/>
    <m/>
    <b v="0"/>
    <x v="2"/>
    <x v="0"/>
    <d v="2025-10-28T00:00:00"/>
    <m/>
    <m/>
    <x v="0"/>
    <n v="1"/>
    <s v="Ruby Grace Garcia"/>
    <m/>
  </r>
  <r>
    <x v="406"/>
    <x v="1"/>
    <x v="5"/>
    <s v="CNOW_7210$$$0000020564 US Campaigns - Strat &amp; Seg Marketing"/>
    <s v="L000005366"/>
    <s v="L000005380"/>
    <s v="Non-LFF"/>
    <s v=""/>
    <m/>
    <b v="0"/>
    <x v="2"/>
    <x v="0"/>
    <d v="2025-10-28T00:00:00"/>
    <m/>
    <m/>
    <x v="0"/>
    <n v="1"/>
    <s v="Ruby Grace Garcia"/>
    <m/>
  </r>
  <r>
    <x v="406"/>
    <x v="1"/>
    <x v="5"/>
    <s v="CNOW_7210$$$0000021400 Pharma Analysis &amp; QC"/>
    <s v="L000005366"/>
    <s v="L000005380"/>
    <s v="Non-LFF"/>
    <s v=""/>
    <m/>
    <b v="0"/>
    <x v="2"/>
    <x v="0"/>
    <d v="2025-10-28T00:00:00"/>
    <m/>
    <m/>
    <x v="0"/>
    <n v="1"/>
    <s v="Ruby Grace Garcia"/>
    <m/>
  </r>
  <r>
    <x v="406"/>
    <x v="1"/>
    <x v="5"/>
    <s v="CNOW_7210$$$0000015308 DE RE Inbound-Schnelldorf"/>
    <s v="L000012340"/>
    <s v="L000009894"/>
    <s v="Non-LFF"/>
    <s v=""/>
    <m/>
    <b v="0"/>
    <x v="2"/>
    <x v="0"/>
    <d v="2025-10-28T00:00:00"/>
    <m/>
    <m/>
    <x v="0"/>
    <n v="1"/>
    <s v="Ruby Grace Garcia"/>
    <m/>
  </r>
  <r>
    <x v="407"/>
    <x v="1"/>
    <x v="5"/>
    <s v="ITEMPEU_003200004221 "/>
    <s v="L000011242"/>
    <m/>
    <s v="Non-LFF"/>
    <s v=""/>
    <m/>
    <b v="0"/>
    <x v="2"/>
    <x v="0"/>
    <d v="2025-10-29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3" firstHeaderRow="1" firstDataRow="1" firstDataCol="1" rowPageCount="1" colPageCount="1"/>
  <pivotFields count="19">
    <pivotField axis="axisRow" showAll="0" sortType="ascending">
      <items count="1590">
        <item m="1" x="974"/>
        <item x="0"/>
        <item m="1" x="1044"/>
        <item m="1" x="1465"/>
        <item m="1" x="627"/>
        <item m="1" x="1482"/>
        <item m="1" x="1004"/>
        <item m="1" x="1094"/>
        <item m="1" x="1515"/>
        <item m="1" x="1309"/>
        <item m="1" x="997"/>
        <item m="1" x="1581"/>
        <item m="1" x="1327"/>
        <item m="1" x="1571"/>
        <item m="1" x="945"/>
        <item m="1" x="846"/>
        <item m="1" x="550"/>
        <item m="1" x="811"/>
        <item m="1" x="1535"/>
        <item m="1" x="603"/>
        <item m="1" x="911"/>
        <item m="1" x="1279"/>
        <item m="1" x="994"/>
        <item m="1" x="1087"/>
        <item m="1" x="1383"/>
        <item m="1" x="1568"/>
        <item m="1" x="1029"/>
        <item m="1" x="1051"/>
        <item m="1" x="816"/>
        <item m="1" x="1217"/>
        <item m="1" x="976"/>
        <item m="1" x="1522"/>
        <item m="1" x="1179"/>
        <item m="1" x="612"/>
        <item m="1" x="720"/>
        <item m="1" x="1507"/>
        <item m="1" x="1271"/>
        <item m="1" x="525"/>
        <item m="1" x="1357"/>
        <item m="1" x="1023"/>
        <item m="1" x="1318"/>
        <item m="1" x="904"/>
        <item m="1" x="1256"/>
        <item m="1" x="515"/>
        <item m="1" x="545"/>
        <item m="1" x="1584"/>
        <item m="1" x="1263"/>
        <item m="1" x="1331"/>
        <item m="1" x="1438"/>
        <item m="1" x="1207"/>
        <item m="1" x="1305"/>
        <item m="1" x="1144"/>
        <item m="1" x="599"/>
        <item m="1" x="790"/>
        <item m="1" x="1566"/>
        <item m="1" x="1134"/>
        <item m="1" x="1274"/>
        <item m="1" x="802"/>
        <item m="1" x="763"/>
        <item m="1" x="1055"/>
        <item m="1" x="947"/>
        <item m="1" x="980"/>
        <item m="1" x="539"/>
        <item m="1" x="678"/>
        <item m="1" x="1340"/>
        <item m="1" x="1557"/>
        <item m="1" x="743"/>
        <item m="1" x="1148"/>
        <item m="1" x="1158"/>
        <item m="1" x="1335"/>
        <item m="1" x="1445"/>
        <item m="1" x="1323"/>
        <item m="1" x="618"/>
        <item m="1" x="1466"/>
        <item m="1" x="1196"/>
        <item m="1" x="1183"/>
        <item m="1" x="718"/>
        <item m="1" x="1071"/>
        <item m="1" x="1418"/>
        <item m="1" x="536"/>
        <item m="1" x="1115"/>
        <item m="1" x="1468"/>
        <item m="1" x="1306"/>
        <item m="1" x="1041"/>
        <item m="1" x="1083"/>
        <item m="1" x="964"/>
        <item m="1" x="1199"/>
        <item m="1" x="1011"/>
        <item m="1" x="1243"/>
        <item m="1" x="727"/>
        <item m="1" x="1556"/>
        <item m="1" x="1081"/>
        <item m="1" x="1367"/>
        <item m="1" x="444"/>
        <item m="1" x="1572"/>
        <item m="1" x="1108"/>
        <item m="1" x="1397"/>
        <item m="1" x="1310"/>
        <item m="1" x="1088"/>
        <item m="1" x="598"/>
        <item m="1" x="605"/>
        <item m="1" x="645"/>
        <item m="1" x="827"/>
        <item m="1" x="1251"/>
        <item m="1" x="1012"/>
        <item m="1" x="1128"/>
        <item m="1" x="1191"/>
        <item m="1" x="1338"/>
        <item m="1" x="1421"/>
        <item m="1" x="983"/>
        <item m="1" x="704"/>
        <item m="1" x="547"/>
        <item m="1" x="690"/>
        <item m="1" x="1565"/>
        <item m="1" x="722"/>
        <item m="1" x="1403"/>
        <item m="1" x="1332"/>
        <item m="1" x="950"/>
        <item m="1" x="1022"/>
        <item m="1" x="888"/>
        <item m="1" x="1145"/>
        <item m="1" x="1520"/>
        <item m="1" x="696"/>
        <item m="1" x="644"/>
        <item m="1" x="579"/>
        <item m="1" x="1245"/>
        <item m="1" x="1505"/>
        <item m="1" x="1433"/>
        <item m="1" x="1090"/>
        <item m="1" x="614"/>
        <item m="1" x="1339"/>
        <item m="1" x="791"/>
        <item m="1" x="1045"/>
        <item m="1" x="1220"/>
        <item m="1" x="1328"/>
        <item m="1" x="448"/>
        <item m="1" x="1277"/>
        <item m="1" x="1240"/>
        <item m="1" x="681"/>
        <item m="1" x="1129"/>
        <item m="1" x="1017"/>
        <item m="1" x="970"/>
        <item m="1" x="703"/>
        <item m="1" x="639"/>
        <item m="1" x="879"/>
        <item m="1" x="1066"/>
        <item m="1" x="473"/>
        <item m="1" x="812"/>
        <item m="1" x="671"/>
        <item m="1" x="413"/>
        <item m="1" x="923"/>
        <item m="1" x="1124"/>
        <item m="1" x="1006"/>
        <item m="1" x="1052"/>
        <item m="1" x="1371"/>
        <item m="1" x="953"/>
        <item m="1" x="1479"/>
        <item m="1" x="1203"/>
        <item m="1" x="1142"/>
        <item m="1" x="656"/>
        <item m="1" x="1289"/>
        <item m="1" x="1567"/>
        <item m="1" x="1255"/>
        <item m="1" x="1239"/>
        <item m="1" x="526"/>
        <item m="1" x="574"/>
        <item m="1" x="1109"/>
        <item m="1" x="615"/>
        <item m="1" x="1552"/>
        <item m="1" x="1218"/>
        <item m="1" x="1143"/>
        <item m="1" x="1095"/>
        <item m="1" x="896"/>
        <item m="1" x="524"/>
        <item m="1" x="624"/>
        <item m="1" x="730"/>
        <item m="1" x="1463"/>
        <item m="1" x="1495"/>
        <item m="1" x="1194"/>
        <item m="1" x="921"/>
        <item m="1" x="1009"/>
        <item m="1" x="519"/>
        <item m="1" x="559"/>
        <item m="1" x="898"/>
        <item m="1" x="1123"/>
        <item m="1" x="1036"/>
        <item m="1" x="694"/>
        <item m="1" x="927"/>
        <item m="1" x="641"/>
        <item m="1" x="836"/>
        <item m="1" x="758"/>
        <item m="1" x="593"/>
        <item m="1" x="729"/>
        <item m="1" x="1099"/>
        <item m="1" x="509"/>
        <item m="1" x="748"/>
        <item m="1" x="540"/>
        <item m="1" x="1233"/>
        <item m="1" x="1422"/>
        <item m="1" x="1032"/>
        <item m="1" x="676"/>
        <item m="1" x="1326"/>
        <item m="1" x="1171"/>
        <item m="1" x="688"/>
        <item m="1" x="689"/>
        <item m="1" x="874"/>
        <item m="1" x="564"/>
        <item m="1" x="753"/>
        <item m="1" x="548"/>
        <item m="1" x="734"/>
        <item m="1" x="1302"/>
        <item m="1" x="813"/>
        <item m="1" x="1180"/>
        <item m="1" x="1230"/>
        <item m="1" x="1364"/>
        <item m="1" x="1368"/>
        <item m="1" x="1085"/>
        <item m="1" x="926"/>
        <item m="1" x="965"/>
        <item m="1" x="1532"/>
        <item m="1" x="825"/>
        <item m="1" x="637"/>
        <item m="1" x="1015"/>
        <item m="1" x="472"/>
        <item m="1" x="1536"/>
        <item m="1" x="999"/>
        <item m="1" x="433"/>
        <item m="1" x="1454"/>
        <item m="1" x="1497"/>
        <item m="1" x="1334"/>
        <item m="1" x="711"/>
        <item m="1" x="450"/>
        <item m="1" x="1384"/>
        <item m="1" x="775"/>
        <item m="1" x="411"/>
        <item m="1" x="1555"/>
        <item m="1" x="799"/>
        <item m="1" x="954"/>
        <item m="1" x="1399"/>
        <item m="1" x="486"/>
        <item m="1" x="1311"/>
        <item m="1" x="1119"/>
        <item m="1" x="984"/>
        <item m="1" x="854"/>
        <item m="1" x="601"/>
        <item m="1" x="1102"/>
        <item m="1" x="804"/>
        <item m="1" x="1342"/>
        <item m="1" x="664"/>
        <item m="1" x="1412"/>
        <item m="1" x="1419"/>
        <item m="1" x="1103"/>
        <item m="1" x="1293"/>
        <item m="1" x="710"/>
        <item m="1" x="1007"/>
        <item m="1" x="1296"/>
        <item m="1" x="880"/>
        <item m="1" x="1170"/>
        <item m="1" x="809"/>
        <item m="1" x="594"/>
        <item m="1" x="798"/>
        <item m="1" x="1564"/>
        <item m="1" x="1506"/>
        <item m="1" x="651"/>
        <item m="1" x="1452"/>
        <item m="1" x="458"/>
        <item m="1" x="1474"/>
        <item m="1" x="493"/>
        <item m="1" x="795"/>
        <item m="1" x="893"/>
        <item m="1" x="840"/>
        <item m="1" x="1447"/>
        <item m="1" x="1350"/>
        <item m="1" x="591"/>
        <item m="1" x="1161"/>
        <item m="1" x="1369"/>
        <item m="1" x="1503"/>
        <item m="1" x="1410"/>
        <item m="1" x="496"/>
        <item m="1" x="1576"/>
        <item m="1" x="647"/>
        <item m="1" x="928"/>
        <item m="1" x="1372"/>
        <item m="1" x="495"/>
        <item m="1" x="1431"/>
        <item m="1" x="660"/>
        <item m="1" x="1304"/>
        <item m="1" x="1168"/>
        <item m="1" x="1146"/>
        <item m="1" x="725"/>
        <item m="1" x="687"/>
        <item m="1" x="1499"/>
        <item m="1" x="440"/>
        <item m="1" x="622"/>
        <item m="1" x="1281"/>
        <item m="1" x="1392"/>
        <item m="1" x="1319"/>
        <item m="1" x="1523"/>
        <item m="1" x="1027"/>
        <item m="1" x="654"/>
        <item m="1" x="774"/>
        <item m="1" x="1093"/>
        <item m="1" x="835"/>
        <item m="1" x="1163"/>
        <item m="1" x="776"/>
        <item m="1" x="578"/>
        <item m="1" x="1231"/>
        <item m="1" x="633"/>
        <item m="1" x="513"/>
        <item m="1" x="1365"/>
        <item m="1" x="1512"/>
        <item m="1" x="1213"/>
        <item m="1" x="478"/>
        <item m="1" x="1404"/>
        <item m="1" x="1202"/>
        <item m="1" x="1312"/>
        <item m="1" x="1451"/>
        <item m="1" x="679"/>
        <item m="1" x="871"/>
        <item m="1" x="709"/>
        <item m="1" x="977"/>
        <item m="1" x="901"/>
        <item m="1" x="931"/>
        <item m="1" x="1467"/>
        <item m="1" x="913"/>
        <item m="1" x="1116"/>
        <item m="1" x="648"/>
        <item m="1" x="847"/>
        <item m="1" x="821"/>
        <item m="1" x="1164"/>
        <item m="1" x="1067"/>
        <item m="1" x="1295"/>
        <item m="1" x="817"/>
        <item m="1" x="1453"/>
        <item m="1" x="655"/>
        <item m="1" x="581"/>
        <item m="1" x="837"/>
        <item m="1" x="1378"/>
        <item m="1" x="488"/>
        <item m="1" x="489"/>
        <item m="1" x="785"/>
        <item m="1" x="1458"/>
        <item m="1" x="852"/>
        <item m="1" x="497"/>
        <item m="1" x="657"/>
        <item m="1" x="899"/>
        <item m="1" x="1210"/>
        <item m="1" x="1182"/>
        <item m="1" x="853"/>
        <item m="1" x="434"/>
        <item m="1" x="572"/>
        <item m="1" x="784"/>
        <item m="1" x="672"/>
        <item m="1" x="429"/>
        <item m="1" x="1382"/>
        <item m="1" x="1511"/>
        <item m="1" x="981"/>
        <item m="1" x="1411"/>
        <item m="1" x="1471"/>
        <item m="1" x="494"/>
        <item m="1" x="1509"/>
        <item m="1" x="1247"/>
        <item m="1" x="670"/>
        <item m="1" x="856"/>
        <item m="1" x="760"/>
        <item m="1" x="1122"/>
        <item m="1" x="693"/>
        <item m="1" x="909"/>
        <item m="1" x="1204"/>
        <item m="1" x="1329"/>
        <item m="1" x="832"/>
        <item m="1" x="960"/>
        <item m="1" x="772"/>
        <item m="1" x="698"/>
        <item m="1" x="1209"/>
        <item m="1" x="1324"/>
        <item m="1" x="1486"/>
        <item m="1" x="528"/>
        <item m="1" x="732"/>
        <item m="1" x="1172"/>
        <item m="1" x="573"/>
        <item m="1" x="860"/>
        <item m="1" x="1241"/>
        <item m="1" x="506"/>
        <item m="1" x="716"/>
        <item m="1" x="826"/>
        <item m="1" x="1432"/>
        <item m="1" x="665"/>
        <item m="1" x="935"/>
        <item m="1" x="1488"/>
        <item m="1" x="616"/>
        <item m="1" x="805"/>
        <item m="1" x="993"/>
        <item m="1" x="1330"/>
        <item m="1" x="628"/>
        <item m="1" x="884"/>
        <item m="1" x="726"/>
        <item m="1" x="1222"/>
        <item m="1" x="1408"/>
        <item m="1" x="534"/>
        <item m="1" x="754"/>
        <item m="1" x="1490"/>
        <item m="1" x="1455"/>
        <item m="1" x="555"/>
        <item m="1" x="872"/>
        <item m="1" x="1396"/>
        <item m="1" x="1527"/>
        <item m="1" x="1398"/>
        <item m="1" x="1373"/>
        <item m="1" x="504"/>
        <item m="1" x="680"/>
        <item m="1" x="762"/>
        <item m="1" x="751"/>
        <item m="1" x="978"/>
        <item m="1" x="466"/>
        <item m="1" x="1165"/>
        <item m="1" x="1236"/>
        <item m="1" x="418"/>
        <item m="1" x="1496"/>
        <item m="1" x="1358"/>
        <item m="1" x="1487"/>
        <item m="1" x="1517"/>
        <item m="1" x="1553"/>
        <item m="1" x="1491"/>
        <item m="1" x="855"/>
        <item m="1" x="1215"/>
        <item m="1" x="822"/>
        <item m="1" x="1228"/>
        <item m="1" x="1193"/>
        <item m="1" x="631"/>
        <item m="1" x="669"/>
        <item m="1" x="807"/>
        <item m="1" x="1272"/>
        <item m="1" x="792"/>
        <item m="1" x="538"/>
        <item m="1" x="1537"/>
        <item m="1" x="1287"/>
        <item m="1" x="1120"/>
        <item m="1" x="1152"/>
        <item m="1" x="1201"/>
        <item m="1" x="626"/>
        <item m="1" x="968"/>
        <item m="1" x="1313"/>
        <item m="1" x="464"/>
        <item m="1" x="707"/>
        <item m="1" x="607"/>
        <item m="1" x="604"/>
        <item m="1" x="608"/>
        <item m="1" x="409"/>
        <item m="1" x="630"/>
        <item m="1" x="1427"/>
        <item m="1" x="431"/>
        <item m="1" x="1077"/>
        <item m="1" x="1514"/>
        <item m="1" x="1325"/>
        <item m="1" x="585"/>
        <item m="1" x="1585"/>
        <item m="1" x="514"/>
        <item m="1" x="881"/>
        <item m="1" x="1104"/>
        <item m="1" x="560"/>
        <item m="1" x="1013"/>
        <item m="1" x="1173"/>
        <item m="1" x="1441"/>
        <item m="1" x="1343"/>
        <item m="1" x="422"/>
        <item m="1" x="1105"/>
        <item m="1" x="505"/>
        <item m="1" x="741"/>
        <item m="1" x="713"/>
        <item m="1" x="475"/>
        <item m="1" x="1068"/>
        <item m="1" x="1075"/>
        <item m="1" x="1175"/>
        <item m="1" x="924"/>
        <item m="1" x="1424"/>
        <item m="1" x="833"/>
        <item m="1" x="1543"/>
        <item m="1" x="1178"/>
        <item m="1" x="1069"/>
        <item m="1" x="733"/>
        <item m="1" x="1141"/>
        <item m="1" x="1439"/>
        <item m="1" x="1504"/>
        <item m="1" x="1483"/>
        <item m="1" x="1413"/>
        <item m="1" x="1162"/>
        <item m="1" x="1275"/>
        <item m="1" x="788"/>
        <item m="1" x="1237"/>
        <item m="1" x="1062"/>
        <item m="1" x="1021"/>
        <item m="1" x="1019"/>
        <item m="1" x="1020"/>
        <item m="1" x="717"/>
        <item m="1" x="761"/>
        <item m="1" x="1374"/>
        <item m="1" x="939"/>
        <item m="1" x="781"/>
        <item m="1" x="823"/>
        <item m="1" x="869"/>
        <item m="1" x="1121"/>
        <item m="1" x="1459"/>
        <item m="1" x="1548"/>
        <item m="1" x="666"/>
        <item m="1" x="617"/>
        <item m="1" x="454"/>
        <item m="1" x="476"/>
        <item m="1" x="773"/>
        <item m="1" x="561"/>
        <item m="1" x="889"/>
        <item m="1" x="1425"/>
        <item m="1" x="766"/>
        <item m="1" x="558"/>
        <item m="1" x="1317"/>
        <item m="1" x="435"/>
        <item m="1" x="1443"/>
        <item m="1" x="1518"/>
        <item m="1" x="1582"/>
        <item m="1" x="1457"/>
        <item m="1" x="700"/>
        <item m="1" x="477"/>
        <item m="1" x="941"/>
        <item m="1" x="1025"/>
        <item m="1" x="1221"/>
        <item m="1" x="1189"/>
        <item m="1" x="1225"/>
        <item m="1" x="1002"/>
        <item m="1" x="1040"/>
        <item m="1" x="1481"/>
        <item m="1" x="1244"/>
        <item m="1" x="1214"/>
        <item m="1" x="1153"/>
        <item m="1" x="1226"/>
        <item m="1" x="427"/>
        <item m="1" x="432"/>
        <item m="1" x="1035"/>
        <item m="1" x="1420"/>
        <item m="1" x="990"/>
        <item m="1" x="1560"/>
        <item m="1" x="959"/>
        <item m="1" x="1135"/>
        <item m="1" x="1206"/>
        <item m="1" x="820"/>
        <item m="1" x="652"/>
        <item m="1" x="1028"/>
        <item m="1" x="714"/>
        <item m="1" x="1569"/>
        <item m="1" x="1484"/>
        <item m="1" x="1297"/>
        <item m="1" x="554"/>
        <item m="1" x="481"/>
        <item m="1" x="1054"/>
        <item m="1" x="1298"/>
        <item m="1" x="1587"/>
        <item m="1" x="933"/>
        <item m="1" x="1534"/>
        <item m="1" x="468"/>
        <item m="1" x="582"/>
        <item m="1" x="894"/>
        <item m="1" x="985"/>
        <item m="1" x="1414"/>
        <item m="1" x="738"/>
        <item m="1" x="1417"/>
        <item m="1" x="834"/>
        <item m="1" x="1406"/>
        <item m="1" x="1570"/>
        <item m="1" x="498"/>
        <item m="1" x="1554"/>
        <item m="1" x="445"/>
        <item m="1" x="1307"/>
        <item m="1" x="925"/>
        <item m="1" x="756"/>
        <item m="1" x="719"/>
        <item m="1" x="863"/>
        <item m="1" x="462"/>
        <item m="1" x="1547"/>
        <item m="1" x="546"/>
        <item m="1" x="567"/>
        <item m="1" x="1440"/>
        <item m="1" x="1519"/>
        <item m="1" x="1033"/>
        <item m="1" x="1174"/>
        <item m="1" x="875"/>
        <item m="1" x="988"/>
        <item m="1" x="1137"/>
        <item m="1" x="1254"/>
        <item m="1" x="841"/>
        <item m="1" x="1117"/>
        <item m="1" x="936"/>
        <item m="1" x="1573"/>
        <item m="1" x="426"/>
        <item m="1" x="865"/>
        <item m="1" x="806"/>
        <item m="1" x="767"/>
        <item m="1" x="1561"/>
        <item m="1" x="1379"/>
        <item m="1" x="1510"/>
        <item m="1" x="523"/>
        <item m="1" x="1521"/>
        <item m="1" x="1508"/>
        <item m="1" x="1385"/>
        <item m="1" x="620"/>
        <item m="1" x="989"/>
        <item m="1" x="1082"/>
        <item m="1" x="828"/>
        <item m="1" x="1426"/>
        <item m="1" x="1212"/>
        <item m="1" x="1232"/>
        <item m="1" x="1126"/>
        <item m="1" x="469"/>
        <item m="1" x="1299"/>
        <item m="1" x="1461"/>
        <item m="1" x="866"/>
        <item m="1" x="1580"/>
        <item m="1" x="1074"/>
        <item m="1" x="661"/>
        <item m="1" x="794"/>
        <item m="1" x="830"/>
        <item m="1" x="1489"/>
        <item m="1" x="1473"/>
        <item m="1" x="533"/>
        <item m="1" x="535"/>
        <item m="1" x="449"/>
        <item m="1" x="1409"/>
        <item m="1" x="451"/>
        <item m="1" x="868"/>
        <item m="1" x="768"/>
        <item m="1" x="1224"/>
        <item m="1" x="1167"/>
        <item m="1" x="1516"/>
        <item m="1" x="1448"/>
        <item m="1" x="940"/>
        <item m="1" x="1154"/>
        <item m="1" x="1389"/>
        <item m="1" x="502"/>
        <item m="1" x="934"/>
        <item m="1" x="864"/>
        <item m="1" x="1558"/>
        <item m="1" x="1525"/>
        <item m="1" x="956"/>
        <item m="1" x="562"/>
        <item m="1" x="857"/>
        <item m="1" x="1030"/>
        <item m="1" x="484"/>
        <item m="1" x="1320"/>
        <item m="1" x="914"/>
        <item m="1" x="724"/>
        <item m="1" x="818"/>
        <item m="1" x="1264"/>
        <item m="1" x="1563"/>
        <item m="1" x="642"/>
        <item m="1" x="1415"/>
        <item m="1" x="636"/>
        <item m="1" x="1200"/>
        <item m="1" x="972"/>
        <item m="1" x="903"/>
        <item m="1" x="625"/>
        <item m="1" x="692"/>
        <item m="1" x="480"/>
        <item m="1" x="1280"/>
        <item m="1" x="793"/>
        <item m="1" x="517"/>
        <item m="1" x="1131"/>
        <item m="1" x="1446"/>
        <item m="1" x="986"/>
        <item m="1" x="944"/>
        <item m="1" x="415"/>
        <item m="1" x="1551"/>
        <item m="1" x="801"/>
        <item m="1" x="861"/>
        <item m="1" x="1268"/>
        <item m="1" x="1545"/>
        <item m="1" x="1470"/>
        <item m="1" x="1321"/>
        <item m="1" x="1436"/>
        <item m="1" x="597"/>
        <item m="1" x="796"/>
        <item m="1" x="629"/>
        <item m="1" x="421"/>
        <item m="1" x="1034"/>
        <item m="1" x="483"/>
        <item m="1" x="705"/>
        <item m="1" x="649"/>
        <item m="1" x="595"/>
        <item m="1" x="1550"/>
        <item m="1" x="646"/>
        <item m="1" x="1248"/>
        <item m="1" x="1460"/>
        <item m="1" x="586"/>
        <item m="1" x="490"/>
        <item m="1" x="1283"/>
        <item m="1" x="1259"/>
        <item m="1" x="1300"/>
        <item m="1" x="1219"/>
        <item m="1" x="563"/>
        <item m="1" x="919"/>
        <item m="1" x="1187"/>
        <item m="1" x="1437"/>
        <item m="1" x="1031"/>
        <item m="1" x="1149"/>
        <item m="1" x="1493"/>
        <item m="1" x="905"/>
        <item m="1" x="749"/>
        <item m="1" x="982"/>
        <item m="1" x="929"/>
        <item m="1" x="859"/>
        <item m="1" x="1376"/>
        <item m="1" x="1063"/>
        <item m="1" x="1159"/>
        <item m="1" x="410"/>
        <item m="1" x="955"/>
        <item m="1" x="557"/>
        <item m="1" x="824"/>
        <item m="1" x="962"/>
        <item m="1" x="492"/>
        <item m="1" x="609"/>
        <item m="1" x="1064"/>
        <item m="1" x="1261"/>
        <item m="1" x="1531"/>
        <item m="1" x="1574"/>
        <item m="1" x="1184"/>
        <item m="1" x="532"/>
        <item m="1" x="460"/>
        <item m="1" x="1046"/>
        <item m="1" x="668"/>
        <item m="1" x="942"/>
        <item m="1" x="570"/>
        <item m="1" x="673"/>
        <item m="1" x="1100"/>
        <item m="1" x="1456"/>
        <item m="1" x="1387"/>
        <item m="1" x="803"/>
        <item m="1" x="838"/>
        <item m="1" x="1114"/>
        <item m="1" x="1544"/>
        <item m="1" x="1270"/>
        <item m="1" x="436"/>
        <item m="1" x="1498"/>
        <item m="1" x="544"/>
        <item m="1" x="1190"/>
        <item m="1" x="1235"/>
        <item m="1" x="1238"/>
        <item m="1" x="1578"/>
        <item m="1" x="471"/>
        <item m="1" x="1249"/>
        <item m="1" x="1346"/>
        <item m="1" x="1118"/>
        <item m="1" x="1288"/>
        <item m="1" x="530"/>
        <item m="1" x="922"/>
        <item m="1" x="769"/>
        <item m="1" x="1381"/>
        <item m="1" x="1476"/>
        <item m="1" x="1005"/>
        <item m="1" x="1444"/>
        <item m="1" x="1492"/>
        <item m="1" x="845"/>
        <item m="1" x="1348"/>
        <item m="1" x="1211"/>
        <item m="1" x="1494"/>
        <item m="1" x="1538"/>
        <item m="1" x="1276"/>
        <item m="1" x="886"/>
        <item m="1" x="691"/>
        <item m="1" x="1526"/>
        <item m="1" x="1073"/>
        <item m="1" x="1047"/>
        <item m="1" x="1056"/>
        <item m="1" x="1577"/>
        <item m="1" x="1301"/>
        <item m="1" x="996"/>
        <item m="1" x="1265"/>
        <item m="1" x="1242"/>
        <item m="1" x="858"/>
        <item m="1" x="759"/>
        <item m="1" x="1258"/>
        <item m="1" x="653"/>
        <item m="1" x="610"/>
        <item m="1" x="552"/>
        <item m="1" x="1539"/>
        <item m="1" x="1155"/>
        <item m="1" x="890"/>
        <item m="1" x="971"/>
        <item m="1" x="452"/>
        <item m="1" x="1528"/>
        <item m="1" x="1079"/>
        <item m="1" x="1227"/>
        <item m="1" x="675"/>
        <item m="1" x="1359"/>
        <item m="1" x="862"/>
        <item m="1" x="755"/>
        <item m="1" x="1583"/>
        <item m="1" x="885"/>
        <item m="1" x="1524"/>
        <item m="1" x="1110"/>
        <item m="1" x="786"/>
        <item m="1" x="577"/>
        <item m="1" x="520"/>
        <item m="1" x="814"/>
        <item m="1" x="511"/>
        <item m="1" x="482"/>
        <item m="1" x="499"/>
        <item m="1" x="778"/>
        <item m="1" x="623"/>
        <item m="1" x="930"/>
        <item m="1" x="987"/>
        <item m="1" x="1086"/>
        <item m="1" x="957"/>
        <item m="1" x="1290"/>
        <item m="1" x="1354"/>
        <item m="1" x="566"/>
        <item m="1" x="576"/>
        <item m="1" x="765"/>
        <item m="1" x="907"/>
        <item m="1" x="697"/>
        <item m="1" x="1250"/>
        <item m="1" x="1000"/>
        <item m="1" x="917"/>
        <item m="1" x="1050"/>
        <item m="1" x="1356"/>
        <item m="1" x="1294"/>
        <item m="1" x="1380"/>
        <item m="1" x="1136"/>
        <item m="1" x="556"/>
        <item m="1" x="1562"/>
        <item m="1" x="975"/>
        <item m="1" x="590"/>
        <item m="1" x="414"/>
        <item m="1" x="1559"/>
        <item m="1" x="1043"/>
        <item m="1" x="1010"/>
        <item m="1" x="782"/>
        <item m="1" x="662"/>
        <item m="1" x="746"/>
        <item m="1" x="900"/>
        <item m="1" x="1475"/>
        <item m="1" x="1394"/>
        <item m="1" x="770"/>
        <item m="1" x="843"/>
        <item m="1" x="850"/>
        <item m="1" x="1388"/>
        <item m="1" x="991"/>
        <item m="1" x="463"/>
        <item m="1" x="1024"/>
        <item m="1" x="1303"/>
        <item m="1" x="1429"/>
        <item m="1" x="1322"/>
        <item m="1" x="1130"/>
        <item m="1" x="1428"/>
        <item m="1" x="442"/>
        <item m="1" x="1345"/>
        <item m="1" x="424"/>
        <item m="1" x="764"/>
        <item m="1" x="428"/>
        <item m="1" x="587"/>
        <item m="1" x="677"/>
        <item m="1" x="683"/>
        <item m="1" x="1101"/>
        <item m="1" x="1355"/>
        <item m="1" x="882"/>
        <item m="1" x="453"/>
        <item m="1" x="659"/>
        <item m="1" x="447"/>
        <item m="1" x="1442"/>
        <item m="1" x="667"/>
        <item m="1" x="1003"/>
        <item m="1" x="1462"/>
        <item m="1" x="789"/>
        <item m="1" x="731"/>
        <item m="1" x="1127"/>
        <item m="1" x="684"/>
        <item m="1" x="992"/>
        <item m="1" x="1286"/>
        <item m="1" x="425"/>
        <item m="1" x="938"/>
        <item m="1" x="1057"/>
        <item m="1" x="549"/>
        <item m="1" x="891"/>
        <item m="1" x="1026"/>
        <item m="1" x="777"/>
        <item m="1" x="815"/>
        <item m="1" x="542"/>
        <item m="1" x="948"/>
        <item m="1" x="412"/>
        <item m="1" x="1084"/>
        <item m="1" x="1477"/>
        <item m="1" x="1198"/>
        <item m="1" x="1192"/>
        <item m="1" x="1091"/>
        <item m="1" x="417"/>
        <item m="1" x="1223"/>
        <item m="1" x="1266"/>
        <item m="1" x="1072"/>
        <item m="1" x="416"/>
        <item m="1" x="1423"/>
        <item m="1" x="1390"/>
        <item m="1" x="420"/>
        <item m="1" x="699"/>
        <item m="1" x="1089"/>
        <item m="1" x="1344"/>
        <item m="1" x="541"/>
        <item m="1" x="437"/>
        <item m="1" x="596"/>
        <item m="1" x="487"/>
        <item m="1" x="895"/>
        <item m="1" x="708"/>
        <item m="1" x="706"/>
        <item m="1" x="877"/>
        <item m="1" x="979"/>
        <item m="1" x="883"/>
        <item m="1" x="1080"/>
        <item m="1" x="932"/>
        <item m="1" x="797"/>
        <item m="1" x="912"/>
        <item m="1" x="1405"/>
        <item m="1" x="1500"/>
        <item m="1" x="757"/>
        <item m="1" x="1480"/>
        <item m="1" x="522"/>
        <item m="1" x="1469"/>
        <item m="1" x="1166"/>
        <item m="1" x="1337"/>
        <item m="1" x="1416"/>
        <item m="1" x="1096"/>
        <item m="1" x="1308"/>
        <item m="1" x="600"/>
        <item m="1" x="583"/>
        <item m="1" x="1205"/>
        <item m="1" x="1177"/>
        <item m="1" x="739"/>
        <item m="1" x="1575"/>
        <item m="1" x="1147"/>
        <item m="1" x="887"/>
        <item m="1" x="961"/>
        <item m="1" x="920"/>
        <item m="1" x="1430"/>
        <item m="1" x="1434"/>
        <item m="1" x="430"/>
        <item m="1" x="1314"/>
        <item m="1" x="1360"/>
        <item m="1" x="479"/>
        <item m="1" x="851"/>
        <item m="1" x="842"/>
        <item m="1" x="1349"/>
        <item m="1" x="1048"/>
        <item m="1" x="1252"/>
        <item m="1" x="918"/>
        <item m="1" x="1269"/>
        <item m="1" x="457"/>
        <item m="1" x="580"/>
        <item m="1" x="1549"/>
        <item m="1" x="1169"/>
        <item m="1" x="1541"/>
        <item m="1" x="461"/>
        <item m="1" x="721"/>
        <item m="1" x="537"/>
        <item m="1" x="470"/>
        <item m="1" x="485"/>
        <item m="1" x="1037"/>
        <item m="1" x="1070"/>
        <item m="1" x="742"/>
        <item m="1" x="1160"/>
        <item m="1" x="1478"/>
        <item m="1" x="829"/>
        <item m="1" x="908"/>
        <item m="1" x="1058"/>
        <item m="1" x="1546"/>
        <item m="1" x="723"/>
        <item m="1" x="735"/>
        <item m="1" x="745"/>
        <item m="1" x="1366"/>
        <item m="1" x="1502"/>
        <item m="1" x="419"/>
        <item m="1" x="1246"/>
        <item m="1" x="1542"/>
        <item m="1" x="643"/>
        <item m="1" x="958"/>
        <item m="1" x="1579"/>
        <item m="1" x="1485"/>
        <item m="1" x="632"/>
        <item m="1" x="744"/>
        <item m="1" x="831"/>
        <item m="1" x="1156"/>
        <item m="1" x="1353"/>
        <item m="1" x="588"/>
        <item m="1" x="1059"/>
        <item m="1" x="584"/>
        <item m="1" x="553"/>
        <item m="1" x="501"/>
        <item m="1" x="1472"/>
        <item m="1" x="1065"/>
        <item m="1" x="1513"/>
        <item m="1" x="906"/>
        <item m="1" x="1530"/>
        <item m="1" x="1282"/>
        <item m="1" x="571"/>
        <item m="1" x="1386"/>
        <item m="1" x="1400"/>
        <item m="1" x="1060"/>
        <item m="1" x="1435"/>
        <item m="1" x="1273"/>
        <item m="1" x="1138"/>
        <item m="1" x="455"/>
        <item m="1" x="1284"/>
        <item m="1" x="1016"/>
        <item m="1" x="949"/>
        <item m="1" x="1292"/>
        <item m="1" x="876"/>
        <item m="1" x="510"/>
        <item m="1" x="682"/>
        <item m="1" x="459"/>
        <item m="1" x="808"/>
        <item m="1" x="1186"/>
        <item m="1" x="771"/>
        <item m="1" x="634"/>
        <item m="1" x="849"/>
        <item m="1" x="527"/>
        <item m="1" x="779"/>
        <item m="1" x="650"/>
        <item m="1" x="1001"/>
        <item m="1" x="1588"/>
        <item m="1" x="1042"/>
        <item m="1" x="638"/>
        <item m="1" x="915"/>
        <item m="1" x="621"/>
        <item m="1" x="674"/>
        <item m="1" x="966"/>
        <item m="1" x="1234"/>
        <item m="1" x="951"/>
        <item m="1" x="1401"/>
        <item m="1" x="963"/>
        <item m="1" x="1197"/>
        <item m="1" x="512"/>
        <item m="1" x="995"/>
        <item m="1" x="635"/>
        <item m="1" x="565"/>
        <item m="1" x="1291"/>
        <item m="1" x="606"/>
        <item m="1" x="1315"/>
        <item m="1" x="507"/>
        <item m="1" x="1132"/>
        <item m="1" x="1139"/>
        <item m="1" x="543"/>
        <item m="1" x="1061"/>
        <item m="1" x="439"/>
        <item m="1" x="1262"/>
        <item m="1" x="967"/>
        <item m="1" x="1188"/>
        <item m="1" x="1157"/>
        <item m="1" x="1377"/>
        <item m="1" x="1150"/>
        <item m="1" x="728"/>
        <item m="1" x="1229"/>
        <item m="1" x="1363"/>
        <item m="1" x="1053"/>
        <item m="1" x="1185"/>
        <item m="1" x="518"/>
        <item m="1" x="1351"/>
        <item m="1" x="1008"/>
        <item m="1" x="873"/>
        <item m="1" x="1257"/>
        <item m="1" x="783"/>
        <item m="1" x="1106"/>
        <item m="1" x="640"/>
        <item m="1" x="736"/>
        <item m="1" x="1133"/>
        <item m="1" x="902"/>
        <item m="1" x="446"/>
        <item m="1" x="780"/>
        <item m="1" x="1260"/>
        <item m="1" x="1362"/>
        <item m="1" x="465"/>
        <item m="1" x="750"/>
        <item m="1" x="685"/>
        <item m="1" x="1018"/>
        <item m="1" x="1111"/>
        <item m="1" x="551"/>
        <item m="1" x="1533"/>
        <item m="1" x="516"/>
        <item m="1" x="589"/>
        <item m="1" x="1370"/>
        <item m="1" x="878"/>
        <item m="1" x="892"/>
        <item m="1" x="946"/>
        <item m="1" x="521"/>
        <item m="1" x="800"/>
        <item m="1" x="1195"/>
        <item m="1" x="1107"/>
        <item m="1" x="897"/>
        <item m="1" x="844"/>
        <item m="1" x="474"/>
        <item m="1" x="712"/>
        <item m="1" x="1176"/>
        <item m="1" x="810"/>
        <item m="1" x="973"/>
        <item m="1" x="910"/>
        <item m="1" x="1092"/>
        <item m="1" x="456"/>
        <item m="1" x="937"/>
        <item m="1" x="611"/>
        <item m="1" x="1014"/>
        <item m="1" x="1140"/>
        <item m="1" x="1216"/>
        <item m="1" x="1151"/>
        <item m="1" x="1112"/>
        <item m="1" x="1038"/>
        <item m="1" x="1449"/>
        <item m="1" x="1341"/>
        <item m="1" x="592"/>
        <item m="1" x="1333"/>
        <item m="1" x="787"/>
        <item m="1" x="1097"/>
        <item m="1" x="503"/>
        <item m="1" x="1076"/>
        <item m="1" x="943"/>
        <item m="1" x="1375"/>
        <item m="1" x="529"/>
        <item m="1" x="1586"/>
        <item m="1" x="568"/>
        <item m="1" x="508"/>
        <item m="1" x="1078"/>
        <item m="1" x="1278"/>
        <item m="1" x="1181"/>
        <item m="1" x="467"/>
        <item m="1" x="619"/>
        <item m="1" x="1407"/>
        <item m="1" x="1347"/>
        <item m="1" x="602"/>
        <item m="1" x="575"/>
        <item m="1" x="870"/>
        <item m="1" x="491"/>
        <item m="1" x="1098"/>
        <item m="1" x="531"/>
        <item m="1" x="701"/>
        <item m="1" x="998"/>
        <item m="1" x="1529"/>
        <item m="1" x="569"/>
        <item m="1" x="839"/>
        <item m="1" x="686"/>
        <item m="1" x="848"/>
        <item m="1" x="1402"/>
        <item m="1" x="1285"/>
        <item m="1" x="747"/>
        <item m="1" x="500"/>
        <item m="1" x="1450"/>
        <item m="1" x="613"/>
        <item m="1" x="1395"/>
        <item m="1" x="952"/>
        <item m="1" x="1336"/>
        <item m="1" x="695"/>
        <item m="1" x="867"/>
        <item m="1" x="1352"/>
        <item m="1" x="1540"/>
        <item m="1" x="1316"/>
        <item m="1" x="715"/>
        <item m="1" x="658"/>
        <item m="1" x="1361"/>
        <item m="1" x="1125"/>
        <item m="1" x="969"/>
        <item m="1" x="1393"/>
        <item m="1" x="441"/>
        <item m="1" x="438"/>
        <item m="1" x="1113"/>
        <item m="1" x="1253"/>
        <item m="1" x="1208"/>
        <item m="1" x="1391"/>
        <item m="1" x="916"/>
        <item m="1" x="663"/>
        <item m="1" x="737"/>
        <item m="1" x="1267"/>
        <item m="1" x="819"/>
        <item m="1" x="1049"/>
        <item m="1" x="1464"/>
        <item m="1" x="702"/>
        <item m="1" x="1039"/>
        <item m="1" x="423"/>
        <item m="1" x="75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3"/>
        <item x="404"/>
        <item x="405"/>
        <item x="406"/>
        <item x="407"/>
        <item m="1" x="740"/>
        <item m="1" x="1501"/>
        <item m="1" x="443"/>
        <item m="1" x="40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9">
    <i>
      <x/>
    </i>
    <i r="1">
      <x v="1578"/>
    </i>
    <i r="2">
      <x v="8"/>
    </i>
    <i r="1">
      <x v="1580"/>
    </i>
    <i r="2">
      <x v="8"/>
    </i>
    <i r="1">
      <x v="1581"/>
    </i>
    <i r="2">
      <x v="3"/>
    </i>
    <i r="2">
      <x v="4"/>
    </i>
    <i r="1">
      <x v="1582"/>
    </i>
    <i r="2">
      <x v="8"/>
    </i>
    <i r="2">
      <x v="11"/>
    </i>
    <i r="1">
      <x v="1583"/>
    </i>
    <i r="2">
      <x v="8"/>
    </i>
    <i r="1">
      <x v="1584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4" totalsRowShown="0" totalsRowDxfId="23">
  <autoFilter ref="A1:C132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584" totalsRowShown="0">
  <autoFilter ref="A1:S4584" xr:uid="{678037D6-A574-4B81-B392-ED766472D9FE}"/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1414</v>
      </c>
    </row>
    <row r="5" spans="1:2">
      <c r="A5" s="111" t="s">
        <v>369</v>
      </c>
      <c r="B5" s="150">
        <v>1335</v>
      </c>
    </row>
    <row r="6" spans="1:2">
      <c r="A6" s="111" t="s">
        <v>404</v>
      </c>
      <c r="B6" s="150">
        <v>1</v>
      </c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22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1044</v>
      </c>
    </row>
    <row r="15" spans="1:2">
      <c r="A15" s="111" t="s">
        <v>369</v>
      </c>
      <c r="B15" s="150">
        <v>1017</v>
      </c>
    </row>
    <row r="16" spans="1:2">
      <c r="A16" s="111" t="s">
        <v>370</v>
      </c>
      <c r="B16" s="150">
        <v>5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1509</v>
      </c>
    </row>
    <row r="20" spans="1:2">
      <c r="A20" s="111" t="s">
        <v>369</v>
      </c>
      <c r="B20" s="150">
        <v>1489</v>
      </c>
    </row>
    <row r="21" spans="1:2">
      <c r="A21" s="111" t="s">
        <v>370</v>
      </c>
      <c r="B21" s="150">
        <v>1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11</v>
      </c>
    </row>
    <row r="24" spans="1:2">
      <c r="A24" s="17" t="s">
        <v>570</v>
      </c>
      <c r="B24" s="150">
        <v>512</v>
      </c>
    </row>
    <row r="25" spans="1:2">
      <c r="A25" s="111" t="s">
        <v>369</v>
      </c>
      <c r="B25" s="150">
        <v>503</v>
      </c>
    </row>
    <row r="26" spans="1:2">
      <c r="A26" s="111" t="s">
        <v>370</v>
      </c>
      <c r="B26" s="150">
        <v>1</v>
      </c>
    </row>
    <row r="27" spans="1:2">
      <c r="A27" s="111" t="s">
        <v>377</v>
      </c>
      <c r="B27" s="150">
        <v>8</v>
      </c>
    </row>
    <row r="28" spans="1:2">
      <c r="A28" s="17" t="s">
        <v>381</v>
      </c>
      <c r="B28" s="150">
        <v>4479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44</v>
      </c>
      <c r="C5"/>
      <c r="D5"/>
      <c r="E5"/>
    </row>
    <row r="6" spans="1:6">
      <c r="A6" s="111" t="s">
        <v>6575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6607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6609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1</v>
      </c>
      <c r="C11"/>
      <c r="D11"/>
    </row>
    <row r="12" spans="1:6">
      <c r="A12" s="112" t="s">
        <v>404</v>
      </c>
      <c r="B12" s="150">
        <v>1</v>
      </c>
      <c r="C12" s="126"/>
      <c r="D12"/>
    </row>
    <row r="13" spans="1:6">
      <c r="A13" s="111" t="s">
        <v>6629</v>
      </c>
      <c r="B13" s="150">
        <v>35</v>
      </c>
      <c r="C13"/>
      <c r="D13"/>
    </row>
    <row r="14" spans="1:6">
      <c r="A14" s="112" t="s">
        <v>370</v>
      </c>
      <c r="B14" s="150">
        <v>13</v>
      </c>
      <c r="C14" s="126"/>
      <c r="D14"/>
    </row>
    <row r="15" spans="1:6">
      <c r="A15" s="112" t="s">
        <v>375</v>
      </c>
      <c r="B15" s="150">
        <v>22</v>
      </c>
      <c r="C15"/>
      <c r="D15" s="124"/>
      <c r="E15" s="124"/>
    </row>
    <row r="16" spans="1:6">
      <c r="A16" s="111" t="s">
        <v>6630</v>
      </c>
      <c r="B16" s="150">
        <v>4</v>
      </c>
      <c r="C16"/>
      <c r="D16"/>
    </row>
    <row r="17" spans="1:5">
      <c r="A17" s="112" t="s">
        <v>370</v>
      </c>
      <c r="B17" s="150">
        <v>4</v>
      </c>
      <c r="C17"/>
      <c r="D17" s="124"/>
      <c r="E17" s="124"/>
    </row>
    <row r="18" spans="1:5">
      <c r="A18" s="111" t="s">
        <v>6640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7" t="s">
        <v>4327</v>
      </c>
      <c r="B20" s="150">
        <v>227</v>
      </c>
      <c r="C20" s="126"/>
    </row>
    <row r="21" spans="1:5" ht="17.25" customHeight="1">
      <c r="A21" s="111" t="s">
        <v>4413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5479</v>
      </c>
      <c r="B24" s="150">
        <v>178</v>
      </c>
    </row>
    <row r="25" spans="1:5">
      <c r="A25" s="112" t="s">
        <v>369</v>
      </c>
      <c r="B25" s="150">
        <v>177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11" t="s">
        <v>6161</v>
      </c>
      <c r="B27" s="150">
        <v>17</v>
      </c>
    </row>
    <row r="28" spans="1:5">
      <c r="A28" s="112" t="s">
        <v>369</v>
      </c>
      <c r="B28" s="150">
        <v>14</v>
      </c>
    </row>
    <row r="29" spans="1:5">
      <c r="A29" s="112" t="s">
        <v>692</v>
      </c>
      <c r="B29" s="150">
        <v>3</v>
      </c>
    </row>
    <row r="30" spans="1:5">
      <c r="A30" s="111" t="s">
        <v>6437</v>
      </c>
      <c r="B30" s="150">
        <v>21</v>
      </c>
    </row>
    <row r="31" spans="1:5">
      <c r="A31" s="112" t="s">
        <v>369</v>
      </c>
      <c r="B31" s="150">
        <v>20</v>
      </c>
      <c r="C31" s="30"/>
    </row>
    <row r="32" spans="1:5">
      <c r="A32" s="112" t="s">
        <v>692</v>
      </c>
      <c r="B32" s="150">
        <v>1</v>
      </c>
      <c r="C32" s="30"/>
    </row>
    <row r="33" spans="1:3">
      <c r="A33" s="17" t="s">
        <v>381</v>
      </c>
      <c r="B33" s="150">
        <v>271</v>
      </c>
      <c r="C33" s="30"/>
    </row>
    <row r="34" spans="1:3">
      <c r="C34" s="30"/>
    </row>
    <row r="35" spans="1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4"/>
  <sheetViews>
    <sheetView topLeftCell="A1308" workbookViewId="0">
      <selection activeCell="D1343" sqref="D134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  <row r="1323" spans="1:3">
      <c r="A1323" t="s">
        <v>6573</v>
      </c>
      <c r="B1323">
        <v>1</v>
      </c>
      <c r="C1323" s="149" t="s">
        <v>4</v>
      </c>
    </row>
    <row r="1324" spans="1:3">
      <c r="A1324" t="s">
        <v>6600</v>
      </c>
      <c r="B1324">
        <v>24</v>
      </c>
      <c r="C1324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584"/>
  <sheetViews>
    <sheetView tabSelected="1" zoomScale="105" zoomScaleNormal="105" workbookViewId="0">
      <selection activeCell="I33" sqref="I3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225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200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200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200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200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200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200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200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200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200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200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200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196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193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193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193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193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193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193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193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193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193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193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193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193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193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193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193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193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193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193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193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193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193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193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193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193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193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193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193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193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193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193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193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193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193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193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193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193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193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193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193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193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193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192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192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192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192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192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192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192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192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192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192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192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192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192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192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192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192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192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192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192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192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192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192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192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192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192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192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192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192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192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192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192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192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192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192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192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192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192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192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192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192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192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192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192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192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192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192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192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192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192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192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192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192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192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192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192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192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192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192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192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191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191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191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191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191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190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190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188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188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187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184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184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184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184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184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184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184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184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184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184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184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184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184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184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184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184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184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184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184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184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184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183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183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183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183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183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178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178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178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173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173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173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173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173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173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173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173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173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173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173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173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173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173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173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173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173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173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169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169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169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164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163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163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163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163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163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163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163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163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163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163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163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163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149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149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148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148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148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138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123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123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123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123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123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123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123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123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123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123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123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123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123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123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123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123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123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123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123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123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120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120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120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120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119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119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119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119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119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119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119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119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119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119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119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119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119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119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119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119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119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119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119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119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119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119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119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119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119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119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119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119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119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119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118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118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118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118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118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118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118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118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118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118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118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118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118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118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118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118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118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118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114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114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114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114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114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114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114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114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114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114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114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114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114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114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114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114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114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114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114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114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114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114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114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114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114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114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114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114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114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114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114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114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114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114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114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114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114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114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114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114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114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114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114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114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114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114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114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114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114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114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114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114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114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114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114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114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114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114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114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114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114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114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114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114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114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114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114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114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114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114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114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114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114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114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114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114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114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114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114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114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114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114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114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114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114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114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114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114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114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114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114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114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108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108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103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103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98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98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98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98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98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98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98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98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98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98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98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98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98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98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98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98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98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98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98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98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98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98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98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98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98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98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98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98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98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98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98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98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98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98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98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98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98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98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98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98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98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98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98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98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98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98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98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98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98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98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98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98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98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98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98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98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98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98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98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98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98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98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98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98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98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98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98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98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98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98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98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98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98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98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98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98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98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98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98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98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98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98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98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98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98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98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98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98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98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98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98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98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98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98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98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98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98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98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98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98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98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98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98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98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98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95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95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95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95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96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93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93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88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88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88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88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88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88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88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88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88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88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88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86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86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86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86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86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86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86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86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86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86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86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86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86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86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86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86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86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86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86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86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86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86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86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86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86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86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86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86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86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86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86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86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86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86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86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86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86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86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86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86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86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86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86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86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86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86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86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86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86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86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86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86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86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86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86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86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86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86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86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86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86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86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86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86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86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86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86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86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86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86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86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86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86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86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86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86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86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86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86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86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86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86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86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86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86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86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86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86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86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86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86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86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86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86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86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86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86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86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86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86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86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86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86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86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86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86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86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86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86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86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86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86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86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86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86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86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86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86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86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86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86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86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86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86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86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86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86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86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86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86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86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86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86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86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86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86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86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86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86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86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86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86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86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86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86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86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86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86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86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86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86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86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86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86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86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86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86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86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86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86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86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86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86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86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86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86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86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86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86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86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86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86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86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86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86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86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86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86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86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86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86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86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86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86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86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86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86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86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86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86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86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86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86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86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86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86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86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86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86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86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86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86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86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86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86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86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86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86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86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86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86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86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86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86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86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86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86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86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86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86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86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86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86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86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86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86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86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86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86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86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86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86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86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86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86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86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86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86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86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86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86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86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86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86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86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86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86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86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86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86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86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86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86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86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86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86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86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86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86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86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86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86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86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86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86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86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86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86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86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86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86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86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86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86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86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86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86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86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86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86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86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86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86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86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86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86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86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86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86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86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86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86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86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86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86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86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86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86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86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86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86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86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86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86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86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86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86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86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86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86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86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86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86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86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86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86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86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86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86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86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86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86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86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86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86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86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86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86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86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86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86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86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86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86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86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84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84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84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84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84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84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84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84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84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84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83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83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83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82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82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82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82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82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82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81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81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79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78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78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78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77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77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77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75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75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75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75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75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75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75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72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72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72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72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72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72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72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72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72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72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72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72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72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72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72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72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72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72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72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72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72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72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72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72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72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72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72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72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72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71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71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69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69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69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69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69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69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69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69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69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69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67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67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67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67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67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67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67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67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66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66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66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66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66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66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66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66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66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66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66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66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66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66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66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66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66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64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64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64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64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64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64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64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64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64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64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64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64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64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64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64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64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64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64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64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64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64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64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64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64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64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64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64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64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64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64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64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64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64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64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64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64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64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64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64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64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64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64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64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64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64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64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64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64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64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64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64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64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64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64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64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64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64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64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64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64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64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64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64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64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64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64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64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64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64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64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64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64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64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64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64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64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64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64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64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64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64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64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64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64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64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64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64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64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64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64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64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64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64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64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64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64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64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64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64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64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64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64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64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64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64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64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64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64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64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64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64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64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64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64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64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64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64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64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64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64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64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64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64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64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64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64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64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64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64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64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64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64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64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64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64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64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64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64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64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64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64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64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64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64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64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64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64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64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64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64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64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64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64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64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64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64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64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64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64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64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64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64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64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64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64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64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64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64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64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64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64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64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64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64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64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64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64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64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64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64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64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64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64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64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64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64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64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64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64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64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64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64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64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64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64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64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64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64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64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64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64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64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64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64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64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64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64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64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64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64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64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64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64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64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64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64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64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64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64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64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64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64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64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64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64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64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64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64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64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64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64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64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64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64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64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64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64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64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64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64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64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64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64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64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64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64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64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64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64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64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64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64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64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64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64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64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64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64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64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64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64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64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64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64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64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64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64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64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64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64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64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64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64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64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64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64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64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64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64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64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64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64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64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64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64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64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64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64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64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64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64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64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64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64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64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63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63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63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63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63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63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63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63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63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63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63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63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63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63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63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63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63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63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63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63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63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63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63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63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63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63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63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63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63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63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63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63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63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63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63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63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63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63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63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63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63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63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63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63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63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63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63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63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63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63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63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63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63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63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63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63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63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63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63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63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63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63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63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63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63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63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63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63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63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63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63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63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63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63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63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63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63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63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63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63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63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63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63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63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63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63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63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63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63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63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63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63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63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63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63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63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63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63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63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63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63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63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63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63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63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63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63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63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63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63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63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63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63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63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63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63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63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63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63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63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63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63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63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63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63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63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63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63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63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63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63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63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63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63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63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63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63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63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63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63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63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63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63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63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63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63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63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63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63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63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63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63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63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63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63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63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63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63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63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63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63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63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63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63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63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63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63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63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63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63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63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63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63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63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63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63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63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63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63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63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63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63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63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63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63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63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63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63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63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63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63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63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63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63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63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63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63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63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63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63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63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63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60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60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60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60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60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60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60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60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60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60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60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60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60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60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60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60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60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60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60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60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60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60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60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60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60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60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60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60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60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60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60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60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60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60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60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60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60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60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60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60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60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60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60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59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59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58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58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58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58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58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58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58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57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57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57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56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56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56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56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56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56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56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56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56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56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56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56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56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56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56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56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56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56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56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56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56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56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56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56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56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56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56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56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56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56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56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56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56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56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56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56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56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56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56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56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56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56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56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56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56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56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56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56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56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56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56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56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56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56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56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56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56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56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56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56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56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56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56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56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56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56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56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56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56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56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56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56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56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56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56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56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56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56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56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56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56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56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56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56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56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56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56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56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56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56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56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56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56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56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55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55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55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55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55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55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55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55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55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55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55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55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55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55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55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55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55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55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55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54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54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54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54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54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54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54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54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54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54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54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54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54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54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54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54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54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54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53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53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53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53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53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53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53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53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53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53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53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53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50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50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50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50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50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50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50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50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50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50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50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50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50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50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50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50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50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50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50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50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50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50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50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50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50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50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50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50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50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49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49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49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49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49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49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49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49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49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49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49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49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49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49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49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49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49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49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49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49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49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49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49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49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49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49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49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49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49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49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49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49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49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49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49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48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48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48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48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48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48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48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48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48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48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48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48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48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48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48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48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48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48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48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48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48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48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48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48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48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48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48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48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48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48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48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48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48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48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48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48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48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48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48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48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48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48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48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48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48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48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48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48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48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48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48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48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48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48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48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48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48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48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48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48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48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48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48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48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48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48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48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48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48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48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48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48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48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48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48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48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48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48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48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48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48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48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48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48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48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48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48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48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48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48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48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48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48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48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48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48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48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48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48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48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48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48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48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48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48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48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48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48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48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48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48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48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48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48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48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48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48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48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48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48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48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48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48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48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48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48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48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48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48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48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48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48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48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48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48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48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48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48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48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48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48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48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48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48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48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48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48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48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48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48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48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48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48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48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48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48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48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48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48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48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48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48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48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48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48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48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48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48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48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48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48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48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48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48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48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48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48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48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48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48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48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48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48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48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48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48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48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48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48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48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48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48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48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48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48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48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48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48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48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48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48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48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48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48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48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48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48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48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48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48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48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48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48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48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48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48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48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48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48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48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48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48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48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48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48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48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48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48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48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48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48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48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48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48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48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48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46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46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46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46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46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46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46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46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46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46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46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46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46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46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46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46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45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45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45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45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45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45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45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45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45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45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45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45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45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45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45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45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45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45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45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45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45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45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45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45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45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45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45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45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45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45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45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45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45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45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45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45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45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45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45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44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44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44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44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44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44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44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44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44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44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44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44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44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44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44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44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44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44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43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43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43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43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43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43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43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43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43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43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43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43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43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43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43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43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43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43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43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43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43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43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43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43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43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43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43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43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43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43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43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43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43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43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43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43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43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43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43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43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43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43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43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43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43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43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43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43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43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43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43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43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43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43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43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43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43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43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43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43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43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43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43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43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43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43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43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43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43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43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43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43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43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43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43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43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43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43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43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43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43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43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43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43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43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43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43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43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43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43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43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43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43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43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43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43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43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43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43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43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43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43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43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43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43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43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43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43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43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43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43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43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43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43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43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39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39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39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39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39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39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39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39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39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39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39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39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38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38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38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38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38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38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38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38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38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38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38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38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38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38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38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38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38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38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38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38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38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38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38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38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38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38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38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38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38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38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38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35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35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35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35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35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35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35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35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35</v>
      </c>
      <c r="R4171" s="146" t="s">
        <v>780</v>
      </c>
      <c r="S4171" s="140"/>
    </row>
    <row r="4172" spans="1:19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34</v>
      </c>
      <c r="R4172" s="146" t="s">
        <v>6274</v>
      </c>
      <c r="S4172" s="140"/>
    </row>
    <row r="4173" spans="1:19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33</v>
      </c>
      <c r="R4173" s="146" t="s">
        <v>489</v>
      </c>
      <c r="S4173" s="150"/>
    </row>
    <row r="4174" spans="1:19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33</v>
      </c>
      <c r="R4174" s="146" t="s">
        <v>489</v>
      </c>
      <c r="S4174" s="150"/>
    </row>
    <row r="4175" spans="1:19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33</v>
      </c>
      <c r="R4175" s="146" t="s">
        <v>489</v>
      </c>
      <c r="S4175" s="150"/>
    </row>
    <row r="4176" spans="1:19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33</v>
      </c>
      <c r="R4176" s="146" t="s">
        <v>489</v>
      </c>
      <c r="S4176" s="150"/>
    </row>
    <row r="4177" spans="1:19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33</v>
      </c>
      <c r="R4177" s="146" t="s">
        <v>489</v>
      </c>
      <c r="S4177" s="150"/>
    </row>
    <row r="4178" spans="1:19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33</v>
      </c>
      <c r="R4178" s="146" t="s">
        <v>489</v>
      </c>
      <c r="S4178" s="150"/>
    </row>
    <row r="4179" spans="1:19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32</v>
      </c>
      <c r="R4179" s="146" t="s">
        <v>410</v>
      </c>
      <c r="S4179" s="150"/>
    </row>
    <row r="4180" spans="1:19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32</v>
      </c>
      <c r="R4180" s="146" t="s">
        <v>410</v>
      </c>
      <c r="S4180" s="150"/>
    </row>
    <row r="4181" spans="1:19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32</v>
      </c>
      <c r="R4181" s="146" t="s">
        <v>410</v>
      </c>
      <c r="S4181" s="150"/>
    </row>
    <row r="4182" spans="1:19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32</v>
      </c>
      <c r="R4182" s="146" t="s">
        <v>410</v>
      </c>
      <c r="S4182" s="150"/>
    </row>
    <row r="4183" spans="1:19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32</v>
      </c>
      <c r="R4183" s="146" t="s">
        <v>410</v>
      </c>
      <c r="S4183" s="150"/>
    </row>
    <row r="4184" spans="1:19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32</v>
      </c>
      <c r="R4184" s="146" t="s">
        <v>410</v>
      </c>
      <c r="S4184" s="150"/>
    </row>
    <row r="4185" spans="1:19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32</v>
      </c>
      <c r="R4185" s="146" t="s">
        <v>410</v>
      </c>
      <c r="S4185" s="150"/>
    </row>
    <row r="4186" spans="1:19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32</v>
      </c>
      <c r="R4186" s="146" t="s">
        <v>410</v>
      </c>
      <c r="S4186" s="150"/>
    </row>
    <row r="4187" spans="1:19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32</v>
      </c>
      <c r="R4187" s="146" t="s">
        <v>410</v>
      </c>
      <c r="S4187" s="150"/>
    </row>
    <row r="4188" spans="1:19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32</v>
      </c>
      <c r="R4188" s="146" t="s">
        <v>410</v>
      </c>
      <c r="S4188" s="150"/>
    </row>
    <row r="4189" spans="1:19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32</v>
      </c>
      <c r="R4189" s="146" t="s">
        <v>410</v>
      </c>
      <c r="S4189" s="150"/>
    </row>
    <row r="4190" spans="1:19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32</v>
      </c>
      <c r="R4190" s="146" t="s">
        <v>410</v>
      </c>
      <c r="S4190" s="150"/>
    </row>
    <row r="4191" spans="1:19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32</v>
      </c>
      <c r="R4191" s="146" t="s">
        <v>410</v>
      </c>
      <c r="S4191" s="150"/>
    </row>
    <row r="4192" spans="1:19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32</v>
      </c>
      <c r="R4192" s="146" t="s">
        <v>410</v>
      </c>
      <c r="S4192" s="150"/>
    </row>
    <row r="4193" spans="1:19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32</v>
      </c>
      <c r="R4193" s="146" t="s">
        <v>410</v>
      </c>
      <c r="S4193" s="150"/>
    </row>
    <row r="4194" spans="1:19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32</v>
      </c>
      <c r="R4194" s="146" t="s">
        <v>410</v>
      </c>
      <c r="S4194" s="150"/>
    </row>
    <row r="4195" spans="1:19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32</v>
      </c>
      <c r="R4195" s="146" t="s">
        <v>410</v>
      </c>
      <c r="S4195" s="150"/>
    </row>
    <row r="4196" spans="1:19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32</v>
      </c>
      <c r="R4196" s="146" t="s">
        <v>6306</v>
      </c>
      <c r="S4196" s="150"/>
    </row>
    <row r="4197" spans="1:19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32</v>
      </c>
      <c r="R4197" s="146" t="s">
        <v>6306</v>
      </c>
      <c r="S4197" s="150"/>
    </row>
    <row r="4198" spans="1:19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32</v>
      </c>
      <c r="R4198" s="146" t="s">
        <v>6306</v>
      </c>
      <c r="S4198" s="150"/>
    </row>
    <row r="4199" spans="1:19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31</v>
      </c>
      <c r="R4199" s="146" t="s">
        <v>780</v>
      </c>
      <c r="S4199" s="150"/>
    </row>
    <row r="4200" spans="1:19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31</v>
      </c>
      <c r="R4200" s="146" t="s">
        <v>780</v>
      </c>
      <c r="S4200" s="150"/>
    </row>
    <row r="4201" spans="1:19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31</v>
      </c>
      <c r="R4201" s="146" t="s">
        <v>780</v>
      </c>
      <c r="S4201" s="150"/>
    </row>
    <row r="4202" spans="1:19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31</v>
      </c>
      <c r="R4202" s="146" t="s">
        <v>780</v>
      </c>
      <c r="S4202" s="150"/>
    </row>
    <row r="4203" spans="1:19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31</v>
      </c>
      <c r="R4203" s="146" t="s">
        <v>780</v>
      </c>
      <c r="S4203" s="150"/>
    </row>
    <row r="4204" spans="1:19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31</v>
      </c>
      <c r="R4204" s="146" t="s">
        <v>780</v>
      </c>
      <c r="S4204" s="150"/>
    </row>
    <row r="4205" spans="1:19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31</v>
      </c>
      <c r="R4205" s="146" t="s">
        <v>780</v>
      </c>
      <c r="S4205" s="150"/>
    </row>
    <row r="4206" spans="1:19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31</v>
      </c>
      <c r="R4206" s="146" t="s">
        <v>780</v>
      </c>
      <c r="S4206" s="150"/>
    </row>
    <row r="4207" spans="1:19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31</v>
      </c>
      <c r="R4207" s="146" t="s">
        <v>780</v>
      </c>
      <c r="S4207" s="150"/>
    </row>
    <row r="4208" spans="1:19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31</v>
      </c>
      <c r="R4208" s="146" t="s">
        <v>780</v>
      </c>
      <c r="S4208" s="150"/>
    </row>
    <row r="4209" spans="1:19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31</v>
      </c>
      <c r="R4209" s="146" t="s">
        <v>780</v>
      </c>
      <c r="S4209" s="150"/>
    </row>
    <row r="4210" spans="1:19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31</v>
      </c>
      <c r="R4210" s="146" t="s">
        <v>780</v>
      </c>
      <c r="S4210" s="150"/>
    </row>
    <row r="4211" spans="1:19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30</v>
      </c>
      <c r="R4211" s="146" t="s">
        <v>780</v>
      </c>
      <c r="S4211" s="150"/>
    </row>
    <row r="4212" spans="1:19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30</v>
      </c>
      <c r="R4212" s="146" t="s">
        <v>780</v>
      </c>
      <c r="S4212" s="150"/>
    </row>
    <row r="4213" spans="1:19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30</v>
      </c>
      <c r="R4213" s="146" t="s">
        <v>780</v>
      </c>
      <c r="S4213" s="150"/>
    </row>
    <row r="4214" spans="1:19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30</v>
      </c>
      <c r="R4214" s="146" t="s">
        <v>780</v>
      </c>
      <c r="S4214" s="150"/>
    </row>
    <row r="4215" spans="1:19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30</v>
      </c>
      <c r="R4215" s="146" t="s">
        <v>780</v>
      </c>
      <c r="S4215" s="150"/>
    </row>
    <row r="4216" spans="1:19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30</v>
      </c>
      <c r="R4216" s="146" t="s">
        <v>780</v>
      </c>
      <c r="S4216" s="150"/>
    </row>
    <row r="4217" spans="1:19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30</v>
      </c>
      <c r="R4217" s="146" t="s">
        <v>780</v>
      </c>
      <c r="S4217" s="150"/>
    </row>
    <row r="4218" spans="1:19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30</v>
      </c>
      <c r="R4218" s="146" t="s">
        <v>780</v>
      </c>
      <c r="S4218" s="150"/>
    </row>
    <row r="4219" spans="1:19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30</v>
      </c>
      <c r="R4219" s="146" t="s">
        <v>780</v>
      </c>
      <c r="S4219" s="150"/>
    </row>
    <row r="4220" spans="1:19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30</v>
      </c>
      <c r="R4220" s="146" t="s">
        <v>780</v>
      </c>
      <c r="S4220" s="150"/>
    </row>
    <row r="4221" spans="1:19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30</v>
      </c>
      <c r="R4221" s="146" t="s">
        <v>780</v>
      </c>
      <c r="S4221" s="150"/>
    </row>
    <row r="4222" spans="1:19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30</v>
      </c>
      <c r="R4222" s="146" t="s">
        <v>780</v>
      </c>
      <c r="S4222" s="150"/>
    </row>
    <row r="4223" spans="1:19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27</v>
      </c>
      <c r="R4223" s="148" t="s">
        <v>489</v>
      </c>
      <c r="S4223" s="150"/>
    </row>
    <row r="4224" spans="1:19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27</v>
      </c>
      <c r="R4224" s="148" t="s">
        <v>489</v>
      </c>
      <c r="S4224" s="150"/>
    </row>
    <row r="4225" spans="1:19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27</v>
      </c>
      <c r="R4225" s="152" t="s">
        <v>410</v>
      </c>
      <c r="S4225" s="150"/>
    </row>
    <row r="4226" spans="1:19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27</v>
      </c>
      <c r="R4226" s="152" t="s">
        <v>410</v>
      </c>
      <c r="S4226" s="150"/>
    </row>
    <row r="4227" spans="1:19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27</v>
      </c>
      <c r="R4227" s="152" t="s">
        <v>410</v>
      </c>
      <c r="S4227" s="150"/>
    </row>
    <row r="4228" spans="1:19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27</v>
      </c>
      <c r="R4228" s="152" t="s">
        <v>410</v>
      </c>
      <c r="S4228" s="150"/>
    </row>
    <row r="4229" spans="1:19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27</v>
      </c>
      <c r="R4229" s="152" t="s">
        <v>410</v>
      </c>
      <c r="S4229" s="150"/>
    </row>
    <row r="4230" spans="1:19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27</v>
      </c>
      <c r="R4230" s="152" t="s">
        <v>410</v>
      </c>
      <c r="S4230" s="150"/>
    </row>
    <row r="4231" spans="1:19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27</v>
      </c>
      <c r="R4231" s="152" t="s">
        <v>410</v>
      </c>
      <c r="S4231" s="150"/>
    </row>
    <row r="4232" spans="1:19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27</v>
      </c>
      <c r="R4232" s="152" t="s">
        <v>410</v>
      </c>
      <c r="S4232" s="150"/>
    </row>
    <row r="4233" spans="1:19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27</v>
      </c>
      <c r="R4233" s="152" t="s">
        <v>410</v>
      </c>
      <c r="S4233" s="150"/>
    </row>
    <row r="4234" spans="1:19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27</v>
      </c>
      <c r="R4234" s="152" t="s">
        <v>410</v>
      </c>
      <c r="S4234" s="150"/>
    </row>
    <row r="4235" spans="1:19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27</v>
      </c>
      <c r="R4235" s="152" t="s">
        <v>410</v>
      </c>
      <c r="S4235" s="150"/>
    </row>
    <row r="4236" spans="1:19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27</v>
      </c>
      <c r="R4236" s="152" t="s">
        <v>410</v>
      </c>
      <c r="S4236" s="150"/>
    </row>
    <row r="4237" spans="1:19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27</v>
      </c>
      <c r="R4237" s="152" t="s">
        <v>410</v>
      </c>
      <c r="S4237" s="150"/>
    </row>
    <row r="4238" spans="1:19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27</v>
      </c>
      <c r="R4238" s="152" t="s">
        <v>410</v>
      </c>
      <c r="S4238" s="150"/>
    </row>
    <row r="4239" spans="1:19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27</v>
      </c>
      <c r="R4239" s="152" t="s">
        <v>410</v>
      </c>
      <c r="S4239" s="150"/>
    </row>
    <row r="4240" spans="1:19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27</v>
      </c>
      <c r="R4240" s="152" t="s">
        <v>410</v>
      </c>
      <c r="S4240" s="150"/>
    </row>
    <row r="4241" spans="1:19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27</v>
      </c>
      <c r="R4241" s="152" t="s">
        <v>410</v>
      </c>
      <c r="S4241" s="150"/>
    </row>
    <row r="4242" spans="1:19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27</v>
      </c>
      <c r="R4242" s="152" t="s">
        <v>410</v>
      </c>
      <c r="S4242" s="150"/>
    </row>
    <row r="4243" spans="1:19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27</v>
      </c>
      <c r="R4243" s="152" t="s">
        <v>410</v>
      </c>
      <c r="S4243" s="150"/>
    </row>
    <row r="4244" spans="1:19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27</v>
      </c>
      <c r="R4244" s="152" t="s">
        <v>410</v>
      </c>
      <c r="S4244" s="150"/>
    </row>
    <row r="4245" spans="1:19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27</v>
      </c>
      <c r="R4245" s="152" t="s">
        <v>410</v>
      </c>
      <c r="S4245" s="150"/>
    </row>
    <row r="4246" spans="1:19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27</v>
      </c>
      <c r="R4246" s="152" t="s">
        <v>410</v>
      </c>
      <c r="S4246" s="150"/>
    </row>
    <row r="4247" spans="1:19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27</v>
      </c>
      <c r="R4247" s="152" t="s">
        <v>410</v>
      </c>
      <c r="S4247" s="150"/>
    </row>
    <row r="4248" spans="1:19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27</v>
      </c>
      <c r="R4248" s="152" t="s">
        <v>410</v>
      </c>
      <c r="S4248" s="150"/>
    </row>
    <row r="4249" spans="1:19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27</v>
      </c>
      <c r="R4249" s="152" t="s">
        <v>410</v>
      </c>
      <c r="S4249" s="150"/>
    </row>
    <row r="4250" spans="1:19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27</v>
      </c>
      <c r="R4250" s="152" t="s">
        <v>410</v>
      </c>
      <c r="S4250" s="150"/>
    </row>
    <row r="4251" spans="1:19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27</v>
      </c>
      <c r="R4251" s="152" t="s">
        <v>410</v>
      </c>
      <c r="S4251" s="150"/>
    </row>
    <row r="4252" spans="1:19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27</v>
      </c>
      <c r="R4252" s="152" t="s">
        <v>410</v>
      </c>
      <c r="S4252" s="150"/>
    </row>
    <row r="4253" spans="1:19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27</v>
      </c>
      <c r="R4253" s="152" t="s">
        <v>410</v>
      </c>
      <c r="S4253" s="150"/>
    </row>
    <row r="4254" spans="1:19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27</v>
      </c>
      <c r="R4254" s="152" t="s">
        <v>410</v>
      </c>
      <c r="S4254" s="150"/>
    </row>
    <row r="4255" spans="1:19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27</v>
      </c>
      <c r="R4255" s="152" t="s">
        <v>410</v>
      </c>
      <c r="S4255" s="150"/>
    </row>
    <row r="4256" spans="1:19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27</v>
      </c>
      <c r="R4256" s="152" t="s">
        <v>410</v>
      </c>
      <c r="S4256" s="150"/>
    </row>
    <row r="4257" spans="1:19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27</v>
      </c>
      <c r="R4257" s="152" t="s">
        <v>410</v>
      </c>
      <c r="S4257" s="150"/>
    </row>
    <row r="4258" spans="1:19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27</v>
      </c>
      <c r="R4258" s="152" t="s">
        <v>410</v>
      </c>
      <c r="S4258" s="150"/>
    </row>
    <row r="4259" spans="1:19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27</v>
      </c>
      <c r="R4259" s="152" t="s">
        <v>410</v>
      </c>
      <c r="S4259" s="150"/>
    </row>
    <row r="4260" spans="1:19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27</v>
      </c>
      <c r="R4260" s="152" t="s">
        <v>410</v>
      </c>
      <c r="S4260" s="150"/>
    </row>
    <row r="4261" spans="1:19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27</v>
      </c>
      <c r="R4261" s="152" t="s">
        <v>410</v>
      </c>
      <c r="S4261" s="150"/>
    </row>
    <row r="4262" spans="1:19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27</v>
      </c>
      <c r="R4262" s="152" t="s">
        <v>410</v>
      </c>
      <c r="S4262" s="150"/>
    </row>
    <row r="4263" spans="1:19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27</v>
      </c>
      <c r="R4263" s="152" t="s">
        <v>410</v>
      </c>
      <c r="S4263" s="150"/>
    </row>
    <row r="4264" spans="1:19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27</v>
      </c>
      <c r="R4264" s="152" t="s">
        <v>410</v>
      </c>
      <c r="S4264" s="150"/>
    </row>
    <row r="4265" spans="1:19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27</v>
      </c>
      <c r="R4265" s="152" t="s">
        <v>410</v>
      </c>
      <c r="S4265" s="150"/>
    </row>
    <row r="4266" spans="1:19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27</v>
      </c>
      <c r="R4266" s="152" t="s">
        <v>410</v>
      </c>
      <c r="S4266" s="150"/>
    </row>
    <row r="4267" spans="1:19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27</v>
      </c>
      <c r="R4267" s="152" t="s">
        <v>410</v>
      </c>
      <c r="S4267" s="150"/>
    </row>
    <row r="4268" spans="1:19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27</v>
      </c>
      <c r="R4268" s="152" t="s">
        <v>410</v>
      </c>
      <c r="S4268" s="150"/>
    </row>
    <row r="4269" spans="1:19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27</v>
      </c>
      <c r="R4269" s="152" t="s">
        <v>410</v>
      </c>
      <c r="S4269" s="150"/>
    </row>
    <row r="4270" spans="1:19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27</v>
      </c>
      <c r="R4270" s="152" t="s">
        <v>410</v>
      </c>
      <c r="S4270" s="150"/>
    </row>
    <row r="4271" spans="1:19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27</v>
      </c>
      <c r="R4271" s="152" t="s">
        <v>410</v>
      </c>
      <c r="S4271" s="150"/>
    </row>
    <row r="4272" spans="1:19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27</v>
      </c>
      <c r="R4272" s="152" t="s">
        <v>410</v>
      </c>
      <c r="S4272" s="150"/>
    </row>
    <row r="4273" spans="1:19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26</v>
      </c>
      <c r="R4273" s="153" t="s">
        <v>489</v>
      </c>
      <c r="S4273" s="150"/>
    </row>
    <row r="4274" spans="1:19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26</v>
      </c>
      <c r="R4274" s="153" t="s">
        <v>489</v>
      </c>
      <c r="S4274" s="150"/>
    </row>
    <row r="4275" spans="1:19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26</v>
      </c>
      <c r="R4275" s="153" t="s">
        <v>780</v>
      </c>
      <c r="S4275" s="150"/>
    </row>
    <row r="4276" spans="1:19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26</v>
      </c>
      <c r="R4276" s="153" t="s">
        <v>780</v>
      </c>
      <c r="S4276" s="150"/>
    </row>
    <row r="4277" spans="1:19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26</v>
      </c>
      <c r="R4277" s="153" t="s">
        <v>780</v>
      </c>
      <c r="S4277" s="150"/>
    </row>
    <row r="4278" spans="1:19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26</v>
      </c>
      <c r="R4278" s="153" t="s">
        <v>780</v>
      </c>
      <c r="S4278" s="150"/>
    </row>
    <row r="4279" spans="1:19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26</v>
      </c>
      <c r="R4279" s="153" t="s">
        <v>780</v>
      </c>
      <c r="S4279" s="150"/>
    </row>
    <row r="4280" spans="1:19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26</v>
      </c>
      <c r="R4280" s="153" t="s">
        <v>780</v>
      </c>
      <c r="S4280" s="150"/>
    </row>
    <row r="4281" spans="1:19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26</v>
      </c>
      <c r="R4281" s="153" t="s">
        <v>780</v>
      </c>
      <c r="S4281" s="150"/>
    </row>
    <row r="4282" spans="1:19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26</v>
      </c>
      <c r="R4282" s="153" t="s">
        <v>780</v>
      </c>
      <c r="S4282" s="150"/>
    </row>
    <row r="4283" spans="1:19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26</v>
      </c>
      <c r="R4283" s="153" t="s">
        <v>780</v>
      </c>
      <c r="S4283" s="150"/>
    </row>
    <row r="4284" spans="1:19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26</v>
      </c>
      <c r="R4284" s="153" t="s">
        <v>780</v>
      </c>
      <c r="S4284" s="150"/>
    </row>
    <row r="4285" spans="1:19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26</v>
      </c>
      <c r="R4285" s="153" t="s">
        <v>780</v>
      </c>
      <c r="S4285" s="150"/>
    </row>
    <row r="4286" spans="1:19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26</v>
      </c>
      <c r="R4286" s="153" t="s">
        <v>780</v>
      </c>
      <c r="S4286" s="150"/>
    </row>
    <row r="4287" spans="1:19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26</v>
      </c>
      <c r="R4287" s="153" t="s">
        <v>780</v>
      </c>
      <c r="S4287" s="150"/>
    </row>
    <row r="4288" spans="1:19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26</v>
      </c>
      <c r="R4288" s="153" t="s">
        <v>780</v>
      </c>
      <c r="S4288" s="150"/>
    </row>
    <row r="4289" spans="1:19" s="149" customFormat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23</v>
      </c>
      <c r="R4289" s="154" t="s">
        <v>515</v>
      </c>
      <c r="S4289" s="150"/>
    </row>
    <row r="4290" spans="1:19" s="149" customFormat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22</v>
      </c>
      <c r="R4290" s="154" t="s">
        <v>780</v>
      </c>
      <c r="S4290" s="150"/>
    </row>
    <row r="4291" spans="1:19" s="149" customFormat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22</v>
      </c>
      <c r="R4291" s="154" t="s">
        <v>780</v>
      </c>
      <c r="S4291" s="150"/>
    </row>
    <row r="4292" spans="1:19" s="149" customFormat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22</v>
      </c>
      <c r="R4292" s="154" t="s">
        <v>780</v>
      </c>
      <c r="S4292" s="150"/>
    </row>
    <row r="4293" spans="1:19" s="149" customFormat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22</v>
      </c>
      <c r="R4293" s="154" t="s">
        <v>780</v>
      </c>
      <c r="S4293" s="150"/>
    </row>
    <row r="4294" spans="1:19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22</v>
      </c>
      <c r="R4294" s="154" t="s">
        <v>410</v>
      </c>
      <c r="S4294" s="150"/>
    </row>
    <row r="4295" spans="1:19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22</v>
      </c>
      <c r="R4295" s="154" t="s">
        <v>410</v>
      </c>
      <c r="S4295" s="150"/>
    </row>
    <row r="4296" spans="1:19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20</v>
      </c>
      <c r="R4296" s="154" t="s">
        <v>1459</v>
      </c>
      <c r="S4296" s="150"/>
    </row>
    <row r="4297" spans="1:19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20</v>
      </c>
      <c r="R4297" s="154" t="s">
        <v>1459</v>
      </c>
      <c r="S4297" s="150"/>
    </row>
    <row r="4298" spans="1:19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20</v>
      </c>
      <c r="R4298" s="154" t="s">
        <v>1459</v>
      </c>
      <c r="S4298" s="150"/>
    </row>
    <row r="4299" spans="1:19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20</v>
      </c>
      <c r="R4299" s="154" t="s">
        <v>1459</v>
      </c>
      <c r="S4299" s="150"/>
    </row>
    <row r="4300" spans="1:19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20</v>
      </c>
      <c r="R4300" s="154" t="s">
        <v>1459</v>
      </c>
      <c r="S4300" s="150"/>
    </row>
    <row r="4301" spans="1:19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20</v>
      </c>
      <c r="R4301" s="154" t="s">
        <v>1459</v>
      </c>
      <c r="S4301" s="150"/>
    </row>
    <row r="4302" spans="1:19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20</v>
      </c>
      <c r="R4302" s="154" t="s">
        <v>1459</v>
      </c>
      <c r="S4302" s="150"/>
    </row>
    <row r="4303" spans="1:19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20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20</v>
      </c>
      <c r="R4304" s="154" t="s">
        <v>1459</v>
      </c>
      <c r="S4304" s="150"/>
    </row>
    <row r="4305" spans="1:19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20</v>
      </c>
      <c r="R4305" s="154" t="s">
        <v>1459</v>
      </c>
      <c r="S4305" s="150"/>
    </row>
    <row r="4306" spans="1:19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20</v>
      </c>
      <c r="R4306" s="154" t="s">
        <v>1459</v>
      </c>
      <c r="S4306" s="150"/>
    </row>
    <row r="4307" spans="1:19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20</v>
      </c>
      <c r="R4307" s="154" t="s">
        <v>1459</v>
      </c>
      <c r="S4307" s="150"/>
    </row>
    <row r="4308" spans="1:19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20</v>
      </c>
      <c r="R4308" s="154" t="s">
        <v>1459</v>
      </c>
      <c r="S4308" s="150"/>
    </row>
    <row r="4309" spans="1:19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20</v>
      </c>
      <c r="R4309" s="154" t="s">
        <v>1459</v>
      </c>
      <c r="S4309" s="150"/>
    </row>
    <row r="4310" spans="1:19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20</v>
      </c>
      <c r="R4310" s="154" t="s">
        <v>1459</v>
      </c>
      <c r="S4310" s="150"/>
    </row>
    <row r="4311" spans="1:19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20</v>
      </c>
      <c r="R4311" s="154" t="s">
        <v>1459</v>
      </c>
      <c r="S4311" s="150"/>
    </row>
    <row r="4312" spans="1:19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20</v>
      </c>
      <c r="R4312" s="154" t="s">
        <v>1459</v>
      </c>
      <c r="S4312" s="150"/>
    </row>
    <row r="4313" spans="1:19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20</v>
      </c>
      <c r="R4313" s="154" t="s">
        <v>1459</v>
      </c>
      <c r="S4313" s="150"/>
    </row>
    <row r="4314" spans="1:19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20</v>
      </c>
      <c r="R4314" s="154" t="s">
        <v>1459</v>
      </c>
      <c r="S4314" s="150"/>
    </row>
    <row r="4315" spans="1:19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20</v>
      </c>
      <c r="R4315" s="154" t="s">
        <v>1459</v>
      </c>
      <c r="S4315" s="150"/>
    </row>
    <row r="4316" spans="1:19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20</v>
      </c>
      <c r="R4316" s="154" t="s">
        <v>1459</v>
      </c>
      <c r="S4316" s="150"/>
    </row>
    <row r="4317" spans="1:19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20</v>
      </c>
      <c r="R4317" s="154" t="s">
        <v>489</v>
      </c>
      <c r="S4317" s="150"/>
    </row>
    <row r="4318" spans="1:19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20</v>
      </c>
      <c r="R4318" s="154" t="s">
        <v>489</v>
      </c>
      <c r="S4318" s="150"/>
    </row>
    <row r="4319" spans="1:19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20</v>
      </c>
      <c r="R4319" s="154" t="s">
        <v>489</v>
      </c>
      <c r="S4319" s="150"/>
    </row>
    <row r="4320" spans="1:19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20</v>
      </c>
      <c r="R4320" s="154" t="s">
        <v>489</v>
      </c>
      <c r="S4320" s="150"/>
    </row>
    <row r="4321" spans="1:19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20</v>
      </c>
      <c r="R4321" s="154" t="s">
        <v>489</v>
      </c>
      <c r="S4321" s="150"/>
    </row>
    <row r="4322" spans="1:19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20</v>
      </c>
      <c r="R4322" s="154" t="s">
        <v>489</v>
      </c>
      <c r="S4322" s="150"/>
    </row>
    <row r="4323" spans="1:19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20</v>
      </c>
      <c r="R4323" s="154" t="s">
        <v>489</v>
      </c>
      <c r="S4323" s="150"/>
    </row>
    <row r="4324" spans="1:19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20</v>
      </c>
      <c r="R4324" s="154" t="s">
        <v>489</v>
      </c>
      <c r="S4324" s="150"/>
    </row>
    <row r="4325" spans="1:19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20</v>
      </c>
      <c r="R4325" s="154" t="s">
        <v>489</v>
      </c>
      <c r="S4325" s="150"/>
    </row>
    <row r="4326" spans="1:19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20</v>
      </c>
      <c r="R4326" s="154" t="s">
        <v>489</v>
      </c>
      <c r="S4326" s="150"/>
    </row>
    <row r="4327" spans="1:19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20</v>
      </c>
      <c r="R4327" s="154" t="s">
        <v>489</v>
      </c>
      <c r="S4327" s="150"/>
    </row>
    <row r="4328" spans="1:19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20</v>
      </c>
      <c r="R4328" s="154" t="s">
        <v>489</v>
      </c>
      <c r="S4328" s="150"/>
    </row>
    <row r="4329" spans="1:19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20</v>
      </c>
      <c r="R4329" s="154" t="s">
        <v>489</v>
      </c>
      <c r="S4329" s="150"/>
    </row>
    <row r="4330" spans="1:19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20</v>
      </c>
      <c r="R4330" s="154" t="s">
        <v>489</v>
      </c>
      <c r="S4330" s="150"/>
    </row>
    <row r="4331" spans="1:19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20</v>
      </c>
      <c r="R4331" s="154" t="s">
        <v>489</v>
      </c>
      <c r="S4331" s="150"/>
    </row>
    <row r="4332" spans="1:19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20</v>
      </c>
      <c r="R4332" s="154" t="s">
        <v>489</v>
      </c>
      <c r="S4332" s="150"/>
    </row>
    <row r="4333" spans="1:19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20</v>
      </c>
      <c r="R4333" s="154" t="s">
        <v>489</v>
      </c>
      <c r="S4333" s="150"/>
    </row>
    <row r="4334" spans="1:19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20</v>
      </c>
      <c r="R4334" s="154" t="s">
        <v>489</v>
      </c>
      <c r="S4334" s="150"/>
    </row>
    <row r="4335" spans="1:19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20</v>
      </c>
      <c r="R4335" s="154" t="s">
        <v>489</v>
      </c>
      <c r="S4335" s="150"/>
    </row>
    <row r="4336" spans="1:19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20</v>
      </c>
      <c r="R4336" s="154" t="s">
        <v>489</v>
      </c>
      <c r="S4336" s="150"/>
    </row>
    <row r="4337" spans="1:19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20</v>
      </c>
      <c r="R4337" s="154" t="s">
        <v>489</v>
      </c>
      <c r="S4337" s="150"/>
    </row>
    <row r="4338" spans="1:19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20</v>
      </c>
      <c r="R4338" s="154" t="s">
        <v>489</v>
      </c>
      <c r="S4338" s="150"/>
    </row>
    <row r="4339" spans="1:19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20</v>
      </c>
      <c r="R4339" s="154" t="s">
        <v>489</v>
      </c>
      <c r="S4339" s="150"/>
    </row>
    <row r="4340" spans="1:19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20</v>
      </c>
      <c r="R4340" s="154" t="s">
        <v>489</v>
      </c>
      <c r="S4340" s="150"/>
    </row>
    <row r="4341" spans="1:19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20</v>
      </c>
      <c r="R4341" s="156" t="s">
        <v>1459</v>
      </c>
      <c r="S4341" s="150"/>
    </row>
    <row r="4342" spans="1:19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20</v>
      </c>
      <c r="R4342" s="156" t="s">
        <v>1459</v>
      </c>
      <c r="S4342" s="150"/>
    </row>
    <row r="4343" spans="1:19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18</v>
      </c>
      <c r="R4343" s="156" t="s">
        <v>410</v>
      </c>
      <c r="S4343" s="150"/>
    </row>
    <row r="4344" spans="1:19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18</v>
      </c>
      <c r="R4344" s="156" t="s">
        <v>410</v>
      </c>
      <c r="S4344" s="150"/>
    </row>
    <row r="4345" spans="1:19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18</v>
      </c>
      <c r="R4345" s="156" t="s">
        <v>489</v>
      </c>
      <c r="S4345" s="150"/>
    </row>
    <row r="4346" spans="1:19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18</v>
      </c>
      <c r="R4346" s="156" t="s">
        <v>489</v>
      </c>
      <c r="S4346" s="150"/>
    </row>
    <row r="4347" spans="1:19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18</v>
      </c>
      <c r="R4347" s="156" t="s">
        <v>489</v>
      </c>
      <c r="S4347" s="150"/>
    </row>
    <row r="4348" spans="1:19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18</v>
      </c>
      <c r="R4348" s="156" t="s">
        <v>489</v>
      </c>
      <c r="S4348" s="150"/>
    </row>
    <row r="4349" spans="1:19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18</v>
      </c>
      <c r="R4349" s="156" t="s">
        <v>489</v>
      </c>
      <c r="S4349" s="150"/>
    </row>
    <row r="4350" spans="1:19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18</v>
      </c>
      <c r="R4350" s="156" t="s">
        <v>489</v>
      </c>
      <c r="S4350" s="150"/>
    </row>
    <row r="4351" spans="1:19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18</v>
      </c>
      <c r="R4351" s="156" t="s">
        <v>489</v>
      </c>
      <c r="S4351" s="150"/>
    </row>
    <row r="4352" spans="1:19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18</v>
      </c>
      <c r="R4352" s="156" t="s">
        <v>489</v>
      </c>
      <c r="S4352" s="150"/>
    </row>
    <row r="4353" spans="1:19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18</v>
      </c>
      <c r="R4353" s="156" t="s">
        <v>489</v>
      </c>
      <c r="S4353" s="150"/>
    </row>
    <row r="4354" spans="1:19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18</v>
      </c>
      <c r="R4354" s="156" t="s">
        <v>489</v>
      </c>
      <c r="S4354" s="150"/>
    </row>
    <row r="4355" spans="1:19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18</v>
      </c>
      <c r="R4355" s="156" t="s">
        <v>489</v>
      </c>
      <c r="S4355" s="150"/>
    </row>
    <row r="4356" spans="1:19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18</v>
      </c>
      <c r="R4356" s="156" t="s">
        <v>489</v>
      </c>
      <c r="S4356" s="150"/>
    </row>
    <row r="4357" spans="1:19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18</v>
      </c>
      <c r="R4357" s="157" t="s">
        <v>489</v>
      </c>
      <c r="S4357" s="150"/>
    </row>
    <row r="4358" spans="1:19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18</v>
      </c>
      <c r="R4358" s="157" t="s">
        <v>489</v>
      </c>
      <c r="S4358" s="150"/>
    </row>
    <row r="4359" spans="1:19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18</v>
      </c>
      <c r="R4359" s="156" t="s">
        <v>780</v>
      </c>
      <c r="S4359" s="150"/>
    </row>
    <row r="4360" spans="1:19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18</v>
      </c>
      <c r="R4360" s="156" t="s">
        <v>780</v>
      </c>
      <c r="S4360" s="150"/>
    </row>
    <row r="4361" spans="1:19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18</v>
      </c>
      <c r="R4361" s="156" t="s">
        <v>780</v>
      </c>
      <c r="S4361" s="150"/>
    </row>
    <row r="4362" spans="1:19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18</v>
      </c>
      <c r="R4362" s="156" t="s">
        <v>780</v>
      </c>
      <c r="S4362" s="150"/>
    </row>
    <row r="4363" spans="1:19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18</v>
      </c>
      <c r="R4363" s="156" t="s">
        <v>780</v>
      </c>
      <c r="S4363" s="150"/>
    </row>
    <row r="4364" spans="1:19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18</v>
      </c>
      <c r="R4364" s="156" t="s">
        <v>780</v>
      </c>
      <c r="S4364" s="150"/>
    </row>
    <row r="4365" spans="1:19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18</v>
      </c>
      <c r="R4365" s="156" t="s">
        <v>780</v>
      </c>
      <c r="S4365" s="150"/>
    </row>
    <row r="4366" spans="1:19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18</v>
      </c>
      <c r="R4366" s="156" t="s">
        <v>780</v>
      </c>
      <c r="S4366" s="150"/>
    </row>
    <row r="4367" spans="1:19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18</v>
      </c>
      <c r="R4367" s="156" t="s">
        <v>780</v>
      </c>
      <c r="S4367" s="150"/>
    </row>
    <row r="4368" spans="1:19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18</v>
      </c>
      <c r="R4368" s="156" t="s">
        <v>780</v>
      </c>
      <c r="S4368" s="150"/>
    </row>
    <row r="4369" spans="1:19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18</v>
      </c>
      <c r="R4369" s="156" t="s">
        <v>780</v>
      </c>
      <c r="S4369" s="150"/>
    </row>
    <row r="4370" spans="1:19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18</v>
      </c>
      <c r="R4370" s="156" t="s">
        <v>780</v>
      </c>
      <c r="S4370" s="150"/>
    </row>
    <row r="4371" spans="1:19" s="149" customFormat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16</v>
      </c>
      <c r="R4371" s="157" t="s">
        <v>489</v>
      </c>
      <c r="S4371" s="150"/>
    </row>
    <row r="4372" spans="1:19" s="149" customFormat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16</v>
      </c>
      <c r="R4372" s="157" t="s">
        <v>489</v>
      </c>
      <c r="S4372" s="150"/>
    </row>
    <row r="4373" spans="1:19" s="149" customFormat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16</v>
      </c>
      <c r="R4373" s="157" t="s">
        <v>489</v>
      </c>
      <c r="S4373" s="150"/>
    </row>
    <row r="4374" spans="1:19" s="149" customFormat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16</v>
      </c>
      <c r="R4374" s="157" t="s">
        <v>489</v>
      </c>
      <c r="S4374" s="150"/>
    </row>
    <row r="4375" spans="1:19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11</v>
      </c>
      <c r="R4375" s="158" t="s">
        <v>489</v>
      </c>
      <c r="S4375" s="150"/>
    </row>
    <row r="4376" spans="1:19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11</v>
      </c>
      <c r="R4376" s="159" t="s">
        <v>415</v>
      </c>
      <c r="S4376" s="150"/>
    </row>
    <row r="4377" spans="1:19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11</v>
      </c>
      <c r="R4377" s="159" t="s">
        <v>415</v>
      </c>
      <c r="S4377" s="150"/>
    </row>
    <row r="4378" spans="1:19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11</v>
      </c>
      <c r="R4378" s="159" t="s">
        <v>856</v>
      </c>
      <c r="S4378" s="150"/>
    </row>
    <row r="4379" spans="1:19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11</v>
      </c>
      <c r="R4379" s="159" t="s">
        <v>856</v>
      </c>
      <c r="S4379" s="150"/>
    </row>
    <row r="4380" spans="1:19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10</v>
      </c>
      <c r="R4380" s="159" t="s">
        <v>5710</v>
      </c>
      <c r="S4380" s="150"/>
    </row>
    <row r="4381" spans="1:19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10</v>
      </c>
      <c r="R4381" s="159" t="s">
        <v>5710</v>
      </c>
      <c r="S4381" s="150"/>
    </row>
    <row r="4382" spans="1:19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10</v>
      </c>
      <c r="R4382" s="159" t="s">
        <v>5710</v>
      </c>
      <c r="S4382" s="150"/>
    </row>
    <row r="4383" spans="1:19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10</v>
      </c>
      <c r="R4383" s="159" t="s">
        <v>5710</v>
      </c>
      <c r="S4383" s="150"/>
    </row>
    <row r="4384" spans="1:19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10</v>
      </c>
      <c r="R4384" s="159" t="s">
        <v>5710</v>
      </c>
      <c r="S4384" s="150"/>
    </row>
    <row r="4385" spans="1:19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10</v>
      </c>
      <c r="R4385" s="159" t="s">
        <v>5710</v>
      </c>
      <c r="S4385" s="150"/>
    </row>
    <row r="4386" spans="1:19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10</v>
      </c>
      <c r="R4386" s="159" t="s">
        <v>5710</v>
      </c>
      <c r="S4386" s="150"/>
    </row>
    <row r="4387" spans="1:19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10</v>
      </c>
      <c r="R4387" s="159" t="s">
        <v>5710</v>
      </c>
      <c r="S4387" s="150"/>
    </row>
    <row r="4388" spans="1:19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10</v>
      </c>
      <c r="R4388" s="159" t="s">
        <v>5710</v>
      </c>
      <c r="S4388" s="150"/>
    </row>
    <row r="4389" spans="1:19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10</v>
      </c>
      <c r="R4389" s="159" t="s">
        <v>5710</v>
      </c>
      <c r="S4389" s="150"/>
    </row>
    <row r="4390" spans="1:19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10</v>
      </c>
      <c r="R4390" s="159" t="s">
        <v>5710</v>
      </c>
      <c r="S4390" s="150"/>
    </row>
    <row r="4391" spans="1:19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10</v>
      </c>
      <c r="R4391" s="159" t="s">
        <v>5710</v>
      </c>
      <c r="S4391" s="150"/>
    </row>
    <row r="4392" spans="1:19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</v>
      </c>
      <c r="R4392" s="159" t="s">
        <v>489</v>
      </c>
      <c r="S4392" s="150"/>
    </row>
    <row r="4393" spans="1:19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</v>
      </c>
      <c r="R4393" s="159" t="s">
        <v>489</v>
      </c>
      <c r="S4393" s="150"/>
    </row>
    <row r="4394" spans="1:19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</v>
      </c>
      <c r="R4394" s="159" t="s">
        <v>489</v>
      </c>
      <c r="S4394" s="150"/>
    </row>
    <row r="4395" spans="1:19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</v>
      </c>
      <c r="R4395" s="159" t="s">
        <v>489</v>
      </c>
      <c r="S4395" s="150"/>
    </row>
    <row r="4396" spans="1:19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</v>
      </c>
      <c r="R4396" s="159" t="s">
        <v>489</v>
      </c>
      <c r="S4396" s="150"/>
    </row>
    <row r="4397" spans="1:19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</v>
      </c>
      <c r="R4397" s="159" t="s">
        <v>489</v>
      </c>
      <c r="S4397" s="150"/>
    </row>
    <row r="4398" spans="1:19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</v>
      </c>
      <c r="R4398" s="159" t="s">
        <v>6564</v>
      </c>
      <c r="S4398" s="150"/>
    </row>
    <row r="4399" spans="1:19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</v>
      </c>
      <c r="R4399" s="159" t="s">
        <v>6564</v>
      </c>
      <c r="S4399" s="150"/>
    </row>
    <row r="4400" spans="1:19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</v>
      </c>
      <c r="R4400" s="159" t="s">
        <v>6564</v>
      </c>
      <c r="S4400" s="150"/>
    </row>
    <row r="4401" spans="1:19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</v>
      </c>
      <c r="R4401" s="159" t="s">
        <v>6564</v>
      </c>
      <c r="S4401" s="150"/>
    </row>
    <row r="4402" spans="1:19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</v>
      </c>
      <c r="R4402" s="159" t="s">
        <v>6564</v>
      </c>
      <c r="S4402" s="150"/>
    </row>
    <row r="4403" spans="1:19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</v>
      </c>
      <c r="R4403" s="159" t="s">
        <v>6564</v>
      </c>
      <c r="S4403" s="150"/>
    </row>
    <row r="4404" spans="1:19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</v>
      </c>
      <c r="R4404" s="159" t="s">
        <v>6564</v>
      </c>
      <c r="S4404" s="150"/>
    </row>
    <row r="4405" spans="1:19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</v>
      </c>
      <c r="R4405" s="159" t="s">
        <v>6564</v>
      </c>
      <c r="S4405" s="150"/>
    </row>
    <row r="4406" spans="1:19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</v>
      </c>
      <c r="R4406" s="159" t="s">
        <v>6564</v>
      </c>
      <c r="S4406" s="150"/>
    </row>
    <row r="4407" spans="1:19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</v>
      </c>
      <c r="R4407" s="159" t="s">
        <v>6564</v>
      </c>
      <c r="S4407" s="150"/>
    </row>
    <row r="4408" spans="1:19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</v>
      </c>
      <c r="R4408" s="159" t="s">
        <v>6564</v>
      </c>
      <c r="S4408" s="150"/>
    </row>
    <row r="4409" spans="1:19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</v>
      </c>
      <c r="R4409" s="159" t="s">
        <v>6564</v>
      </c>
      <c r="S4409" s="150"/>
    </row>
    <row r="4410" spans="1:19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</v>
      </c>
      <c r="R4410" s="159" t="s">
        <v>6564</v>
      </c>
      <c r="S4410" s="150"/>
    </row>
    <row r="4411" spans="1:19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</v>
      </c>
      <c r="R4411" s="159" t="s">
        <v>6564</v>
      </c>
      <c r="S4411" s="150"/>
    </row>
    <row r="4412" spans="1:19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</v>
      </c>
      <c r="R4412" s="159" t="s">
        <v>6564</v>
      </c>
      <c r="S4412" s="150"/>
    </row>
    <row r="4413" spans="1:19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</v>
      </c>
      <c r="R4413" s="159" t="s">
        <v>6564</v>
      </c>
      <c r="S4413" s="150"/>
    </row>
    <row r="4414" spans="1:19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</v>
      </c>
      <c r="R4414" s="159" t="s">
        <v>6564</v>
      </c>
      <c r="S4414" s="150"/>
    </row>
    <row r="4415" spans="1:19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</v>
      </c>
      <c r="R4415" s="159" t="s">
        <v>6564</v>
      </c>
      <c r="S4415" s="150"/>
    </row>
    <row r="4416" spans="1:19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</v>
      </c>
      <c r="R4416" s="159" t="s">
        <v>6564</v>
      </c>
      <c r="S4416" s="150"/>
    </row>
    <row r="4417" spans="1:19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</v>
      </c>
      <c r="R4417" s="159" t="s">
        <v>6564</v>
      </c>
      <c r="S4417" s="150"/>
    </row>
    <row r="4418" spans="1:19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</v>
      </c>
      <c r="R4418" s="159" t="s">
        <v>498</v>
      </c>
      <c r="S4418" s="150"/>
    </row>
    <row r="4419" spans="1:19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</v>
      </c>
      <c r="R4419" s="159" t="s">
        <v>498</v>
      </c>
      <c r="S4419" s="150"/>
    </row>
    <row r="4420" spans="1:19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ok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6601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5</v>
      </c>
      <c r="R4422" s="161" t="s">
        <v>764</v>
      </c>
      <c r="S4422" s="150"/>
    </row>
    <row r="4423" spans="1:19">
      <c r="A4423" t="s">
        <v>6600</v>
      </c>
      <c r="B4423" s="150" t="str">
        <f>IFERROR(VLOOKUP(Proc[[#This Row],[App]],Table2[],3,0),"open")</f>
        <v>ok</v>
      </c>
      <c r="C4423" t="s">
        <v>369</v>
      </c>
      <c r="D4423" t="s">
        <v>6576</v>
      </c>
      <c r="E4423" t="s">
        <v>6602</v>
      </c>
      <c r="F4423" s="150" t="s">
        <v>6602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4</v>
      </c>
      <c r="R4423" s="161" t="s">
        <v>5710</v>
      </c>
      <c r="S4423" s="150"/>
    </row>
    <row r="4424" spans="1:19">
      <c r="A4424" t="s">
        <v>6600</v>
      </c>
      <c r="B4424" s="150" t="str">
        <f>IFERROR(VLOOKUP(Proc[[#This Row],[App]],Table2[],3,0),"open")</f>
        <v>ok</v>
      </c>
      <c r="C4424" s="149" t="s">
        <v>369</v>
      </c>
      <c r="D4424" t="s">
        <v>6577</v>
      </c>
      <c r="E4424" t="s">
        <v>6602</v>
      </c>
      <c r="F4424" s="150" t="s">
        <v>6602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4</v>
      </c>
      <c r="R4424" s="161" t="s">
        <v>5710</v>
      </c>
      <c r="S4424" s="150"/>
    </row>
    <row r="4425" spans="1:19">
      <c r="A4425" s="149" t="s">
        <v>6600</v>
      </c>
      <c r="B4425" s="150" t="str">
        <f>IFERROR(VLOOKUP(Proc[[#This Row],[App]],Table2[],3,0),"open")</f>
        <v>ok</v>
      </c>
      <c r="C4425" s="149" t="s">
        <v>369</v>
      </c>
      <c r="D4425" t="s">
        <v>6578</v>
      </c>
      <c r="E4425" t="s">
        <v>6602</v>
      </c>
      <c r="F4425" s="150" t="s">
        <v>6602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4</v>
      </c>
      <c r="R4425" s="161" t="s">
        <v>5710</v>
      </c>
      <c r="S4425" s="150"/>
    </row>
    <row r="4426" spans="1:19">
      <c r="A4426" s="149" t="s">
        <v>6600</v>
      </c>
      <c r="B4426" s="150" t="str">
        <f>IFERROR(VLOOKUP(Proc[[#This Row],[App]],Table2[],3,0),"open")</f>
        <v>ok</v>
      </c>
      <c r="C4426" s="149" t="s">
        <v>377</v>
      </c>
      <c r="D4426" t="s">
        <v>6579</v>
      </c>
      <c r="E4426" t="s">
        <v>6602</v>
      </c>
      <c r="F4426" s="150" t="s">
        <v>6276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4</v>
      </c>
      <c r="R4426" s="161" t="s">
        <v>5710</v>
      </c>
      <c r="S4426" s="150"/>
    </row>
    <row r="4427" spans="1:19">
      <c r="A4427" s="149" t="s">
        <v>6600</v>
      </c>
      <c r="B4427" s="150" t="str">
        <f>IFERROR(VLOOKUP(Proc[[#This Row],[App]],Table2[],3,0),"open")</f>
        <v>ok</v>
      </c>
      <c r="C4427" s="149" t="s">
        <v>369</v>
      </c>
      <c r="D4427" t="s">
        <v>6580</v>
      </c>
      <c r="E4427" t="s">
        <v>6602</v>
      </c>
      <c r="F4427" s="150" t="s">
        <v>6602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4</v>
      </c>
      <c r="R4427" s="161" t="s">
        <v>5710</v>
      </c>
      <c r="S4427" s="150"/>
    </row>
    <row r="4428" spans="1:19">
      <c r="A4428" s="149" t="s">
        <v>6600</v>
      </c>
      <c r="B4428" s="150" t="str">
        <f>IFERROR(VLOOKUP(Proc[[#This Row],[App]],Table2[],3,0),"open")</f>
        <v>ok</v>
      </c>
      <c r="C4428" s="149" t="s">
        <v>369</v>
      </c>
      <c r="D4428" t="s">
        <v>6581</v>
      </c>
      <c r="E4428" t="s">
        <v>6602</v>
      </c>
      <c r="F4428" s="150" t="s">
        <v>6602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4</v>
      </c>
      <c r="R4428" s="161" t="s">
        <v>5710</v>
      </c>
      <c r="S4428" s="150"/>
    </row>
    <row r="4429" spans="1:19">
      <c r="A4429" s="149" t="s">
        <v>6600</v>
      </c>
      <c r="B4429" s="150" t="str">
        <f>IFERROR(VLOOKUP(Proc[[#This Row],[App]],Table2[],3,0),"open")</f>
        <v>ok</v>
      </c>
      <c r="C4429" s="149" t="s">
        <v>369</v>
      </c>
      <c r="D4429" t="s">
        <v>6582</v>
      </c>
      <c r="E4429" t="s">
        <v>6602</v>
      </c>
      <c r="F4429" s="150" t="s">
        <v>6602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4</v>
      </c>
      <c r="R4429" s="161" t="s">
        <v>5710</v>
      </c>
      <c r="S4429" s="150"/>
    </row>
    <row r="4430" spans="1:19">
      <c r="A4430" s="149" t="s">
        <v>6600</v>
      </c>
      <c r="B4430" s="150" t="str">
        <f>IFERROR(VLOOKUP(Proc[[#This Row],[App]],Table2[],3,0),"open")</f>
        <v>ok</v>
      </c>
      <c r="C4430" s="149" t="s">
        <v>369</v>
      </c>
      <c r="D4430" t="s">
        <v>6583</v>
      </c>
      <c r="E4430" t="s">
        <v>6602</v>
      </c>
      <c r="F4430" s="150" t="s">
        <v>6602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4</v>
      </c>
      <c r="R4430" s="161" t="s">
        <v>5710</v>
      </c>
      <c r="S4430" s="150"/>
    </row>
    <row r="4431" spans="1:19">
      <c r="A4431" s="149" t="s">
        <v>6600</v>
      </c>
      <c r="B4431" s="150" t="str">
        <f>IFERROR(VLOOKUP(Proc[[#This Row],[App]],Table2[],3,0),"open")</f>
        <v>ok</v>
      </c>
      <c r="C4431" s="149" t="s">
        <v>369</v>
      </c>
      <c r="D4431" t="s">
        <v>6584</v>
      </c>
      <c r="E4431" t="s">
        <v>6602</v>
      </c>
      <c r="F4431" s="150" t="s">
        <v>6602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4</v>
      </c>
      <c r="R4431" s="161" t="s">
        <v>5710</v>
      </c>
      <c r="S4431" s="150"/>
    </row>
    <row r="4432" spans="1:19">
      <c r="A4432" s="149" t="s">
        <v>6600</v>
      </c>
      <c r="B4432" s="150" t="str">
        <f>IFERROR(VLOOKUP(Proc[[#This Row],[App]],Table2[],3,0),"open")</f>
        <v>ok</v>
      </c>
      <c r="C4432" s="149" t="s">
        <v>369</v>
      </c>
      <c r="D4432" t="s">
        <v>6585</v>
      </c>
      <c r="E4432" t="s">
        <v>6602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4</v>
      </c>
      <c r="R4432" s="161" t="s">
        <v>5710</v>
      </c>
      <c r="S4432" s="150"/>
    </row>
    <row r="4433" spans="1:19">
      <c r="A4433" s="149" t="s">
        <v>6600</v>
      </c>
      <c r="B4433" s="150" t="str">
        <f>IFERROR(VLOOKUP(Proc[[#This Row],[App]],Table2[],3,0),"open")</f>
        <v>ok</v>
      </c>
      <c r="C4433" s="149" t="s">
        <v>377</v>
      </c>
      <c r="D4433" t="s">
        <v>6586</v>
      </c>
      <c r="E4433" t="s">
        <v>5771</v>
      </c>
      <c r="F4433" s="150" t="s">
        <v>6276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4</v>
      </c>
      <c r="R4433" s="161" t="s">
        <v>5710</v>
      </c>
      <c r="S4433" s="150"/>
    </row>
    <row r="4434" spans="1:19">
      <c r="A4434" s="149" t="s">
        <v>6600</v>
      </c>
      <c r="B4434" s="150" t="str">
        <f>IFERROR(VLOOKUP(Proc[[#This Row],[App]],Table2[],3,0),"open")</f>
        <v>ok</v>
      </c>
      <c r="C4434" s="149" t="s">
        <v>369</v>
      </c>
      <c r="D4434" t="s">
        <v>6587</v>
      </c>
      <c r="E4434" t="s">
        <v>6603</v>
      </c>
      <c r="F4434" s="150" t="s">
        <v>6603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4</v>
      </c>
      <c r="R4434" s="161" t="s">
        <v>5710</v>
      </c>
      <c r="S4434" s="150"/>
    </row>
    <row r="4435" spans="1:19">
      <c r="A4435" s="149" t="s">
        <v>6600</v>
      </c>
      <c r="B4435" s="150" t="str">
        <f>IFERROR(VLOOKUP(Proc[[#This Row],[App]],Table2[],3,0),"open")</f>
        <v>ok</v>
      </c>
      <c r="C4435" s="149" t="s">
        <v>369</v>
      </c>
      <c r="D4435" t="s">
        <v>6588</v>
      </c>
      <c r="E4435" t="s">
        <v>6603</v>
      </c>
      <c r="F4435" s="150" t="s">
        <v>6603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4</v>
      </c>
      <c r="R4435" s="161" t="s">
        <v>5710</v>
      </c>
      <c r="S4435" s="150"/>
    </row>
    <row r="4436" spans="1:19">
      <c r="A4436" s="149" t="s">
        <v>6600</v>
      </c>
      <c r="B4436" s="150" t="str">
        <f>IFERROR(VLOOKUP(Proc[[#This Row],[App]],Table2[],3,0),"open")</f>
        <v>ok</v>
      </c>
      <c r="C4436" s="149" t="s">
        <v>377</v>
      </c>
      <c r="D4436" t="s">
        <v>6589</v>
      </c>
      <c r="E4436" t="s">
        <v>6603</v>
      </c>
      <c r="F4436" s="150" t="s">
        <v>6276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4</v>
      </c>
      <c r="R4436" s="161" t="s">
        <v>5710</v>
      </c>
      <c r="S4436" s="150"/>
    </row>
    <row r="4437" spans="1:19">
      <c r="A4437" s="149" t="s">
        <v>6600</v>
      </c>
      <c r="B4437" s="150" t="str">
        <f>IFERROR(VLOOKUP(Proc[[#This Row],[App]],Table2[],3,0),"open")</f>
        <v>ok</v>
      </c>
      <c r="C4437" s="149" t="s">
        <v>377</v>
      </c>
      <c r="D4437" t="s">
        <v>6590</v>
      </c>
      <c r="E4437" t="s">
        <v>6603</v>
      </c>
      <c r="F4437" s="150" t="s">
        <v>6276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4</v>
      </c>
      <c r="R4437" s="161" t="s">
        <v>5710</v>
      </c>
      <c r="S4437" s="150"/>
    </row>
    <row r="4438" spans="1:19">
      <c r="A4438" s="149" t="s">
        <v>6600</v>
      </c>
      <c r="B4438" s="150" t="str">
        <f>IFERROR(VLOOKUP(Proc[[#This Row],[App]],Table2[],3,0),"open")</f>
        <v>ok</v>
      </c>
      <c r="C4438" s="149" t="s">
        <v>377</v>
      </c>
      <c r="D4438" t="s">
        <v>6591</v>
      </c>
      <c r="E4438" t="s">
        <v>6603</v>
      </c>
      <c r="F4438" s="150" t="s">
        <v>6276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4</v>
      </c>
      <c r="R4438" s="161" t="s">
        <v>5710</v>
      </c>
      <c r="S4438" s="150"/>
    </row>
    <row r="4439" spans="1:19">
      <c r="A4439" s="149" t="s">
        <v>6600</v>
      </c>
      <c r="B4439" s="150" t="str">
        <f>IFERROR(VLOOKUP(Proc[[#This Row],[App]],Table2[],3,0),"open")</f>
        <v>ok</v>
      </c>
      <c r="C4439" s="149" t="s">
        <v>377</v>
      </c>
      <c r="D4439" t="s">
        <v>6592</v>
      </c>
      <c r="E4439" t="s">
        <v>6603</v>
      </c>
      <c r="F4439" s="150" t="s">
        <v>6276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4</v>
      </c>
      <c r="R4439" s="161" t="s">
        <v>5710</v>
      </c>
      <c r="S4439" s="150"/>
    </row>
    <row r="4440" spans="1:19">
      <c r="A4440" s="149" t="s">
        <v>6600</v>
      </c>
      <c r="B4440" s="150" t="str">
        <f>IFERROR(VLOOKUP(Proc[[#This Row],[App]],Table2[],3,0),"open")</f>
        <v>ok</v>
      </c>
      <c r="C4440" s="149" t="s">
        <v>369</v>
      </c>
      <c r="D4440" t="s">
        <v>6593</v>
      </c>
      <c r="E4440" t="s">
        <v>6603</v>
      </c>
      <c r="F4440" s="150" t="s">
        <v>6603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4</v>
      </c>
      <c r="R4440" s="161" t="s">
        <v>5710</v>
      </c>
      <c r="S4440" s="150"/>
    </row>
    <row r="4441" spans="1:19">
      <c r="A4441" s="149" t="s">
        <v>6600</v>
      </c>
      <c r="B4441" s="150" t="str">
        <f>IFERROR(VLOOKUP(Proc[[#This Row],[App]],Table2[],3,0),"open")</f>
        <v>ok</v>
      </c>
      <c r="C4441" s="149" t="s">
        <v>369</v>
      </c>
      <c r="D4441" t="s">
        <v>6594</v>
      </c>
      <c r="E4441" t="s">
        <v>6603</v>
      </c>
      <c r="F4441" s="150" t="s">
        <v>6603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4</v>
      </c>
      <c r="R4441" s="161" t="s">
        <v>5710</v>
      </c>
      <c r="S4441" s="150"/>
    </row>
    <row r="4442" spans="1:19">
      <c r="A4442" s="149" t="s">
        <v>6600</v>
      </c>
      <c r="B4442" s="150" t="str">
        <f>IFERROR(VLOOKUP(Proc[[#This Row],[App]],Table2[],3,0),"open")</f>
        <v>ok</v>
      </c>
      <c r="C4442" s="149" t="s">
        <v>369</v>
      </c>
      <c r="D4442" t="s">
        <v>6595</v>
      </c>
      <c r="E4442" t="s">
        <v>6603</v>
      </c>
      <c r="F4442" s="150" t="s">
        <v>6603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4</v>
      </c>
      <c r="R4442" s="161" t="s">
        <v>5710</v>
      </c>
      <c r="S4442" s="150"/>
    </row>
    <row r="4443" spans="1:19">
      <c r="A4443" s="149" t="s">
        <v>6600</v>
      </c>
      <c r="B4443" s="150" t="str">
        <f>IFERROR(VLOOKUP(Proc[[#This Row],[App]],Table2[],3,0),"open")</f>
        <v>ok</v>
      </c>
      <c r="C4443" s="149" t="s">
        <v>369</v>
      </c>
      <c r="D4443" t="s">
        <v>6596</v>
      </c>
      <c r="E4443" t="s">
        <v>6603</v>
      </c>
      <c r="F4443" s="150" t="s">
        <v>6603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4</v>
      </c>
      <c r="R4443" s="161" t="s">
        <v>5710</v>
      </c>
      <c r="S4443" s="150"/>
    </row>
    <row r="4444" spans="1:19">
      <c r="A4444" s="149" t="s">
        <v>6600</v>
      </c>
      <c r="B4444" s="150" t="str">
        <f>IFERROR(VLOOKUP(Proc[[#This Row],[App]],Table2[],3,0),"open")</f>
        <v>ok</v>
      </c>
      <c r="C4444" s="149" t="s">
        <v>369</v>
      </c>
      <c r="D4444" t="s">
        <v>6597</v>
      </c>
      <c r="E4444" t="s">
        <v>6604</v>
      </c>
      <c r="F4444" s="150" t="s">
        <v>6604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4</v>
      </c>
      <c r="R4444" s="161" t="s">
        <v>5710</v>
      </c>
      <c r="S4444" s="150"/>
    </row>
    <row r="4445" spans="1:19">
      <c r="A4445" s="149" t="s">
        <v>6600</v>
      </c>
      <c r="B4445" s="150" t="str">
        <f>IFERROR(VLOOKUP(Proc[[#This Row],[App]],Table2[],3,0),"open")</f>
        <v>ok</v>
      </c>
      <c r="C4445" s="149" t="s">
        <v>369</v>
      </c>
      <c r="D4445" t="s">
        <v>6598</v>
      </c>
      <c r="E4445" t="s">
        <v>6604</v>
      </c>
      <c r="F4445" s="150" t="s">
        <v>6604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4</v>
      </c>
      <c r="R4445" s="161" t="s">
        <v>5710</v>
      </c>
      <c r="S4445" s="150"/>
    </row>
    <row r="4446" spans="1:19">
      <c r="A4446" s="149" t="s">
        <v>6600</v>
      </c>
      <c r="B4446" s="150" t="str">
        <f>IFERROR(VLOOKUP(Proc[[#This Row],[App]],Table2[],3,0),"open")</f>
        <v>ok</v>
      </c>
      <c r="C4446" s="149" t="s">
        <v>369</v>
      </c>
      <c r="D4446" t="s">
        <v>6599</v>
      </c>
      <c r="E4446" t="s">
        <v>6604</v>
      </c>
      <c r="F4446" s="150" t="s">
        <v>6604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4</v>
      </c>
      <c r="R4446" s="161" t="s">
        <v>5710</v>
      </c>
      <c r="S4446" s="150"/>
    </row>
    <row r="4447" spans="1:19">
      <c r="A4447" t="s">
        <v>6607</v>
      </c>
      <c r="B4447" s="150" t="str">
        <f>IFERROR(VLOOKUP(Proc[[#This Row],[App]],Table2[],3,0),"open")</f>
        <v>open</v>
      </c>
      <c r="C4447" s="149" t="s">
        <v>370</v>
      </c>
      <c r="D4447" t="s">
        <v>6608</v>
      </c>
      <c r="E4447" t="s">
        <v>2467</v>
      </c>
      <c r="F4447" s="150"/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4</v>
      </c>
      <c r="R4447" s="161" t="s">
        <v>780</v>
      </c>
      <c r="S4447" s="150"/>
    </row>
    <row r="4448" spans="1:19">
      <c r="A4448" t="s">
        <v>6609</v>
      </c>
      <c r="B4448" s="150" t="str">
        <f>IFERROR(VLOOKUP(Proc[[#This Row],[App]],Table2[],3,0),"open")</f>
        <v>open</v>
      </c>
      <c r="C4448" s="149" t="s">
        <v>369</v>
      </c>
      <c r="D4448" t="s">
        <v>6638</v>
      </c>
      <c r="E4448" t="s">
        <v>6610</v>
      </c>
      <c r="F4448" s="149" t="s">
        <v>6610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4</v>
      </c>
      <c r="R4448" s="161" t="s">
        <v>542</v>
      </c>
      <c r="S4448" s="150"/>
    </row>
    <row r="4449" spans="1:19">
      <c r="A4449" s="149" t="s">
        <v>6609</v>
      </c>
      <c r="B4449" s="150" t="str">
        <f>IFERROR(VLOOKUP(Proc[[#This Row],[App]],Table2[],3,0),"open")</f>
        <v>open</v>
      </c>
      <c r="C4449" s="149" t="s">
        <v>404</v>
      </c>
      <c r="D4449" t="s">
        <v>6639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6642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4</v>
      </c>
      <c r="R4449" s="161" t="s">
        <v>542</v>
      </c>
      <c r="S4449" s="150"/>
    </row>
    <row r="4450" spans="1:19">
      <c r="A4450" t="s">
        <v>6629</v>
      </c>
      <c r="B4450" s="150" t="str">
        <f>IFERROR(VLOOKUP(Proc[[#This Row],[App]],Table2[],3,0),"open")</f>
        <v>open</v>
      </c>
      <c r="C4450" s="149" t="s">
        <v>370</v>
      </c>
      <c r="D4450" t="s">
        <v>5293</v>
      </c>
      <c r="E4450" t="s">
        <v>6624</v>
      </c>
      <c r="F4450" s="150" t="s">
        <v>5457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0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6436</v>
      </c>
      <c r="M4450" s="162">
        <v>45958</v>
      </c>
      <c r="N4450" s="162"/>
      <c r="O4450" s="162"/>
      <c r="P4450" s="163" t="str">
        <f ca="1">IF(Proc[[#This Row],[DaysAgeing]]&gt;5,"yep","on track")</f>
        <v>on track</v>
      </c>
      <c r="Q4450" s="3">
        <f ca="1">IF(Proc[[#This Row],[DateClosed]]="",ABS(NETWORKDAYS(Proc[[#This Row],[DateOpened]],TODAY()))-1,ABS(NETWORKDAYS(Proc[[#This Row],[DateOpened]],Proc[[#This Row],[DateClosed]]))-1)</f>
        <v>3</v>
      </c>
      <c r="R4450" s="163" t="s">
        <v>1459</v>
      </c>
      <c r="S4450" s="150"/>
    </row>
    <row r="4451" spans="1:19">
      <c r="A4451" t="s">
        <v>6629</v>
      </c>
      <c r="B4451" s="150" t="str">
        <f>IFERROR(VLOOKUP(Proc[[#This Row],[App]],Table2[],3,0),"open")</f>
        <v>open</v>
      </c>
      <c r="C4451" s="149" t="s">
        <v>370</v>
      </c>
      <c r="D4451" t="s">
        <v>5442</v>
      </c>
      <c r="E4451" t="s">
        <v>6625</v>
      </c>
      <c r="F4451" s="150" t="s">
        <v>6446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0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6436</v>
      </c>
      <c r="M4451" s="162">
        <v>45958</v>
      </c>
      <c r="N4451" s="162"/>
      <c r="O4451" s="162"/>
      <c r="P4451" s="163" t="str">
        <f ca="1">IF(Proc[[#This Row],[DaysAgeing]]&gt;5,"yep","on track")</f>
        <v>on track</v>
      </c>
      <c r="Q4451" s="3">
        <f ca="1">IF(Proc[[#This Row],[DateClosed]]="",ABS(NETWORKDAYS(Proc[[#This Row],[DateOpened]],TODAY()))-1,ABS(NETWORKDAYS(Proc[[#This Row],[DateOpened]],Proc[[#This Row],[DateClosed]]))-1)</f>
        <v>3</v>
      </c>
      <c r="R4451" s="163" t="s">
        <v>1459</v>
      </c>
      <c r="S4451" s="150"/>
    </row>
    <row r="4452" spans="1:19">
      <c r="A4452" s="149" t="s">
        <v>6629</v>
      </c>
      <c r="B4452" s="150" t="str">
        <f>IFERROR(VLOOKUP(Proc[[#This Row],[App]],Table2[],3,0),"open")</f>
        <v>open</v>
      </c>
      <c r="C4452" s="149" t="s">
        <v>370</v>
      </c>
      <c r="D4452" t="s">
        <v>5295</v>
      </c>
      <c r="E4452" t="s">
        <v>6624</v>
      </c>
      <c r="F4452" s="150" t="s">
        <v>5457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0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6436</v>
      </c>
      <c r="M4452" s="162">
        <v>45958</v>
      </c>
      <c r="N4452" s="162"/>
      <c r="O4452" s="162"/>
      <c r="P4452" s="163" t="str">
        <f ca="1">IF(Proc[[#This Row],[DaysAgeing]]&gt;5,"yep","on track")</f>
        <v>on track</v>
      </c>
      <c r="Q4452" s="3">
        <f ca="1">IF(Proc[[#This Row],[DateClosed]]="",ABS(NETWORKDAYS(Proc[[#This Row],[DateOpened]],TODAY()))-1,ABS(NETWORKDAYS(Proc[[#This Row],[DateOpened]],Proc[[#This Row],[DateClosed]]))-1)</f>
        <v>3</v>
      </c>
      <c r="R4452" s="163" t="s">
        <v>1459</v>
      </c>
      <c r="S4452" s="150"/>
    </row>
    <row r="4453" spans="1:19">
      <c r="A4453" s="149" t="s">
        <v>6629</v>
      </c>
      <c r="B4453" s="150" t="str">
        <f>IFERROR(VLOOKUP(Proc[[#This Row],[App]],Table2[],3,0),"open")</f>
        <v>open</v>
      </c>
      <c r="C4453" s="149" t="s">
        <v>370</v>
      </c>
      <c r="D4453" t="s">
        <v>5308</v>
      </c>
      <c r="E4453" t="s">
        <v>6624</v>
      </c>
      <c r="F4453" s="150" t="s">
        <v>5457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0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6436</v>
      </c>
      <c r="M4453" s="162">
        <v>45958</v>
      </c>
      <c r="N4453" s="162"/>
      <c r="O4453" s="162"/>
      <c r="P4453" s="163" t="str">
        <f ca="1">IF(Proc[[#This Row],[DaysAgeing]]&gt;5,"yep","on track")</f>
        <v>on track</v>
      </c>
      <c r="Q4453" s="3">
        <f ca="1">IF(Proc[[#This Row],[DateClosed]]="",ABS(NETWORKDAYS(Proc[[#This Row],[DateOpened]],TODAY()))-1,ABS(NETWORKDAYS(Proc[[#This Row],[DateOpened]],Proc[[#This Row],[DateClosed]]))-1)</f>
        <v>3</v>
      </c>
      <c r="R4453" s="163" t="s">
        <v>1459</v>
      </c>
      <c r="S4453" s="150"/>
    </row>
    <row r="4454" spans="1:19">
      <c r="A4454" s="149" t="s">
        <v>6629</v>
      </c>
      <c r="B4454" s="150" t="str">
        <f>IFERROR(VLOOKUP(Proc[[#This Row],[App]],Table2[],3,0),"open")</f>
        <v>open</v>
      </c>
      <c r="C4454" s="149" t="s">
        <v>370</v>
      </c>
      <c r="D4454" t="s">
        <v>5440</v>
      </c>
      <c r="E4454" t="s">
        <v>6625</v>
      </c>
      <c r="F4454" s="150" t="s">
        <v>6446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0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6436</v>
      </c>
      <c r="M4454" s="162">
        <v>45958</v>
      </c>
      <c r="N4454" s="162"/>
      <c r="O4454" s="162"/>
      <c r="P4454" s="163" t="str">
        <f ca="1">IF(Proc[[#This Row],[DaysAgeing]]&gt;5,"yep","on track")</f>
        <v>on track</v>
      </c>
      <c r="Q4454" s="3">
        <f ca="1">IF(Proc[[#This Row],[DateClosed]]="",ABS(NETWORKDAYS(Proc[[#This Row],[DateOpened]],TODAY()))-1,ABS(NETWORKDAYS(Proc[[#This Row],[DateOpened]],Proc[[#This Row],[DateClosed]]))-1)</f>
        <v>3</v>
      </c>
      <c r="R4454" s="163" t="s">
        <v>1459</v>
      </c>
      <c r="S4454" s="150"/>
    </row>
    <row r="4455" spans="1:19">
      <c r="A4455" s="149" t="s">
        <v>6629</v>
      </c>
      <c r="B4455" s="150" t="str">
        <f>IFERROR(VLOOKUP(Proc[[#This Row],[App]],Table2[],3,0),"open")</f>
        <v>open</v>
      </c>
      <c r="C4455" s="149" t="s">
        <v>370</v>
      </c>
      <c r="D4455" t="s">
        <v>5307</v>
      </c>
      <c r="E4455" t="s">
        <v>6624</v>
      </c>
      <c r="F4455" s="150" t="s">
        <v>5457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0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6436</v>
      </c>
      <c r="M4455" s="162">
        <v>45958</v>
      </c>
      <c r="N4455" s="162"/>
      <c r="O4455" s="162"/>
      <c r="P4455" s="163" t="str">
        <f ca="1">IF(Proc[[#This Row],[DaysAgeing]]&gt;5,"yep","on track")</f>
        <v>on track</v>
      </c>
      <c r="Q4455" s="3">
        <f ca="1">IF(Proc[[#This Row],[DateClosed]]="",ABS(NETWORKDAYS(Proc[[#This Row],[DateOpened]],TODAY()))-1,ABS(NETWORKDAYS(Proc[[#This Row],[DateOpened]],Proc[[#This Row],[DateClosed]]))-1)</f>
        <v>3</v>
      </c>
      <c r="R4455" s="163" t="s">
        <v>1459</v>
      </c>
      <c r="S4455" s="150"/>
    </row>
    <row r="4456" spans="1:19">
      <c r="A4456" s="149" t="s">
        <v>6629</v>
      </c>
      <c r="B4456" s="150" t="str">
        <f>IFERROR(VLOOKUP(Proc[[#This Row],[App]],Table2[],3,0),"open")</f>
        <v>open</v>
      </c>
      <c r="C4456" s="149" t="s">
        <v>370</v>
      </c>
      <c r="D4456" t="s">
        <v>5312</v>
      </c>
      <c r="E4456" t="s">
        <v>6624</v>
      </c>
      <c r="F4456" s="150" t="s">
        <v>5457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0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6436</v>
      </c>
      <c r="M4456" s="162">
        <v>45958</v>
      </c>
      <c r="N4456" s="162"/>
      <c r="O4456" s="162"/>
      <c r="P4456" s="163" t="str">
        <f ca="1">IF(Proc[[#This Row],[DaysAgeing]]&gt;5,"yep","on track")</f>
        <v>on track</v>
      </c>
      <c r="Q4456" s="3">
        <f ca="1">IF(Proc[[#This Row],[DateClosed]]="",ABS(NETWORKDAYS(Proc[[#This Row],[DateOpened]],TODAY()))-1,ABS(NETWORKDAYS(Proc[[#This Row],[DateOpened]],Proc[[#This Row],[DateClosed]]))-1)</f>
        <v>3</v>
      </c>
      <c r="R4456" s="163" t="s">
        <v>1459</v>
      </c>
      <c r="S4456" s="150"/>
    </row>
    <row r="4457" spans="1:19">
      <c r="A4457" s="149" t="s">
        <v>6629</v>
      </c>
      <c r="B4457" s="150" t="str">
        <f>IFERROR(VLOOKUP(Proc[[#This Row],[App]],Table2[],3,0),"open")</f>
        <v>open</v>
      </c>
      <c r="C4457" s="149" t="s">
        <v>375</v>
      </c>
      <c r="D4457" t="s">
        <v>6611</v>
      </c>
      <c r="E4457" t="s">
        <v>6605</v>
      </c>
      <c r="F4457" s="150" t="s">
        <v>5466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0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6436</v>
      </c>
      <c r="M4457" s="162">
        <v>45958</v>
      </c>
      <c r="N4457" s="162"/>
      <c r="O4457" s="162"/>
      <c r="P4457" s="163" t="str">
        <f ca="1">IF(Proc[[#This Row],[DaysAgeing]]&gt;5,"yep","on track")</f>
        <v>on track</v>
      </c>
      <c r="Q4457" s="3">
        <f ca="1">IF(Proc[[#This Row],[DateClosed]]="",ABS(NETWORKDAYS(Proc[[#This Row],[DateOpened]],TODAY()))-1,ABS(NETWORKDAYS(Proc[[#This Row],[DateOpened]],Proc[[#This Row],[DateClosed]]))-1)</f>
        <v>3</v>
      </c>
      <c r="R4457" s="163" t="s">
        <v>1459</v>
      </c>
      <c r="S4457" s="150"/>
    </row>
    <row r="4458" spans="1:19">
      <c r="A4458" s="149" t="s">
        <v>6629</v>
      </c>
      <c r="B4458" s="150" t="str">
        <f>IFERROR(VLOOKUP(Proc[[#This Row],[App]],Table2[],3,0),"open")</f>
        <v>open</v>
      </c>
      <c r="C4458" s="149" t="s">
        <v>370</v>
      </c>
      <c r="D4458" t="s">
        <v>6612</v>
      </c>
      <c r="E4458" t="s">
        <v>6626</v>
      </c>
      <c r="F4458" s="150" t="s">
        <v>662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0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6436</v>
      </c>
      <c r="M4458" s="162">
        <v>45958</v>
      </c>
      <c r="N4458" s="162"/>
      <c r="O4458" s="162"/>
      <c r="P4458" s="163" t="str">
        <f ca="1">IF(Proc[[#This Row],[DaysAgeing]]&gt;5,"yep","on track")</f>
        <v>on track</v>
      </c>
      <c r="Q4458" s="3">
        <f ca="1">IF(Proc[[#This Row],[DateClosed]]="",ABS(NETWORKDAYS(Proc[[#This Row],[DateOpened]],TODAY()))-1,ABS(NETWORKDAYS(Proc[[#This Row],[DateOpened]],Proc[[#This Row],[DateClosed]]))-1)</f>
        <v>3</v>
      </c>
      <c r="R4458" s="163" t="s">
        <v>1459</v>
      </c>
      <c r="S4458" s="150"/>
    </row>
    <row r="4459" spans="1:19">
      <c r="A4459" s="149" t="s">
        <v>6629</v>
      </c>
      <c r="B4459" s="150" t="str">
        <f>IFERROR(VLOOKUP(Proc[[#This Row],[App]],Table2[],3,0),"open")</f>
        <v>open</v>
      </c>
      <c r="C4459" s="149" t="s">
        <v>375</v>
      </c>
      <c r="D4459" t="s">
        <v>1827</v>
      </c>
      <c r="E4459" t="s">
        <v>6627</v>
      </c>
      <c r="F4459" s="150" t="s">
        <v>1828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0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6436</v>
      </c>
      <c r="M4459" s="162">
        <v>45958</v>
      </c>
      <c r="N4459" s="162"/>
      <c r="O4459" s="162"/>
      <c r="P4459" s="163" t="str">
        <f ca="1">IF(Proc[[#This Row],[DaysAgeing]]&gt;5,"yep","on track")</f>
        <v>on track</v>
      </c>
      <c r="Q4459" s="3">
        <f ca="1">IF(Proc[[#This Row],[DateClosed]]="",ABS(NETWORKDAYS(Proc[[#This Row],[DateOpened]],TODAY()))-1,ABS(NETWORKDAYS(Proc[[#This Row],[DateOpened]],Proc[[#This Row],[DateClosed]]))-1)</f>
        <v>3</v>
      </c>
      <c r="R4459" s="163" t="s">
        <v>1459</v>
      </c>
      <c r="S4459" s="150"/>
    </row>
    <row r="4460" spans="1:19">
      <c r="A4460" s="149" t="s">
        <v>6629</v>
      </c>
      <c r="B4460" s="150" t="str">
        <f>IFERROR(VLOOKUP(Proc[[#This Row],[App]],Table2[],3,0),"open")</f>
        <v>open</v>
      </c>
      <c r="C4460" s="149" t="s">
        <v>375</v>
      </c>
      <c r="D4460" t="s">
        <v>6613</v>
      </c>
      <c r="E4460" t="s">
        <v>6626</v>
      </c>
      <c r="F4460" s="150" t="s">
        <v>662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0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6436</v>
      </c>
      <c r="M4460" s="162">
        <v>45958</v>
      </c>
      <c r="N4460" s="162"/>
      <c r="O4460" s="162"/>
      <c r="P4460" s="163" t="str">
        <f ca="1">IF(Proc[[#This Row],[DaysAgeing]]&gt;5,"yep","on track")</f>
        <v>on track</v>
      </c>
      <c r="Q4460" s="3">
        <f ca="1">IF(Proc[[#This Row],[DateClosed]]="",ABS(NETWORKDAYS(Proc[[#This Row],[DateOpened]],TODAY()))-1,ABS(NETWORKDAYS(Proc[[#This Row],[DateOpened]],Proc[[#This Row],[DateClosed]]))-1)</f>
        <v>3</v>
      </c>
      <c r="R4460" s="163" t="s">
        <v>1459</v>
      </c>
      <c r="S4460" s="150"/>
    </row>
    <row r="4461" spans="1:19">
      <c r="A4461" s="149" t="s">
        <v>6629</v>
      </c>
      <c r="B4461" s="150" t="str">
        <f>IFERROR(VLOOKUP(Proc[[#This Row],[App]],Table2[],3,0),"open")</f>
        <v>open</v>
      </c>
      <c r="C4461" s="149" t="s">
        <v>375</v>
      </c>
      <c r="D4461" t="s">
        <v>6614</v>
      </c>
      <c r="E4461" t="s">
        <v>6627</v>
      </c>
      <c r="F4461" s="150" t="s">
        <v>1828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0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6436</v>
      </c>
      <c r="M4461" s="162">
        <v>45958</v>
      </c>
      <c r="N4461" s="162"/>
      <c r="O4461" s="162"/>
      <c r="P4461" s="163" t="str">
        <f ca="1">IF(Proc[[#This Row],[DaysAgeing]]&gt;5,"yep","on track")</f>
        <v>on track</v>
      </c>
      <c r="Q4461" s="3">
        <f ca="1">IF(Proc[[#This Row],[DateClosed]]="",ABS(NETWORKDAYS(Proc[[#This Row],[DateOpened]],TODAY()))-1,ABS(NETWORKDAYS(Proc[[#This Row],[DateOpened]],Proc[[#This Row],[DateClosed]]))-1)</f>
        <v>3</v>
      </c>
      <c r="R4461" s="163" t="s">
        <v>1459</v>
      </c>
      <c r="S4461" s="150"/>
    </row>
    <row r="4462" spans="1:19">
      <c r="A4462" s="149" t="s">
        <v>6629</v>
      </c>
      <c r="B4462" s="150" t="str">
        <f>IFERROR(VLOOKUP(Proc[[#This Row],[App]],Table2[],3,0),"open")</f>
        <v>open</v>
      </c>
      <c r="C4462" s="149" t="s">
        <v>375</v>
      </c>
      <c r="D4462" t="s">
        <v>6615</v>
      </c>
      <c r="E4462" t="s">
        <v>6627</v>
      </c>
      <c r="F4462" s="150" t="s">
        <v>1828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0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6436</v>
      </c>
      <c r="M4462" s="162">
        <v>45958</v>
      </c>
      <c r="N4462" s="162"/>
      <c r="O4462" s="162"/>
      <c r="P4462" s="163" t="str">
        <f ca="1">IF(Proc[[#This Row],[DaysAgeing]]&gt;5,"yep","on track")</f>
        <v>on track</v>
      </c>
      <c r="Q4462" s="3">
        <f ca="1">IF(Proc[[#This Row],[DateClosed]]="",ABS(NETWORKDAYS(Proc[[#This Row],[DateOpened]],TODAY()))-1,ABS(NETWORKDAYS(Proc[[#This Row],[DateOpened]],Proc[[#This Row],[DateClosed]]))-1)</f>
        <v>3</v>
      </c>
      <c r="R4462" s="163" t="s">
        <v>1459</v>
      </c>
      <c r="S4462" s="150"/>
    </row>
    <row r="4463" spans="1:19">
      <c r="A4463" s="149" t="s">
        <v>6629</v>
      </c>
      <c r="B4463" s="150" t="str">
        <f>IFERROR(VLOOKUP(Proc[[#This Row],[App]],Table2[],3,0),"open")</f>
        <v>open</v>
      </c>
      <c r="C4463" s="149" t="s">
        <v>375</v>
      </c>
      <c r="D4463" t="s">
        <v>5437</v>
      </c>
      <c r="E4463" t="s">
        <v>6625</v>
      </c>
      <c r="F4463" s="150" t="s">
        <v>6446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0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6436</v>
      </c>
      <c r="M4463" s="162">
        <v>45958</v>
      </c>
      <c r="N4463" s="162"/>
      <c r="O4463" s="162"/>
      <c r="P4463" s="163" t="str">
        <f ca="1">IF(Proc[[#This Row],[DaysAgeing]]&gt;5,"yep","on track")</f>
        <v>on track</v>
      </c>
      <c r="Q4463" s="3">
        <f ca="1">IF(Proc[[#This Row],[DateClosed]]="",ABS(NETWORKDAYS(Proc[[#This Row],[DateOpened]],TODAY()))-1,ABS(NETWORKDAYS(Proc[[#This Row],[DateOpened]],Proc[[#This Row],[DateClosed]]))-1)</f>
        <v>3</v>
      </c>
      <c r="R4463" s="163" t="s">
        <v>1459</v>
      </c>
      <c r="S4463" s="150"/>
    </row>
    <row r="4464" spans="1:19">
      <c r="A4464" s="149" t="s">
        <v>6629</v>
      </c>
      <c r="B4464" s="150" t="str">
        <f>IFERROR(VLOOKUP(Proc[[#This Row],[App]],Table2[],3,0),"open")</f>
        <v>open</v>
      </c>
      <c r="C4464" s="149" t="s">
        <v>375</v>
      </c>
      <c r="D4464" t="s">
        <v>5329</v>
      </c>
      <c r="E4464" t="s">
        <v>6624</v>
      </c>
      <c r="F4464" s="150" t="s">
        <v>5457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0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6436</v>
      </c>
      <c r="M4464" s="162">
        <v>45958</v>
      </c>
      <c r="N4464" s="162"/>
      <c r="O4464" s="162"/>
      <c r="P4464" s="163" t="str">
        <f ca="1">IF(Proc[[#This Row],[DaysAgeing]]&gt;5,"yep","on track")</f>
        <v>on track</v>
      </c>
      <c r="Q4464" s="3">
        <f ca="1">IF(Proc[[#This Row],[DateClosed]]="",ABS(NETWORKDAYS(Proc[[#This Row],[DateOpened]],TODAY()))-1,ABS(NETWORKDAYS(Proc[[#This Row],[DateOpened]],Proc[[#This Row],[DateClosed]]))-1)</f>
        <v>3</v>
      </c>
      <c r="R4464" s="163" t="s">
        <v>1459</v>
      </c>
      <c r="S4464" s="150"/>
    </row>
    <row r="4465" spans="1:19">
      <c r="A4465" s="149" t="s">
        <v>6629</v>
      </c>
      <c r="B4465" s="150" t="str">
        <f>IFERROR(VLOOKUP(Proc[[#This Row],[App]],Table2[],3,0),"open")</f>
        <v>open</v>
      </c>
      <c r="C4465" s="149" t="s">
        <v>370</v>
      </c>
      <c r="D4465" t="s">
        <v>5367</v>
      </c>
      <c r="E4465" t="s">
        <v>6624</v>
      </c>
      <c r="F4465" s="150" t="s">
        <v>5457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0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6436</v>
      </c>
      <c r="M4465" s="162">
        <v>45958</v>
      </c>
      <c r="N4465" s="162"/>
      <c r="O4465" s="162"/>
      <c r="P4465" s="163" t="str">
        <f ca="1">IF(Proc[[#This Row],[DaysAgeing]]&gt;5,"yep","on track")</f>
        <v>on track</v>
      </c>
      <c r="Q4465" s="3">
        <f ca="1">IF(Proc[[#This Row],[DateClosed]]="",ABS(NETWORKDAYS(Proc[[#This Row],[DateOpened]],TODAY()))-1,ABS(NETWORKDAYS(Proc[[#This Row],[DateOpened]],Proc[[#This Row],[DateClosed]]))-1)</f>
        <v>3</v>
      </c>
      <c r="R4465" s="163" t="s">
        <v>1459</v>
      </c>
      <c r="S4465" s="150"/>
    </row>
    <row r="4466" spans="1:19">
      <c r="A4466" s="149" t="s">
        <v>6629</v>
      </c>
      <c r="B4466" s="150" t="str">
        <f>IFERROR(VLOOKUP(Proc[[#This Row],[App]],Table2[],3,0),"open")</f>
        <v>open</v>
      </c>
      <c r="C4466" s="149" t="s">
        <v>375</v>
      </c>
      <c r="D4466" t="s">
        <v>6616</v>
      </c>
      <c r="E4466" t="s">
        <v>6605</v>
      </c>
      <c r="F4466" s="150" t="s">
        <v>5466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0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6436</v>
      </c>
      <c r="M4466" s="162">
        <v>45958</v>
      </c>
      <c r="N4466" s="162"/>
      <c r="O4466" s="162"/>
      <c r="P4466" s="163" t="str">
        <f ca="1">IF(Proc[[#This Row],[DaysAgeing]]&gt;5,"yep","on track")</f>
        <v>on track</v>
      </c>
      <c r="Q4466" s="3">
        <f ca="1">IF(Proc[[#This Row],[DateClosed]]="",ABS(NETWORKDAYS(Proc[[#This Row],[DateOpened]],TODAY()))-1,ABS(NETWORKDAYS(Proc[[#This Row],[DateOpened]],Proc[[#This Row],[DateClosed]]))-1)</f>
        <v>3</v>
      </c>
      <c r="R4466" s="163" t="s">
        <v>1459</v>
      </c>
      <c r="S4466" s="150"/>
    </row>
    <row r="4467" spans="1:19">
      <c r="A4467" s="149" t="s">
        <v>6629</v>
      </c>
      <c r="B4467" s="150" t="str">
        <f>IFERROR(VLOOKUP(Proc[[#This Row],[App]],Table2[],3,0),"open")</f>
        <v>open</v>
      </c>
      <c r="C4467" s="149" t="s">
        <v>370</v>
      </c>
      <c r="D4467" t="s">
        <v>6617</v>
      </c>
      <c r="E4467" t="s">
        <v>6627</v>
      </c>
      <c r="F4467" s="150" t="s">
        <v>1828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0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6436</v>
      </c>
      <c r="M4467" s="162">
        <v>45958</v>
      </c>
      <c r="N4467" s="162"/>
      <c r="O4467" s="162"/>
      <c r="P4467" s="163" t="str">
        <f ca="1">IF(Proc[[#This Row],[DaysAgeing]]&gt;5,"yep","on track")</f>
        <v>on track</v>
      </c>
      <c r="Q4467" s="3">
        <f ca="1">IF(Proc[[#This Row],[DateClosed]]="",ABS(NETWORKDAYS(Proc[[#This Row],[DateOpened]],TODAY()))-1,ABS(NETWORKDAYS(Proc[[#This Row],[DateOpened]],Proc[[#This Row],[DateClosed]]))-1)</f>
        <v>3</v>
      </c>
      <c r="R4467" s="163" t="s">
        <v>1459</v>
      </c>
      <c r="S4467" s="150"/>
    </row>
    <row r="4468" spans="1:19">
      <c r="A4468" s="149" t="s">
        <v>6629</v>
      </c>
      <c r="B4468" s="150" t="str">
        <f>IFERROR(VLOOKUP(Proc[[#This Row],[App]],Table2[],3,0),"open")</f>
        <v>open</v>
      </c>
      <c r="C4468" s="149" t="s">
        <v>370</v>
      </c>
      <c r="D4468" t="s">
        <v>6445</v>
      </c>
      <c r="E4468" t="s">
        <v>5447</v>
      </c>
      <c r="F4468" s="150" t="s">
        <v>6449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0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6436</v>
      </c>
      <c r="M4468" s="162">
        <v>45958</v>
      </c>
      <c r="N4468" s="162"/>
      <c r="O4468" s="162"/>
      <c r="P4468" s="163" t="str">
        <f ca="1">IF(Proc[[#This Row],[DaysAgeing]]&gt;5,"yep","on track")</f>
        <v>on track</v>
      </c>
      <c r="Q4468" s="3">
        <f ca="1">IF(Proc[[#This Row],[DateClosed]]="",ABS(NETWORKDAYS(Proc[[#This Row],[DateOpened]],TODAY()))-1,ABS(NETWORKDAYS(Proc[[#This Row],[DateOpened]],Proc[[#This Row],[DateClosed]]))-1)</f>
        <v>3</v>
      </c>
      <c r="R4468" s="163" t="s">
        <v>1459</v>
      </c>
      <c r="S4468" s="150"/>
    </row>
    <row r="4469" spans="1:19">
      <c r="A4469" s="149" t="s">
        <v>6629</v>
      </c>
      <c r="B4469" s="150" t="str">
        <f>IFERROR(VLOOKUP(Proc[[#This Row],[App]],Table2[],3,0),"open")</f>
        <v>open</v>
      </c>
      <c r="C4469" s="149" t="s">
        <v>375</v>
      </c>
      <c r="D4469" t="s">
        <v>5418</v>
      </c>
      <c r="E4469" t="s">
        <v>6624</v>
      </c>
      <c r="F4469" s="150" t="s">
        <v>5457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0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6436</v>
      </c>
      <c r="M4469" s="162">
        <v>45958</v>
      </c>
      <c r="N4469" s="162"/>
      <c r="O4469" s="162"/>
      <c r="P4469" s="163" t="str">
        <f ca="1">IF(Proc[[#This Row],[DaysAgeing]]&gt;5,"yep","on track")</f>
        <v>on track</v>
      </c>
      <c r="Q4469" s="3">
        <f ca="1">IF(Proc[[#This Row],[DateClosed]]="",ABS(NETWORKDAYS(Proc[[#This Row],[DateOpened]],TODAY()))-1,ABS(NETWORKDAYS(Proc[[#This Row],[DateOpened]],Proc[[#This Row],[DateClosed]]))-1)</f>
        <v>3</v>
      </c>
      <c r="R4469" s="163" t="s">
        <v>1459</v>
      </c>
      <c r="S4469" s="150"/>
    </row>
    <row r="4470" spans="1:19">
      <c r="A4470" s="149" t="s">
        <v>6629</v>
      </c>
      <c r="B4470" s="150" t="str">
        <f>IFERROR(VLOOKUP(Proc[[#This Row],[App]],Table2[],3,0),"open")</f>
        <v>open</v>
      </c>
      <c r="C4470" s="149" t="s">
        <v>375</v>
      </c>
      <c r="D4470" t="s">
        <v>5411</v>
      </c>
      <c r="E4470" t="s">
        <v>6624</v>
      </c>
      <c r="F4470" s="150" t="s">
        <v>5457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0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6436</v>
      </c>
      <c r="M4470" s="162">
        <v>45958</v>
      </c>
      <c r="N4470" s="162"/>
      <c r="O4470" s="162"/>
      <c r="P4470" s="163" t="str">
        <f ca="1">IF(Proc[[#This Row],[DaysAgeing]]&gt;5,"yep","on track")</f>
        <v>on track</v>
      </c>
      <c r="Q4470" s="3">
        <f ca="1">IF(Proc[[#This Row],[DateClosed]]="",ABS(NETWORKDAYS(Proc[[#This Row],[DateOpened]],TODAY()))-1,ABS(NETWORKDAYS(Proc[[#This Row],[DateOpened]],Proc[[#This Row],[DateClosed]]))-1)</f>
        <v>3</v>
      </c>
      <c r="R4470" s="163" t="s">
        <v>1459</v>
      </c>
      <c r="S4470" s="150"/>
    </row>
    <row r="4471" spans="1:19">
      <c r="A4471" s="149" t="s">
        <v>6629</v>
      </c>
      <c r="B4471" s="150" t="str">
        <f>IFERROR(VLOOKUP(Proc[[#This Row],[App]],Table2[],3,0),"open")</f>
        <v>open</v>
      </c>
      <c r="C4471" s="149" t="s">
        <v>375</v>
      </c>
      <c r="D4471" t="s">
        <v>5443</v>
      </c>
      <c r="E4471" t="s">
        <v>6625</v>
      </c>
      <c r="F4471" s="150" t="s">
        <v>6446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0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6436</v>
      </c>
      <c r="M4471" s="162">
        <v>45958</v>
      </c>
      <c r="N4471" s="162"/>
      <c r="O4471" s="162"/>
      <c r="P4471" s="163" t="str">
        <f ca="1">IF(Proc[[#This Row],[DaysAgeing]]&gt;5,"yep","on track")</f>
        <v>on track</v>
      </c>
      <c r="Q4471" s="3">
        <f ca="1">IF(Proc[[#This Row],[DateClosed]]="",ABS(NETWORKDAYS(Proc[[#This Row],[DateOpened]],TODAY()))-1,ABS(NETWORKDAYS(Proc[[#This Row],[DateOpened]],Proc[[#This Row],[DateClosed]]))-1)</f>
        <v>3</v>
      </c>
      <c r="R4471" s="163" t="s">
        <v>1459</v>
      </c>
      <c r="S4471" s="150"/>
    </row>
    <row r="4472" spans="1:19">
      <c r="A4472" s="149" t="s">
        <v>6629</v>
      </c>
      <c r="B4472" s="150" t="str">
        <f>IFERROR(VLOOKUP(Proc[[#This Row],[App]],Table2[],3,0),"open")</f>
        <v>open</v>
      </c>
      <c r="C4472" s="149" t="s">
        <v>375</v>
      </c>
      <c r="D4472" t="s">
        <v>5444</v>
      </c>
      <c r="E4472" t="s">
        <v>6625</v>
      </c>
      <c r="F4472" s="150" t="s">
        <v>6450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0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6436</v>
      </c>
      <c r="M4472" s="162">
        <v>45958</v>
      </c>
      <c r="N4472" s="162"/>
      <c r="O4472" s="162"/>
      <c r="P4472" s="163" t="str">
        <f ca="1">IF(Proc[[#This Row],[DaysAgeing]]&gt;5,"yep","on track")</f>
        <v>on track</v>
      </c>
      <c r="Q4472" s="3">
        <f ca="1">IF(Proc[[#This Row],[DateClosed]]="",ABS(NETWORKDAYS(Proc[[#This Row],[DateOpened]],TODAY()))-1,ABS(NETWORKDAYS(Proc[[#This Row],[DateOpened]],Proc[[#This Row],[DateClosed]]))-1)</f>
        <v>3</v>
      </c>
      <c r="R4472" s="163" t="s">
        <v>1459</v>
      </c>
      <c r="S4472" s="150"/>
    </row>
    <row r="4473" spans="1:19">
      <c r="A4473" s="149" t="s">
        <v>6629</v>
      </c>
      <c r="B4473" s="150" t="str">
        <f>IFERROR(VLOOKUP(Proc[[#This Row],[App]],Table2[],3,0),"open")</f>
        <v>open</v>
      </c>
      <c r="C4473" s="149" t="s">
        <v>375</v>
      </c>
      <c r="D4473" t="s">
        <v>5413</v>
      </c>
      <c r="E4473" t="s">
        <v>6624</v>
      </c>
      <c r="F4473" s="150" t="s">
        <v>5457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0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6436</v>
      </c>
      <c r="M4473" s="162">
        <v>45958</v>
      </c>
      <c r="N4473" s="162"/>
      <c r="O4473" s="162"/>
      <c r="P4473" s="163" t="str">
        <f ca="1">IF(Proc[[#This Row],[DaysAgeing]]&gt;5,"yep","on track")</f>
        <v>on track</v>
      </c>
      <c r="Q4473" s="3">
        <f ca="1">IF(Proc[[#This Row],[DateClosed]]="",ABS(NETWORKDAYS(Proc[[#This Row],[DateOpened]],TODAY()))-1,ABS(NETWORKDAYS(Proc[[#This Row],[DateOpened]],Proc[[#This Row],[DateClosed]]))-1)</f>
        <v>3</v>
      </c>
      <c r="R4473" s="163" t="s">
        <v>1459</v>
      </c>
      <c r="S4473" s="150"/>
    </row>
    <row r="4474" spans="1:19">
      <c r="A4474" s="149" t="s">
        <v>6629</v>
      </c>
      <c r="B4474" s="150" t="str">
        <f>IFERROR(VLOOKUP(Proc[[#This Row],[App]],Table2[],3,0),"open")</f>
        <v>open</v>
      </c>
      <c r="C4474" s="149" t="s">
        <v>375</v>
      </c>
      <c r="D4474" t="s">
        <v>5410</v>
      </c>
      <c r="E4474" t="s">
        <v>6624</v>
      </c>
      <c r="F4474" s="150" t="s">
        <v>5457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0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6436</v>
      </c>
      <c r="M4474" s="162">
        <v>45958</v>
      </c>
      <c r="N4474" s="162"/>
      <c r="O4474" s="162"/>
      <c r="P4474" s="163" t="str">
        <f ca="1">IF(Proc[[#This Row],[DaysAgeing]]&gt;5,"yep","on track")</f>
        <v>on track</v>
      </c>
      <c r="Q4474" s="3">
        <f ca="1">IF(Proc[[#This Row],[DateClosed]]="",ABS(NETWORKDAYS(Proc[[#This Row],[DateOpened]],TODAY()))-1,ABS(NETWORKDAYS(Proc[[#This Row],[DateOpened]],Proc[[#This Row],[DateClosed]]))-1)</f>
        <v>3</v>
      </c>
      <c r="R4474" s="163" t="s">
        <v>1459</v>
      </c>
      <c r="S4474" s="150"/>
    </row>
    <row r="4475" spans="1:19">
      <c r="A4475" s="149" t="s">
        <v>6629</v>
      </c>
      <c r="B4475" s="150" t="str">
        <f>IFERROR(VLOOKUP(Proc[[#This Row],[App]],Table2[],3,0),"open")</f>
        <v>open</v>
      </c>
      <c r="C4475" s="149" t="s">
        <v>375</v>
      </c>
      <c r="D4475" t="s">
        <v>5417</v>
      </c>
      <c r="E4475" t="s">
        <v>6624</v>
      </c>
      <c r="F4475" s="150" t="s">
        <v>5457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0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6436</v>
      </c>
      <c r="M4475" s="162">
        <v>45958</v>
      </c>
      <c r="N4475" s="162"/>
      <c r="O4475" s="162"/>
      <c r="P4475" s="163" t="str">
        <f ca="1">IF(Proc[[#This Row],[DaysAgeing]]&gt;5,"yep","on track")</f>
        <v>on track</v>
      </c>
      <c r="Q4475" s="3">
        <f ca="1">IF(Proc[[#This Row],[DateClosed]]="",ABS(NETWORKDAYS(Proc[[#This Row],[DateOpened]],TODAY()))-1,ABS(NETWORKDAYS(Proc[[#This Row],[DateOpened]],Proc[[#This Row],[DateClosed]]))-1)</f>
        <v>3</v>
      </c>
      <c r="R4475" s="163" t="s">
        <v>1459</v>
      </c>
      <c r="S4475" s="150"/>
    </row>
    <row r="4476" spans="1:19">
      <c r="A4476" s="149" t="s">
        <v>6629</v>
      </c>
      <c r="B4476" s="150" t="str">
        <f>IFERROR(VLOOKUP(Proc[[#This Row],[App]],Table2[],3,0),"open")</f>
        <v>open</v>
      </c>
      <c r="C4476" s="149" t="s">
        <v>375</v>
      </c>
      <c r="D4476" t="s">
        <v>5401</v>
      </c>
      <c r="E4476" t="s">
        <v>6624</v>
      </c>
      <c r="F4476" s="150" t="s">
        <v>5457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0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6436</v>
      </c>
      <c r="M4476" s="162">
        <v>45958</v>
      </c>
      <c r="N4476" s="162"/>
      <c r="O4476" s="162"/>
      <c r="P4476" s="163" t="str">
        <f ca="1">IF(Proc[[#This Row],[DaysAgeing]]&gt;5,"yep","on track")</f>
        <v>on track</v>
      </c>
      <c r="Q4476" s="3">
        <f ca="1">IF(Proc[[#This Row],[DateClosed]]="",ABS(NETWORKDAYS(Proc[[#This Row],[DateOpened]],TODAY()))-1,ABS(NETWORKDAYS(Proc[[#This Row],[DateOpened]],Proc[[#This Row],[DateClosed]]))-1)</f>
        <v>3</v>
      </c>
      <c r="R4476" s="163" t="s">
        <v>1459</v>
      </c>
      <c r="S4476" s="150"/>
    </row>
    <row r="4477" spans="1:19">
      <c r="A4477" s="149" t="s">
        <v>6629</v>
      </c>
      <c r="B4477" s="150" t="str">
        <f>IFERROR(VLOOKUP(Proc[[#This Row],[App]],Table2[],3,0),"open")</f>
        <v>open</v>
      </c>
      <c r="C4477" s="149" t="s">
        <v>375</v>
      </c>
      <c r="D4477" t="s">
        <v>6618</v>
      </c>
      <c r="E4477" t="s">
        <v>6627</v>
      </c>
      <c r="F4477" s="150" t="s">
        <v>1828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0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6436</v>
      </c>
      <c r="M4477" s="162">
        <v>45958</v>
      </c>
      <c r="N4477" s="162"/>
      <c r="O4477" s="162"/>
      <c r="P4477" s="163" t="str">
        <f ca="1">IF(Proc[[#This Row],[DaysAgeing]]&gt;5,"yep","on track")</f>
        <v>on track</v>
      </c>
      <c r="Q4477" s="3">
        <f ca="1">IF(Proc[[#This Row],[DateClosed]]="",ABS(NETWORKDAYS(Proc[[#This Row],[DateOpened]],TODAY()))-1,ABS(NETWORKDAYS(Proc[[#This Row],[DateOpened]],Proc[[#This Row],[DateClosed]]))-1)</f>
        <v>3</v>
      </c>
      <c r="R4477" s="163" t="s">
        <v>1459</v>
      </c>
      <c r="S4477" s="150"/>
    </row>
    <row r="4478" spans="1:19">
      <c r="A4478" s="149" t="s">
        <v>6629</v>
      </c>
      <c r="B4478" s="150" t="str">
        <f>IFERROR(VLOOKUP(Proc[[#This Row],[App]],Table2[],3,0),"open")</f>
        <v>open</v>
      </c>
      <c r="C4478" s="149" t="s">
        <v>375</v>
      </c>
      <c r="D4478" t="s">
        <v>5415</v>
      </c>
      <c r="E4478" t="s">
        <v>6624</v>
      </c>
      <c r="F4478" s="150" t="s">
        <v>5457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0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6436</v>
      </c>
      <c r="M4478" s="162">
        <v>45958</v>
      </c>
      <c r="N4478" s="162"/>
      <c r="O4478" s="162"/>
      <c r="P4478" s="163" t="str">
        <f ca="1">IF(Proc[[#This Row],[DaysAgeing]]&gt;5,"yep","on track")</f>
        <v>on track</v>
      </c>
      <c r="Q4478" s="3">
        <f ca="1">IF(Proc[[#This Row],[DateClosed]]="",ABS(NETWORKDAYS(Proc[[#This Row],[DateOpened]],TODAY()))-1,ABS(NETWORKDAYS(Proc[[#This Row],[DateOpened]],Proc[[#This Row],[DateClosed]]))-1)</f>
        <v>3</v>
      </c>
      <c r="R4478" s="163" t="s">
        <v>1459</v>
      </c>
      <c r="S4478" s="150"/>
    </row>
    <row r="4479" spans="1:19">
      <c r="A4479" s="149" t="s">
        <v>6629</v>
      </c>
      <c r="B4479" s="150" t="str">
        <f>IFERROR(VLOOKUP(Proc[[#This Row],[App]],Table2[],3,0),"open")</f>
        <v>open</v>
      </c>
      <c r="C4479" s="149" t="s">
        <v>375</v>
      </c>
      <c r="D4479" t="s">
        <v>5414</v>
      </c>
      <c r="E4479" t="s">
        <v>6624</v>
      </c>
      <c r="F4479" s="150" t="s">
        <v>5457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0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6436</v>
      </c>
      <c r="M4479" s="162">
        <v>45958</v>
      </c>
      <c r="N4479" s="162"/>
      <c r="O4479" s="162"/>
      <c r="P4479" s="163" t="str">
        <f ca="1">IF(Proc[[#This Row],[DaysAgeing]]&gt;5,"yep","on track")</f>
        <v>on track</v>
      </c>
      <c r="Q4479" s="3">
        <f ca="1">IF(Proc[[#This Row],[DateClosed]]="",ABS(NETWORKDAYS(Proc[[#This Row],[DateOpened]],TODAY()))-1,ABS(NETWORKDAYS(Proc[[#This Row],[DateOpened]],Proc[[#This Row],[DateClosed]]))-1)</f>
        <v>3</v>
      </c>
      <c r="R4479" s="163" t="s">
        <v>1459</v>
      </c>
      <c r="S4479" s="150"/>
    </row>
    <row r="4480" spans="1:19">
      <c r="A4480" s="149" t="s">
        <v>6629</v>
      </c>
      <c r="B4480" s="150" t="str">
        <f>IFERROR(VLOOKUP(Proc[[#This Row],[App]],Table2[],3,0),"open")</f>
        <v>open</v>
      </c>
      <c r="C4480" s="149" t="s">
        <v>375</v>
      </c>
      <c r="D4480" t="s">
        <v>6619</v>
      </c>
      <c r="E4480" t="s">
        <v>6628</v>
      </c>
      <c r="F4480" s="150" t="s">
        <v>6605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0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6436</v>
      </c>
      <c r="M4480" s="162">
        <v>45958</v>
      </c>
      <c r="N4480" s="162"/>
      <c r="O4480" s="162"/>
      <c r="P4480" s="163" t="str">
        <f ca="1">IF(Proc[[#This Row],[DaysAgeing]]&gt;5,"yep","on track")</f>
        <v>on track</v>
      </c>
      <c r="Q4480" s="3">
        <f ca="1">IF(Proc[[#This Row],[DateClosed]]="",ABS(NETWORKDAYS(Proc[[#This Row],[DateOpened]],TODAY()))-1,ABS(NETWORKDAYS(Proc[[#This Row],[DateOpened]],Proc[[#This Row],[DateClosed]]))-1)</f>
        <v>3</v>
      </c>
      <c r="R4480" s="163" t="s">
        <v>1459</v>
      </c>
      <c r="S4480" s="150"/>
    </row>
    <row r="4481" spans="1:19">
      <c r="A4481" s="149" t="s">
        <v>6629</v>
      </c>
      <c r="B4481" s="150" t="str">
        <f>IFERROR(VLOOKUP(Proc[[#This Row],[App]],Table2[],3,0),"open")</f>
        <v>open</v>
      </c>
      <c r="C4481" s="149" t="s">
        <v>375</v>
      </c>
      <c r="D4481" t="s">
        <v>6620</v>
      </c>
      <c r="E4481" t="s">
        <v>6628</v>
      </c>
      <c r="F4481" s="150" t="s">
        <v>6605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0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6436</v>
      </c>
      <c r="M4481" s="162">
        <v>45958</v>
      </c>
      <c r="N4481" s="162"/>
      <c r="O4481" s="162"/>
      <c r="P4481" s="163" t="str">
        <f ca="1">IF(Proc[[#This Row],[DaysAgeing]]&gt;5,"yep","on track")</f>
        <v>on track</v>
      </c>
      <c r="Q4481" s="3">
        <f ca="1">IF(Proc[[#This Row],[DateClosed]]="",ABS(NETWORKDAYS(Proc[[#This Row],[DateOpened]],TODAY()))-1,ABS(NETWORKDAYS(Proc[[#This Row],[DateOpened]],Proc[[#This Row],[DateClosed]]))-1)</f>
        <v>3</v>
      </c>
      <c r="R4481" s="163" t="s">
        <v>1459</v>
      </c>
      <c r="S4481" s="150"/>
    </row>
    <row r="4482" spans="1:19">
      <c r="A4482" s="149" t="s">
        <v>6629</v>
      </c>
      <c r="B4482" s="150" t="str">
        <f>IFERROR(VLOOKUP(Proc[[#This Row],[App]],Table2[],3,0),"open")</f>
        <v>open</v>
      </c>
      <c r="C4482" s="149" t="s">
        <v>370</v>
      </c>
      <c r="D4482" t="s">
        <v>6621</v>
      </c>
      <c r="E4482" t="s">
        <v>6628</v>
      </c>
      <c r="F4482" s="150" t="s">
        <v>6605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0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6436</v>
      </c>
      <c r="M4482" s="162">
        <v>45958</v>
      </c>
      <c r="N4482" s="162"/>
      <c r="O4482" s="162"/>
      <c r="P4482" s="163" t="str">
        <f ca="1">IF(Proc[[#This Row],[DaysAgeing]]&gt;5,"yep","on track")</f>
        <v>on track</v>
      </c>
      <c r="Q4482" s="3">
        <f ca="1">IF(Proc[[#This Row],[DateClosed]]="",ABS(NETWORKDAYS(Proc[[#This Row],[DateOpened]],TODAY()))-1,ABS(NETWORKDAYS(Proc[[#This Row],[DateOpened]],Proc[[#This Row],[DateClosed]]))-1)</f>
        <v>3</v>
      </c>
      <c r="R4482" s="163" t="s">
        <v>1459</v>
      </c>
      <c r="S4482" s="150"/>
    </row>
    <row r="4483" spans="1:19">
      <c r="A4483" s="149" t="s">
        <v>6629</v>
      </c>
      <c r="B4483" s="150" t="str">
        <f>IFERROR(VLOOKUP(Proc[[#This Row],[App]],Table2[],3,0),"open")</f>
        <v>open</v>
      </c>
      <c r="C4483" s="149" t="s">
        <v>375</v>
      </c>
      <c r="D4483" t="s">
        <v>6622</v>
      </c>
      <c r="E4483" t="s">
        <v>6626</v>
      </c>
      <c r="F4483" s="150" t="s">
        <v>6605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0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6436</v>
      </c>
      <c r="M4483" s="162">
        <v>45958</v>
      </c>
      <c r="N4483" s="162"/>
      <c r="O4483" s="162"/>
      <c r="P4483" s="163" t="str">
        <f ca="1">IF(Proc[[#This Row],[DaysAgeing]]&gt;5,"yep","on track")</f>
        <v>on track</v>
      </c>
      <c r="Q4483" s="3">
        <f ca="1">IF(Proc[[#This Row],[DateClosed]]="",ABS(NETWORKDAYS(Proc[[#This Row],[DateOpened]],TODAY()))-1,ABS(NETWORKDAYS(Proc[[#This Row],[DateOpened]],Proc[[#This Row],[DateClosed]]))-1)</f>
        <v>3</v>
      </c>
      <c r="R4483" s="163" t="s">
        <v>1459</v>
      </c>
      <c r="S4483" s="150"/>
    </row>
    <row r="4484" spans="1:19">
      <c r="A4484" s="149" t="s">
        <v>6629</v>
      </c>
      <c r="B4484" s="150" t="str">
        <f>IFERROR(VLOOKUP(Proc[[#This Row],[App]],Table2[],3,0),"open")</f>
        <v>open</v>
      </c>
      <c r="C4484" s="149" t="s">
        <v>370</v>
      </c>
      <c r="D4484" t="s">
        <v>6623</v>
      </c>
      <c r="E4484" t="s">
        <v>6626</v>
      </c>
      <c r="F4484" s="150" t="s">
        <v>6605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0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6436</v>
      </c>
      <c r="M4484" s="162">
        <v>45958</v>
      </c>
      <c r="N4484" s="162"/>
      <c r="O4484" s="162"/>
      <c r="P4484" s="163" t="str">
        <f ca="1">IF(Proc[[#This Row],[DaysAgeing]]&gt;5,"yep","on track")</f>
        <v>on track</v>
      </c>
      <c r="Q4484" s="3">
        <f ca="1">IF(Proc[[#This Row],[DateClosed]]="",ABS(NETWORKDAYS(Proc[[#This Row],[DateOpened]],TODAY()))-1,ABS(NETWORKDAYS(Proc[[#This Row],[DateOpened]],Proc[[#This Row],[DateClosed]]))-1)</f>
        <v>3</v>
      </c>
      <c r="R4484" s="163" t="s">
        <v>1459</v>
      </c>
      <c r="S4484" s="150"/>
    </row>
    <row r="4485" spans="1:19">
      <c r="A4485" t="s">
        <v>6630</v>
      </c>
      <c r="B4485" s="150" t="str">
        <f>IFERROR(VLOOKUP(Proc[[#This Row],[App]],Table2[],3,0),"open")</f>
        <v>open</v>
      </c>
      <c r="C4485" t="s">
        <v>370</v>
      </c>
      <c r="D4485" t="s">
        <v>6631</v>
      </c>
      <c r="E4485" t="s">
        <v>6606</v>
      </c>
      <c r="F4485" s="150" t="s">
        <v>6637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0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6436</v>
      </c>
      <c r="M4485" s="162">
        <v>45958</v>
      </c>
      <c r="N4485" s="162"/>
      <c r="O4485" s="162"/>
      <c r="P4485" s="163" t="str">
        <f ca="1">IF(Proc[[#This Row],[DaysAgeing]]&gt;5,"yep","on track")</f>
        <v>on track</v>
      </c>
      <c r="Q4485" s="3">
        <f ca="1">IF(Proc[[#This Row],[DateClosed]]="",ABS(NETWORKDAYS(Proc[[#This Row],[DateOpened]],TODAY()))-1,ABS(NETWORKDAYS(Proc[[#This Row],[DateOpened]],Proc[[#This Row],[DateClosed]]))-1)</f>
        <v>3</v>
      </c>
      <c r="R4485" s="163" t="s">
        <v>489</v>
      </c>
      <c r="S4485" s="150"/>
    </row>
    <row r="4486" spans="1:19">
      <c r="A4486" t="s">
        <v>6630</v>
      </c>
      <c r="B4486" s="150" t="str">
        <f>IFERROR(VLOOKUP(Proc[[#This Row],[App]],Table2[],3,0),"open")</f>
        <v>open</v>
      </c>
      <c r="C4486" s="149" t="s">
        <v>370</v>
      </c>
      <c r="D4486" t="s">
        <v>6632</v>
      </c>
      <c r="E4486" t="s">
        <v>6606</v>
      </c>
      <c r="F4486" s="150" t="s">
        <v>6635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0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6436</v>
      </c>
      <c r="M4486" s="162">
        <v>45958</v>
      </c>
      <c r="N4486" s="162"/>
      <c r="O4486" s="162"/>
      <c r="P4486" s="163" t="str">
        <f ca="1">IF(Proc[[#This Row],[DaysAgeing]]&gt;5,"yep","on track")</f>
        <v>on track</v>
      </c>
      <c r="Q4486" s="3">
        <f ca="1">IF(Proc[[#This Row],[DateClosed]]="",ABS(NETWORKDAYS(Proc[[#This Row],[DateOpened]],TODAY()))-1,ABS(NETWORKDAYS(Proc[[#This Row],[DateOpened]],Proc[[#This Row],[DateClosed]]))-1)</f>
        <v>3</v>
      </c>
      <c r="R4486" s="163" t="s">
        <v>489</v>
      </c>
      <c r="S4486" s="150"/>
    </row>
    <row r="4487" spans="1:19">
      <c r="A4487" s="149" t="s">
        <v>6630</v>
      </c>
      <c r="B4487" s="150" t="str">
        <f>IFERROR(VLOOKUP(Proc[[#This Row],[App]],Table2[],3,0),"open")</f>
        <v>open</v>
      </c>
      <c r="C4487" s="149" t="s">
        <v>370</v>
      </c>
      <c r="D4487" t="s">
        <v>6633</v>
      </c>
      <c r="E4487" t="s">
        <v>6606</v>
      </c>
      <c r="F4487" s="150" t="s">
        <v>6635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0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6436</v>
      </c>
      <c r="M4487" s="162">
        <v>45958</v>
      </c>
      <c r="N4487" s="162"/>
      <c r="O4487" s="162"/>
      <c r="P4487" s="163" t="str">
        <f ca="1">IF(Proc[[#This Row],[DaysAgeing]]&gt;5,"yep","on track")</f>
        <v>on track</v>
      </c>
      <c r="Q4487" s="3">
        <f ca="1">IF(Proc[[#This Row],[DateClosed]]="",ABS(NETWORKDAYS(Proc[[#This Row],[DateOpened]],TODAY()))-1,ABS(NETWORKDAYS(Proc[[#This Row],[DateOpened]],Proc[[#This Row],[DateClosed]]))-1)</f>
        <v>3</v>
      </c>
      <c r="R4487" s="163" t="s">
        <v>489</v>
      </c>
      <c r="S4487" s="150"/>
    </row>
    <row r="4488" spans="1:19">
      <c r="A4488" s="149" t="s">
        <v>6630</v>
      </c>
      <c r="B4488" s="150" t="str">
        <f>IFERROR(VLOOKUP(Proc[[#This Row],[App]],Table2[],3,0),"open")</f>
        <v>open</v>
      </c>
      <c r="C4488" s="149" t="s">
        <v>370</v>
      </c>
      <c r="D4488" t="s">
        <v>6634</v>
      </c>
      <c r="E4488" t="s">
        <v>2205</v>
      </c>
      <c r="F4488" s="150" t="s">
        <v>6636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0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6436</v>
      </c>
      <c r="M4488" s="162">
        <v>45958</v>
      </c>
      <c r="N4488" s="162"/>
      <c r="O4488" s="162"/>
      <c r="P4488" s="163" t="str">
        <f ca="1">IF(Proc[[#This Row],[DaysAgeing]]&gt;5,"yep","on track")</f>
        <v>on track</v>
      </c>
      <c r="Q4488" s="3">
        <f ca="1">IF(Proc[[#This Row],[DateClosed]]="",ABS(NETWORKDAYS(Proc[[#This Row],[DateOpened]],TODAY()))-1,ABS(NETWORKDAYS(Proc[[#This Row],[DateOpened]],Proc[[#This Row],[DateClosed]]))-1)</f>
        <v>3</v>
      </c>
      <c r="R4488" s="163" t="s">
        <v>489</v>
      </c>
      <c r="S4488" s="150"/>
    </row>
    <row r="4489" spans="1:19">
      <c r="A4489" t="s">
        <v>6640</v>
      </c>
      <c r="B4489" s="150" t="str">
        <f>IFERROR(VLOOKUP(Proc[[#This Row],[App]],Table2[],3,0),"open")</f>
        <v>open</v>
      </c>
      <c r="C4489" t="s">
        <v>370</v>
      </c>
      <c r="D4489" t="s">
        <v>6641</v>
      </c>
      <c r="E4489" t="s">
        <v>447</v>
      </c>
      <c r="F4489" s="150"/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0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6436</v>
      </c>
      <c r="M4489" s="163">
        <v>45959</v>
      </c>
      <c r="N4489" s="164"/>
      <c r="O4489" s="164"/>
      <c r="P4489" s="163" t="str">
        <f ca="1">IF(Proc[[#This Row],[DaysAgeing]]&gt;5,"yep","on track")</f>
        <v>on track</v>
      </c>
      <c r="Q4489" s="3">
        <f ca="1">IF(Proc[[#This Row],[DateClosed]]="",ABS(NETWORKDAYS(Proc[[#This Row],[DateOpened]],TODAY()))-1,ABS(NETWORKDAYS(Proc[[#This Row],[DateOpened]],Proc[[#This Row],[DateClosed]]))-1)</f>
        <v>2</v>
      </c>
      <c r="R4489" s="163" t="s">
        <v>489</v>
      </c>
      <c r="S4489" s="150"/>
    </row>
    <row r="4490" spans="1:19">
      <c r="A4490" t="s">
        <v>6643</v>
      </c>
      <c r="B4490" s="150" t="str">
        <f>IFERROR(VLOOKUP(Proc[[#This Row],[App]],Table2[],3,0),"open")</f>
        <v>open</v>
      </c>
      <c r="C4490" t="s">
        <v>404</v>
      </c>
      <c r="D4490" t="s">
        <v>6644</v>
      </c>
      <c r="E4490" t="s">
        <v>6646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6436</v>
      </c>
      <c r="M4490" s="164">
        <v>45954</v>
      </c>
      <c r="N4490" s="164"/>
      <c r="O4490" s="164"/>
      <c r="P4490" s="165" t="str">
        <f ca="1">IF(Proc[[#This Row],[DaysAgeing]]&gt;5,"yep","on track")</f>
        <v>on track</v>
      </c>
      <c r="Q4490" s="3">
        <f ca="1">IF(Proc[[#This Row],[DateClosed]]="",ABS(NETWORKDAYS(Proc[[#This Row],[DateOpened]],TODAY()))-1,ABS(NETWORKDAYS(Proc[[#This Row],[DateOpened]],Proc[[#This Row],[DateClosed]]))-1)</f>
        <v>5</v>
      </c>
      <c r="R4490" s="165" t="s">
        <v>498</v>
      </c>
      <c r="S4490" s="150"/>
    </row>
    <row r="4491" spans="1:19">
      <c r="A4491" t="s">
        <v>6643</v>
      </c>
      <c r="B4491" s="150" t="str">
        <f>IFERROR(VLOOKUP(Proc[[#This Row],[App]],Table2[],3,0),"open")</f>
        <v>open</v>
      </c>
      <c r="C4491" t="s">
        <v>404</v>
      </c>
      <c r="D4491" t="s">
        <v>6645</v>
      </c>
      <c r="E4491" t="s">
        <v>6647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6436</v>
      </c>
      <c r="M4491" s="164">
        <v>45954</v>
      </c>
      <c r="N4491" s="164"/>
      <c r="O4491" s="164"/>
      <c r="P4491" s="165" t="str">
        <f ca="1">IF(Proc[[#This Row],[DaysAgeing]]&gt;5,"yep","on track")</f>
        <v>on track</v>
      </c>
      <c r="Q4491" s="3">
        <f ca="1">IF(Proc[[#This Row],[DateClosed]]="",ABS(NETWORKDAYS(Proc[[#This Row],[DateOpened]],TODAY()))-1,ABS(NETWORKDAYS(Proc[[#This Row],[DateOpened]],Proc[[#This Row],[DateClosed]]))-1)</f>
        <v>5</v>
      </c>
      <c r="R4491" s="165" t="s">
        <v>498</v>
      </c>
      <c r="S4491" s="150"/>
    </row>
    <row r="4492" spans="1:19">
      <c r="A4492" t="s">
        <v>6648</v>
      </c>
      <c r="B4492" s="150" t="str">
        <f>IFERROR(VLOOKUP(Proc[[#This Row],[App]],Table2[],3,0),"open")</f>
        <v>open</v>
      </c>
      <c r="C4492" s="149" t="s">
        <v>404</v>
      </c>
      <c r="D4492" t="s">
        <v>6649</v>
      </c>
      <c r="E4492" t="s">
        <v>6670</v>
      </c>
      <c r="F4492" s="150"/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0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6436</v>
      </c>
      <c r="M4492" s="165">
        <v>45961</v>
      </c>
      <c r="N4492" s="166"/>
      <c r="O4492" s="166"/>
      <c r="P4492" s="165" t="str">
        <f ca="1">IF(Proc[[#This Row],[DaysAgeing]]&gt;5,"yep","on track")</f>
        <v>on track</v>
      </c>
      <c r="Q4492" s="3">
        <f ca="1">IF(Proc[[#This Row],[DateClosed]]="",ABS(NETWORKDAYS(Proc[[#This Row],[DateOpened]],TODAY()))-1,ABS(NETWORKDAYS(Proc[[#This Row],[DateOpened]],Proc[[#This Row],[DateClosed]]))-1)</f>
        <v>0</v>
      </c>
      <c r="R4492" s="165" t="s">
        <v>6674</v>
      </c>
      <c r="S4492" s="150"/>
    </row>
    <row r="4493" spans="1:19">
      <c r="A4493" s="149" t="s">
        <v>6648</v>
      </c>
      <c r="B4493" s="150" t="str">
        <f>IFERROR(VLOOKUP(Proc[[#This Row],[App]],Table2[],3,0),"open")</f>
        <v>open</v>
      </c>
      <c r="C4493" s="149" t="s">
        <v>404</v>
      </c>
      <c r="D4493" t="s">
        <v>6650</v>
      </c>
      <c r="E4493" t="s">
        <v>6671</v>
      </c>
      <c r="F4493" s="150"/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0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6436</v>
      </c>
      <c r="M4493" s="165">
        <v>45961</v>
      </c>
      <c r="N4493" s="166"/>
      <c r="O4493" s="166"/>
      <c r="P4493" s="165" t="str">
        <f ca="1">IF(Proc[[#This Row],[DaysAgeing]]&gt;5,"yep","on track")</f>
        <v>on track</v>
      </c>
      <c r="Q4493" s="3">
        <f ca="1">IF(Proc[[#This Row],[DateClosed]]="",ABS(NETWORKDAYS(Proc[[#This Row],[DateOpened]],TODAY()))-1,ABS(NETWORKDAYS(Proc[[#This Row],[DateOpened]],Proc[[#This Row],[DateClosed]]))-1)</f>
        <v>0</v>
      </c>
      <c r="R4493" s="165" t="s">
        <v>6674</v>
      </c>
      <c r="S4493" s="150"/>
    </row>
    <row r="4494" spans="1:19">
      <c r="A4494" s="149" t="s">
        <v>6648</v>
      </c>
      <c r="B4494" s="150" t="str">
        <f>IFERROR(VLOOKUP(Proc[[#This Row],[App]],Table2[],3,0),"open")</f>
        <v>open</v>
      </c>
      <c r="C4494" s="149" t="s">
        <v>404</v>
      </c>
      <c r="D4494" t="s">
        <v>6651</v>
      </c>
      <c r="E4494" t="s">
        <v>812</v>
      </c>
      <c r="F4494" s="150"/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0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6436</v>
      </c>
      <c r="M4494" s="165">
        <v>45961</v>
      </c>
      <c r="N4494" s="166"/>
      <c r="O4494" s="166"/>
      <c r="P4494" s="165" t="str">
        <f ca="1">IF(Proc[[#This Row],[DaysAgeing]]&gt;5,"yep","on track")</f>
        <v>on track</v>
      </c>
      <c r="Q4494" s="3">
        <f ca="1">IF(Proc[[#This Row],[DateClosed]]="",ABS(NETWORKDAYS(Proc[[#This Row],[DateOpened]],TODAY()))-1,ABS(NETWORKDAYS(Proc[[#This Row],[DateOpened]],Proc[[#This Row],[DateClosed]]))-1)</f>
        <v>0</v>
      </c>
      <c r="R4494" s="165" t="s">
        <v>6674</v>
      </c>
      <c r="S4494" s="150"/>
    </row>
    <row r="4495" spans="1:19">
      <c r="A4495" s="149" t="s">
        <v>6648</v>
      </c>
      <c r="B4495" s="150" t="str">
        <f>IFERROR(VLOOKUP(Proc[[#This Row],[App]],Table2[],3,0),"open")</f>
        <v>open</v>
      </c>
      <c r="C4495" s="149" t="s">
        <v>404</v>
      </c>
      <c r="D4495" t="s">
        <v>6652</v>
      </c>
      <c r="E4495" t="s">
        <v>812</v>
      </c>
      <c r="F4495" s="150"/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0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6436</v>
      </c>
      <c r="M4495" s="165">
        <v>45961</v>
      </c>
      <c r="N4495" s="166"/>
      <c r="O4495" s="166"/>
      <c r="P4495" s="165" t="str">
        <f ca="1">IF(Proc[[#This Row],[DaysAgeing]]&gt;5,"yep","on track")</f>
        <v>on track</v>
      </c>
      <c r="Q4495" s="3">
        <f ca="1">IF(Proc[[#This Row],[DateClosed]]="",ABS(NETWORKDAYS(Proc[[#This Row],[DateOpened]],TODAY()))-1,ABS(NETWORKDAYS(Proc[[#This Row],[DateOpened]],Proc[[#This Row],[DateClosed]]))-1)</f>
        <v>0</v>
      </c>
      <c r="R4495" s="165" t="s">
        <v>6674</v>
      </c>
      <c r="S4495" s="150"/>
    </row>
    <row r="4496" spans="1:19">
      <c r="A4496" s="149" t="s">
        <v>6648</v>
      </c>
      <c r="B4496" s="150" t="str">
        <f>IFERROR(VLOOKUP(Proc[[#This Row],[App]],Table2[],3,0),"open")</f>
        <v>open</v>
      </c>
      <c r="C4496" s="149" t="s">
        <v>404</v>
      </c>
      <c r="D4496" t="s">
        <v>6653</v>
      </c>
      <c r="E4496" t="s">
        <v>6672</v>
      </c>
      <c r="F4496" s="150"/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6436</v>
      </c>
      <c r="M4496" s="165">
        <v>45961</v>
      </c>
      <c r="N4496" s="166"/>
      <c r="O4496" s="166"/>
      <c r="P4496" s="165" t="str">
        <f ca="1">IF(Proc[[#This Row],[DaysAgeing]]&gt;5,"yep","on track")</f>
        <v>on track</v>
      </c>
      <c r="Q4496" s="3">
        <f ca="1">IF(Proc[[#This Row],[DateClosed]]="",ABS(NETWORKDAYS(Proc[[#This Row],[DateOpened]],TODAY()))-1,ABS(NETWORKDAYS(Proc[[#This Row],[DateOpened]],Proc[[#This Row],[DateClosed]]))-1)</f>
        <v>0</v>
      </c>
      <c r="R4496" s="165" t="s">
        <v>6674</v>
      </c>
      <c r="S4496" s="150"/>
    </row>
    <row r="4497" spans="1:19">
      <c r="A4497" s="149" t="s">
        <v>6648</v>
      </c>
      <c r="B4497" s="150" t="str">
        <f>IFERROR(VLOOKUP(Proc[[#This Row],[App]],Table2[],3,0),"open")</f>
        <v>open</v>
      </c>
      <c r="C4497" s="149" t="s">
        <v>404</v>
      </c>
      <c r="D4497" t="s">
        <v>6654</v>
      </c>
      <c r="E4497" t="s">
        <v>812</v>
      </c>
      <c r="F4497" s="150"/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0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6436</v>
      </c>
      <c r="M4497" s="165">
        <v>45961</v>
      </c>
      <c r="N4497" s="166"/>
      <c r="O4497" s="166"/>
      <c r="P4497" s="165" t="str">
        <f ca="1">IF(Proc[[#This Row],[DaysAgeing]]&gt;5,"yep","on track")</f>
        <v>on track</v>
      </c>
      <c r="Q4497" s="3">
        <f ca="1">IF(Proc[[#This Row],[DateClosed]]="",ABS(NETWORKDAYS(Proc[[#This Row],[DateOpened]],TODAY()))-1,ABS(NETWORKDAYS(Proc[[#This Row],[DateOpened]],Proc[[#This Row],[DateClosed]]))-1)</f>
        <v>0</v>
      </c>
      <c r="R4497" s="165" t="s">
        <v>6674</v>
      </c>
      <c r="S4497" s="150"/>
    </row>
    <row r="4498" spans="1:19">
      <c r="A4498" s="149" t="s">
        <v>6648</v>
      </c>
      <c r="B4498" s="150" t="str">
        <f>IFERROR(VLOOKUP(Proc[[#This Row],[App]],Table2[],3,0),"open")</f>
        <v>open</v>
      </c>
      <c r="C4498" s="149" t="s">
        <v>404</v>
      </c>
      <c r="D4498" t="s">
        <v>6655</v>
      </c>
      <c r="E4498" t="s">
        <v>991</v>
      </c>
      <c r="F4498" s="150"/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0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6436</v>
      </c>
      <c r="M4498" s="165">
        <v>45961</v>
      </c>
      <c r="N4498" s="166"/>
      <c r="O4498" s="166"/>
      <c r="P4498" s="165" t="str">
        <f ca="1">IF(Proc[[#This Row],[DaysAgeing]]&gt;5,"yep","on track")</f>
        <v>on track</v>
      </c>
      <c r="Q4498" s="3">
        <f ca="1">IF(Proc[[#This Row],[DateClosed]]="",ABS(NETWORKDAYS(Proc[[#This Row],[DateOpened]],TODAY()))-1,ABS(NETWORKDAYS(Proc[[#This Row],[DateOpened]],Proc[[#This Row],[DateClosed]]))-1)</f>
        <v>0</v>
      </c>
      <c r="R4498" s="165" t="s">
        <v>6674</v>
      </c>
      <c r="S4498" s="150"/>
    </row>
    <row r="4499" spans="1:19">
      <c r="A4499" s="149" t="s">
        <v>6648</v>
      </c>
      <c r="B4499" s="150" t="str">
        <f>IFERROR(VLOOKUP(Proc[[#This Row],[App]],Table2[],3,0),"open")</f>
        <v>open</v>
      </c>
      <c r="C4499" s="149" t="s">
        <v>404</v>
      </c>
      <c r="D4499" t="s">
        <v>6656</v>
      </c>
      <c r="E4499" t="s">
        <v>812</v>
      </c>
      <c r="F4499" s="150"/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0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6436</v>
      </c>
      <c r="M4499" s="165">
        <v>45961</v>
      </c>
      <c r="N4499" s="166"/>
      <c r="O4499" s="166"/>
      <c r="P4499" s="165" t="str">
        <f ca="1">IF(Proc[[#This Row],[DaysAgeing]]&gt;5,"yep","on track")</f>
        <v>on track</v>
      </c>
      <c r="Q4499" s="3">
        <f ca="1">IF(Proc[[#This Row],[DateClosed]]="",ABS(NETWORKDAYS(Proc[[#This Row],[DateOpened]],TODAY()))-1,ABS(NETWORKDAYS(Proc[[#This Row],[DateOpened]],Proc[[#This Row],[DateClosed]]))-1)</f>
        <v>0</v>
      </c>
      <c r="R4499" s="165" t="s">
        <v>6674</v>
      </c>
      <c r="S4499" s="150"/>
    </row>
    <row r="4500" spans="1:19">
      <c r="A4500" s="149" t="s">
        <v>6648</v>
      </c>
      <c r="B4500" s="150" t="str">
        <f>IFERROR(VLOOKUP(Proc[[#This Row],[App]],Table2[],3,0),"open")</f>
        <v>open</v>
      </c>
      <c r="C4500" s="149" t="s">
        <v>404</v>
      </c>
      <c r="D4500" t="s">
        <v>6657</v>
      </c>
      <c r="E4500" t="s">
        <v>812</v>
      </c>
      <c r="F4500" s="150"/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0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6436</v>
      </c>
      <c r="M4500" s="165">
        <v>45961</v>
      </c>
      <c r="N4500" s="166"/>
      <c r="O4500" s="166"/>
      <c r="P4500" s="165" t="str">
        <f ca="1">IF(Proc[[#This Row],[DaysAgeing]]&gt;5,"yep","on track")</f>
        <v>on track</v>
      </c>
      <c r="Q4500" s="3">
        <f ca="1">IF(Proc[[#This Row],[DateClosed]]="",ABS(NETWORKDAYS(Proc[[#This Row],[DateOpened]],TODAY()))-1,ABS(NETWORKDAYS(Proc[[#This Row],[DateOpened]],Proc[[#This Row],[DateClosed]]))-1)</f>
        <v>0</v>
      </c>
      <c r="R4500" s="165" t="s">
        <v>6674</v>
      </c>
      <c r="S4500" s="150"/>
    </row>
    <row r="4501" spans="1:19">
      <c r="A4501" s="149" t="s">
        <v>6648</v>
      </c>
      <c r="B4501" s="150" t="str">
        <f>IFERROR(VLOOKUP(Proc[[#This Row],[App]],Table2[],3,0),"open")</f>
        <v>open</v>
      </c>
      <c r="C4501" s="149" t="s">
        <v>404</v>
      </c>
      <c r="D4501" t="s">
        <v>6658</v>
      </c>
      <c r="E4501" t="s">
        <v>812</v>
      </c>
      <c r="F4501" s="150"/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0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6436</v>
      </c>
      <c r="M4501" s="165">
        <v>45961</v>
      </c>
      <c r="N4501" s="166"/>
      <c r="O4501" s="166"/>
      <c r="P4501" s="165" t="str">
        <f ca="1">IF(Proc[[#This Row],[DaysAgeing]]&gt;5,"yep","on track")</f>
        <v>on track</v>
      </c>
      <c r="Q4501" s="3">
        <f ca="1">IF(Proc[[#This Row],[DateClosed]]="",ABS(NETWORKDAYS(Proc[[#This Row],[DateOpened]],TODAY()))-1,ABS(NETWORKDAYS(Proc[[#This Row],[DateOpened]],Proc[[#This Row],[DateClosed]]))-1)</f>
        <v>0</v>
      </c>
      <c r="R4501" s="165" t="s">
        <v>6674</v>
      </c>
      <c r="S4501" s="150"/>
    </row>
    <row r="4502" spans="1:19">
      <c r="A4502" s="149" t="s">
        <v>6648</v>
      </c>
      <c r="B4502" s="150" t="str">
        <f>IFERROR(VLOOKUP(Proc[[#This Row],[App]],Table2[],3,0),"open")</f>
        <v>open</v>
      </c>
      <c r="C4502" s="149" t="s">
        <v>404</v>
      </c>
      <c r="D4502" t="s">
        <v>6659</v>
      </c>
      <c r="E4502" t="s">
        <v>812</v>
      </c>
      <c r="F4502" s="150"/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0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6436</v>
      </c>
      <c r="M4502" s="165">
        <v>45961</v>
      </c>
      <c r="N4502" s="166"/>
      <c r="O4502" s="166"/>
      <c r="P4502" s="165" t="str">
        <f ca="1">IF(Proc[[#This Row],[DaysAgeing]]&gt;5,"yep","on track")</f>
        <v>on track</v>
      </c>
      <c r="Q4502" s="3">
        <f ca="1">IF(Proc[[#This Row],[DateClosed]]="",ABS(NETWORKDAYS(Proc[[#This Row],[DateOpened]],TODAY()))-1,ABS(NETWORKDAYS(Proc[[#This Row],[DateOpened]],Proc[[#This Row],[DateClosed]]))-1)</f>
        <v>0</v>
      </c>
      <c r="R4502" s="165" t="s">
        <v>6674</v>
      </c>
      <c r="S4502" s="150"/>
    </row>
    <row r="4503" spans="1:19">
      <c r="A4503" s="149" t="s">
        <v>6648</v>
      </c>
      <c r="B4503" s="150" t="str">
        <f>IFERROR(VLOOKUP(Proc[[#This Row],[App]],Table2[],3,0),"open")</f>
        <v>open</v>
      </c>
      <c r="C4503" s="149" t="s">
        <v>404</v>
      </c>
      <c r="D4503" t="s">
        <v>6660</v>
      </c>
      <c r="E4503" t="s">
        <v>812</v>
      </c>
      <c r="F4503" s="150"/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0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6436</v>
      </c>
      <c r="M4503" s="165">
        <v>45961</v>
      </c>
      <c r="N4503" s="166"/>
      <c r="O4503" s="166"/>
      <c r="P4503" s="165" t="str">
        <f ca="1">IF(Proc[[#This Row],[DaysAgeing]]&gt;5,"yep","on track")</f>
        <v>on track</v>
      </c>
      <c r="Q4503" s="3">
        <f ca="1">IF(Proc[[#This Row],[DateClosed]]="",ABS(NETWORKDAYS(Proc[[#This Row],[DateOpened]],TODAY()))-1,ABS(NETWORKDAYS(Proc[[#This Row],[DateOpened]],Proc[[#This Row],[DateClosed]]))-1)</f>
        <v>0</v>
      </c>
      <c r="R4503" s="165" t="s">
        <v>6674</v>
      </c>
      <c r="S4503" s="150"/>
    </row>
    <row r="4504" spans="1:19">
      <c r="A4504" s="149" t="s">
        <v>6648</v>
      </c>
      <c r="B4504" s="150" t="str">
        <f>IFERROR(VLOOKUP(Proc[[#This Row],[App]],Table2[],3,0),"open")</f>
        <v>open</v>
      </c>
      <c r="C4504" s="149" t="s">
        <v>404</v>
      </c>
      <c r="D4504" t="s">
        <v>6661</v>
      </c>
      <c r="E4504" t="s">
        <v>812</v>
      </c>
      <c r="F4504" s="150"/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0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6436</v>
      </c>
      <c r="M4504" s="165">
        <v>45961</v>
      </c>
      <c r="N4504" s="166"/>
      <c r="O4504" s="166"/>
      <c r="P4504" s="165" t="str">
        <f ca="1">IF(Proc[[#This Row],[DaysAgeing]]&gt;5,"yep","on track")</f>
        <v>on track</v>
      </c>
      <c r="Q4504" s="3">
        <f ca="1">IF(Proc[[#This Row],[DateClosed]]="",ABS(NETWORKDAYS(Proc[[#This Row],[DateOpened]],TODAY()))-1,ABS(NETWORKDAYS(Proc[[#This Row],[DateOpened]],Proc[[#This Row],[DateClosed]]))-1)</f>
        <v>0</v>
      </c>
      <c r="R4504" s="165" t="s">
        <v>6674</v>
      </c>
      <c r="S4504" s="150"/>
    </row>
    <row r="4505" spans="1:19">
      <c r="A4505" s="149" t="s">
        <v>6648</v>
      </c>
      <c r="B4505" s="150" t="str">
        <f>IFERROR(VLOOKUP(Proc[[#This Row],[App]],Table2[],3,0),"open")</f>
        <v>open</v>
      </c>
      <c r="C4505" s="149" t="s">
        <v>404</v>
      </c>
      <c r="D4505" t="s">
        <v>6662</v>
      </c>
      <c r="E4505" t="s">
        <v>6673</v>
      </c>
      <c r="F4505" s="150"/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0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6436</v>
      </c>
      <c r="M4505" s="165">
        <v>45961</v>
      </c>
      <c r="N4505" s="166"/>
      <c r="O4505" s="166"/>
      <c r="P4505" s="165" t="str">
        <f ca="1">IF(Proc[[#This Row],[DaysAgeing]]&gt;5,"yep","on track")</f>
        <v>on track</v>
      </c>
      <c r="Q4505" s="3">
        <f ca="1">IF(Proc[[#This Row],[DateClosed]]="",ABS(NETWORKDAYS(Proc[[#This Row],[DateOpened]],TODAY()))-1,ABS(NETWORKDAYS(Proc[[#This Row],[DateOpened]],Proc[[#This Row],[DateClosed]]))-1)</f>
        <v>0</v>
      </c>
      <c r="R4505" s="165" t="s">
        <v>6674</v>
      </c>
      <c r="S4505" s="150"/>
    </row>
    <row r="4506" spans="1:19">
      <c r="A4506" s="149" t="s">
        <v>6648</v>
      </c>
      <c r="B4506" s="150" t="str">
        <f>IFERROR(VLOOKUP(Proc[[#This Row],[App]],Table2[],3,0),"open")</f>
        <v>open</v>
      </c>
      <c r="C4506" s="149" t="s">
        <v>404</v>
      </c>
      <c r="D4506" t="s">
        <v>6663</v>
      </c>
      <c r="E4506" t="s">
        <v>483</v>
      </c>
      <c r="F4506" s="150"/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0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6436</v>
      </c>
      <c r="M4506" s="165">
        <v>45961</v>
      </c>
      <c r="N4506" s="166"/>
      <c r="O4506" s="166"/>
      <c r="P4506" s="165" t="str">
        <f ca="1">IF(Proc[[#This Row],[DaysAgeing]]&gt;5,"yep","on track")</f>
        <v>on track</v>
      </c>
      <c r="Q4506" s="3">
        <f ca="1">IF(Proc[[#This Row],[DateClosed]]="",ABS(NETWORKDAYS(Proc[[#This Row],[DateOpened]],TODAY()))-1,ABS(NETWORKDAYS(Proc[[#This Row],[DateOpened]],Proc[[#This Row],[DateClosed]]))-1)</f>
        <v>0</v>
      </c>
      <c r="R4506" s="165" t="s">
        <v>6674</v>
      </c>
      <c r="S4506" s="150"/>
    </row>
    <row r="4507" spans="1:19">
      <c r="A4507" s="149" t="s">
        <v>6648</v>
      </c>
      <c r="B4507" s="150" t="str">
        <f>IFERROR(VLOOKUP(Proc[[#This Row],[App]],Table2[],3,0),"open")</f>
        <v>open</v>
      </c>
      <c r="C4507" s="149" t="s">
        <v>404</v>
      </c>
      <c r="D4507" t="s">
        <v>6664</v>
      </c>
      <c r="E4507" t="s">
        <v>483</v>
      </c>
      <c r="F4507" s="150"/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0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6436</v>
      </c>
      <c r="M4507" s="165">
        <v>45961</v>
      </c>
      <c r="N4507" s="166"/>
      <c r="O4507" s="166"/>
      <c r="P4507" s="165" t="str">
        <f ca="1">IF(Proc[[#This Row],[DaysAgeing]]&gt;5,"yep","on track")</f>
        <v>on track</v>
      </c>
      <c r="Q4507" s="3">
        <f ca="1">IF(Proc[[#This Row],[DateClosed]]="",ABS(NETWORKDAYS(Proc[[#This Row],[DateOpened]],TODAY()))-1,ABS(NETWORKDAYS(Proc[[#This Row],[DateOpened]],Proc[[#This Row],[DateClosed]]))-1)</f>
        <v>0</v>
      </c>
      <c r="R4507" s="165" t="s">
        <v>6674</v>
      </c>
      <c r="S4507" s="150"/>
    </row>
    <row r="4508" spans="1:19">
      <c r="A4508" s="149" t="s">
        <v>6648</v>
      </c>
      <c r="B4508" s="150" t="str">
        <f>IFERROR(VLOOKUP(Proc[[#This Row],[App]],Table2[],3,0),"open")</f>
        <v>open</v>
      </c>
      <c r="C4508" s="149" t="s">
        <v>404</v>
      </c>
      <c r="D4508" t="s">
        <v>6665</v>
      </c>
      <c r="E4508" t="s">
        <v>483</v>
      </c>
      <c r="F4508" s="150"/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0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6436</v>
      </c>
      <c r="M4508" s="165">
        <v>45961</v>
      </c>
      <c r="N4508" s="166"/>
      <c r="O4508" s="166"/>
      <c r="P4508" s="165" t="str">
        <f ca="1">IF(Proc[[#This Row],[DaysAgeing]]&gt;5,"yep","on track")</f>
        <v>on track</v>
      </c>
      <c r="Q4508" s="3">
        <f ca="1">IF(Proc[[#This Row],[DateClosed]]="",ABS(NETWORKDAYS(Proc[[#This Row],[DateOpened]],TODAY()))-1,ABS(NETWORKDAYS(Proc[[#This Row],[DateOpened]],Proc[[#This Row],[DateClosed]]))-1)</f>
        <v>0</v>
      </c>
      <c r="R4508" s="165" t="s">
        <v>6674</v>
      </c>
      <c r="S4508" s="150"/>
    </row>
    <row r="4509" spans="1:19">
      <c r="A4509" s="149" t="s">
        <v>6648</v>
      </c>
      <c r="B4509" s="150" t="str">
        <f>IFERROR(VLOOKUP(Proc[[#This Row],[App]],Table2[],3,0),"open")</f>
        <v>open</v>
      </c>
      <c r="C4509" s="149" t="s">
        <v>404</v>
      </c>
      <c r="D4509" t="s">
        <v>6666</v>
      </c>
      <c r="E4509" t="s">
        <v>483</v>
      </c>
      <c r="F4509" s="150"/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0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6436</v>
      </c>
      <c r="M4509" s="165">
        <v>45961</v>
      </c>
      <c r="N4509" s="166"/>
      <c r="O4509" s="166"/>
      <c r="P4509" s="165" t="str">
        <f ca="1">IF(Proc[[#This Row],[DaysAgeing]]&gt;5,"yep","on track")</f>
        <v>on track</v>
      </c>
      <c r="Q4509" s="3">
        <f ca="1">IF(Proc[[#This Row],[DateClosed]]="",ABS(NETWORKDAYS(Proc[[#This Row],[DateOpened]],TODAY()))-1,ABS(NETWORKDAYS(Proc[[#This Row],[DateOpened]],Proc[[#This Row],[DateClosed]]))-1)</f>
        <v>0</v>
      </c>
      <c r="R4509" s="165" t="s">
        <v>6674</v>
      </c>
      <c r="S4509" s="150"/>
    </row>
    <row r="4510" spans="1:19">
      <c r="A4510" s="149" t="s">
        <v>6648</v>
      </c>
      <c r="B4510" s="150" t="str">
        <f>IFERROR(VLOOKUP(Proc[[#This Row],[App]],Table2[],3,0),"open")</f>
        <v>open</v>
      </c>
      <c r="C4510" s="149" t="s">
        <v>404</v>
      </c>
      <c r="D4510" t="s">
        <v>6667</v>
      </c>
      <c r="E4510" t="s">
        <v>483</v>
      </c>
      <c r="F4510" s="150"/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0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6436</v>
      </c>
      <c r="M4510" s="165">
        <v>45961</v>
      </c>
      <c r="N4510" s="166"/>
      <c r="O4510" s="166"/>
      <c r="P4510" s="165" t="str">
        <f ca="1">IF(Proc[[#This Row],[DaysAgeing]]&gt;5,"yep","on track")</f>
        <v>on track</v>
      </c>
      <c r="Q4510" s="3">
        <f ca="1">IF(Proc[[#This Row],[DateClosed]]="",ABS(NETWORKDAYS(Proc[[#This Row],[DateOpened]],TODAY()))-1,ABS(NETWORKDAYS(Proc[[#This Row],[DateOpened]],Proc[[#This Row],[DateClosed]]))-1)</f>
        <v>0</v>
      </c>
      <c r="R4510" s="165" t="s">
        <v>6674</v>
      </c>
      <c r="S4510" s="150"/>
    </row>
    <row r="4511" spans="1:19">
      <c r="A4511" s="149" t="s">
        <v>6648</v>
      </c>
      <c r="B4511" s="150" t="str">
        <f>IFERROR(VLOOKUP(Proc[[#This Row],[App]],Table2[],3,0),"open")</f>
        <v>open</v>
      </c>
      <c r="C4511" s="149" t="s">
        <v>404</v>
      </c>
      <c r="D4511" t="s">
        <v>6668</v>
      </c>
      <c r="E4511" t="s">
        <v>6673</v>
      </c>
      <c r="F4511" s="150"/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0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6436</v>
      </c>
      <c r="M4511" s="165">
        <v>45961</v>
      </c>
      <c r="N4511" s="166"/>
      <c r="O4511" s="166"/>
      <c r="P4511" s="165" t="str">
        <f ca="1">IF(Proc[[#This Row],[DaysAgeing]]&gt;5,"yep","on track")</f>
        <v>on track</v>
      </c>
      <c r="Q4511" s="3">
        <f ca="1">IF(Proc[[#This Row],[DateClosed]]="",ABS(NETWORKDAYS(Proc[[#This Row],[DateOpened]],TODAY()))-1,ABS(NETWORKDAYS(Proc[[#This Row],[DateOpened]],Proc[[#This Row],[DateClosed]]))-1)</f>
        <v>0</v>
      </c>
      <c r="R4511" s="165" t="s">
        <v>6674</v>
      </c>
      <c r="S4511" s="150"/>
    </row>
    <row r="4512" spans="1:19">
      <c r="A4512" s="149" t="s">
        <v>6648</v>
      </c>
      <c r="B4512" s="150" t="str">
        <f>IFERROR(VLOOKUP(Proc[[#This Row],[App]],Table2[],3,0),"open")</f>
        <v>open</v>
      </c>
      <c r="C4512" s="149" t="s">
        <v>404</v>
      </c>
      <c r="D4512" t="s">
        <v>6669</v>
      </c>
      <c r="E4512" t="s">
        <v>483</v>
      </c>
      <c r="F4512" s="150"/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0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6436</v>
      </c>
      <c r="M4512" s="165">
        <v>45961</v>
      </c>
      <c r="N4512" s="166"/>
      <c r="O4512" s="166"/>
      <c r="P4512" s="165" t="str">
        <f ca="1">IF(Proc[[#This Row],[DaysAgeing]]&gt;5,"yep","on track")</f>
        <v>on track</v>
      </c>
      <c r="Q4512" s="3">
        <f ca="1">IF(Proc[[#This Row],[DateClosed]]="",ABS(NETWORKDAYS(Proc[[#This Row],[DateOpened]],TODAY()))-1,ABS(NETWORKDAYS(Proc[[#This Row],[DateOpened]],Proc[[#This Row],[DateClosed]]))-1)</f>
        <v>0</v>
      </c>
      <c r="R4512" s="165" t="s">
        <v>6674</v>
      </c>
      <c r="S4512" s="150"/>
    </row>
    <row r="4513" spans="1:19">
      <c r="A4513" t="s">
        <v>6675</v>
      </c>
      <c r="B4513" s="150" t="str">
        <f>IFERROR(VLOOKUP(Proc[[#This Row],[App]],Table2[],3,0),"open")</f>
        <v>open</v>
      </c>
      <c r="C4513" s="149" t="s">
        <v>404</v>
      </c>
      <c r="D4513" t="s">
        <v>6676</v>
      </c>
      <c r="E4513" t="s">
        <v>3004</v>
      </c>
      <c r="F4513" s="150"/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0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6436</v>
      </c>
      <c r="M4513" s="165">
        <v>45961</v>
      </c>
      <c r="N4513" s="166"/>
      <c r="O4513" s="166"/>
      <c r="P4513" s="165" t="str">
        <f ca="1">IF(Proc[[#This Row],[DaysAgeing]]&gt;5,"yep","on track")</f>
        <v>on track</v>
      </c>
      <c r="Q4513" s="3">
        <f ca="1">IF(Proc[[#This Row],[DateClosed]]="",ABS(NETWORKDAYS(Proc[[#This Row],[DateOpened]],TODAY()))-1,ABS(NETWORKDAYS(Proc[[#This Row],[DateOpened]],Proc[[#This Row],[DateClosed]]))-1)</f>
        <v>0</v>
      </c>
      <c r="R4513" s="165" t="s">
        <v>1013</v>
      </c>
      <c r="S4513" s="150"/>
    </row>
    <row r="4514" spans="1:19">
      <c r="A4514" s="149" t="s">
        <v>6675</v>
      </c>
      <c r="B4514" s="150" t="str">
        <f>IFERROR(VLOOKUP(Proc[[#This Row],[App]],Table2[],3,0),"open")</f>
        <v>open</v>
      </c>
      <c r="C4514" s="149" t="s">
        <v>404</v>
      </c>
      <c r="D4514" t="s">
        <v>6677</v>
      </c>
      <c r="E4514" t="s">
        <v>3005</v>
      </c>
      <c r="F4514" s="150"/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0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6436</v>
      </c>
      <c r="M4514" s="165">
        <v>45961</v>
      </c>
      <c r="N4514" s="166"/>
      <c r="O4514" s="166"/>
      <c r="P4514" s="165" t="str">
        <f ca="1">IF(Proc[[#This Row],[DaysAgeing]]&gt;5,"yep","on track")</f>
        <v>on track</v>
      </c>
      <c r="Q4514" s="3">
        <f ca="1">IF(Proc[[#This Row],[DateClosed]]="",ABS(NETWORKDAYS(Proc[[#This Row],[DateOpened]],TODAY()))-1,ABS(NETWORKDAYS(Proc[[#This Row],[DateOpened]],Proc[[#This Row],[DateClosed]]))-1)</f>
        <v>0</v>
      </c>
      <c r="R4514" s="165" t="s">
        <v>1013</v>
      </c>
      <c r="S4514" s="150"/>
    </row>
    <row r="4515" spans="1:19">
      <c r="A4515" s="149" t="s">
        <v>6675</v>
      </c>
      <c r="B4515" s="150" t="str">
        <f>IFERROR(VLOOKUP(Proc[[#This Row],[App]],Table2[],3,0),"open")</f>
        <v>open</v>
      </c>
      <c r="C4515" s="149" t="s">
        <v>404</v>
      </c>
      <c r="D4515" t="s">
        <v>6678</v>
      </c>
      <c r="E4515" t="s">
        <v>3004</v>
      </c>
      <c r="F4515" s="150"/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0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6436</v>
      </c>
      <c r="M4515" s="165">
        <v>45961</v>
      </c>
      <c r="N4515" s="166"/>
      <c r="O4515" s="166"/>
      <c r="P4515" s="165" t="str">
        <f ca="1">IF(Proc[[#This Row],[DaysAgeing]]&gt;5,"yep","on track")</f>
        <v>on track</v>
      </c>
      <c r="Q4515" s="3">
        <f ca="1">IF(Proc[[#This Row],[DateClosed]]="",ABS(NETWORKDAYS(Proc[[#This Row],[DateOpened]],TODAY()))-1,ABS(NETWORKDAYS(Proc[[#This Row],[DateOpened]],Proc[[#This Row],[DateClosed]]))-1)</f>
        <v>0</v>
      </c>
      <c r="R4515" s="165" t="s">
        <v>1013</v>
      </c>
      <c r="S4515" s="150"/>
    </row>
    <row r="4516" spans="1:19">
      <c r="A4516" s="149" t="s">
        <v>6675</v>
      </c>
      <c r="B4516" s="150" t="str">
        <f>IFERROR(VLOOKUP(Proc[[#This Row],[App]],Table2[],3,0),"open")</f>
        <v>open</v>
      </c>
      <c r="C4516" s="149" t="s">
        <v>404</v>
      </c>
      <c r="D4516" t="s">
        <v>6679</v>
      </c>
      <c r="E4516" t="s">
        <v>3003</v>
      </c>
      <c r="F4516" s="150"/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0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6436</v>
      </c>
      <c r="M4516" s="165">
        <v>45961</v>
      </c>
      <c r="N4516" s="166"/>
      <c r="O4516" s="166"/>
      <c r="P4516" s="165" t="str">
        <f ca="1">IF(Proc[[#This Row],[DaysAgeing]]&gt;5,"yep","on track")</f>
        <v>on track</v>
      </c>
      <c r="Q4516" s="3">
        <f ca="1">IF(Proc[[#This Row],[DateClosed]]="",ABS(NETWORKDAYS(Proc[[#This Row],[DateOpened]],TODAY()))-1,ABS(NETWORKDAYS(Proc[[#This Row],[DateOpened]],Proc[[#This Row],[DateClosed]]))-1)</f>
        <v>0</v>
      </c>
      <c r="R4516" s="165" t="s">
        <v>1013</v>
      </c>
      <c r="S4516" s="150"/>
    </row>
    <row r="4517" spans="1:19">
      <c r="A4517" s="149" t="s">
        <v>6675</v>
      </c>
      <c r="B4517" s="150" t="str">
        <f>IFERROR(VLOOKUP(Proc[[#This Row],[App]],Table2[],3,0),"open")</f>
        <v>open</v>
      </c>
      <c r="C4517" s="149" t="s">
        <v>404</v>
      </c>
      <c r="D4517" t="s">
        <v>6680</v>
      </c>
      <c r="E4517" t="s">
        <v>3003</v>
      </c>
      <c r="F4517" s="150"/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0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6436</v>
      </c>
      <c r="M4517" s="165">
        <v>45961</v>
      </c>
      <c r="N4517" s="166"/>
      <c r="O4517" s="166"/>
      <c r="P4517" s="165" t="str">
        <f ca="1">IF(Proc[[#This Row],[DaysAgeing]]&gt;5,"yep","on track")</f>
        <v>on track</v>
      </c>
      <c r="Q4517" s="3">
        <f ca="1">IF(Proc[[#This Row],[DateClosed]]="",ABS(NETWORKDAYS(Proc[[#This Row],[DateOpened]],TODAY()))-1,ABS(NETWORKDAYS(Proc[[#This Row],[DateOpened]],Proc[[#This Row],[DateClosed]]))-1)</f>
        <v>0</v>
      </c>
      <c r="R4517" s="165" t="s">
        <v>1013</v>
      </c>
      <c r="S4517" s="150"/>
    </row>
    <row r="4518" spans="1:19">
      <c r="A4518" s="149" t="s">
        <v>6675</v>
      </c>
      <c r="B4518" s="150" t="str">
        <f>IFERROR(VLOOKUP(Proc[[#This Row],[App]],Table2[],3,0),"open")</f>
        <v>open</v>
      </c>
      <c r="C4518" s="149" t="s">
        <v>404</v>
      </c>
      <c r="D4518" t="s">
        <v>6681</v>
      </c>
      <c r="E4518" t="s">
        <v>3740</v>
      </c>
      <c r="F4518" s="150"/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0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6436</v>
      </c>
      <c r="M4518" s="165">
        <v>45961</v>
      </c>
      <c r="N4518" s="166"/>
      <c r="O4518" s="166"/>
      <c r="P4518" s="165" t="str">
        <f ca="1">IF(Proc[[#This Row],[DaysAgeing]]&gt;5,"yep","on track")</f>
        <v>on track</v>
      </c>
      <c r="Q4518" s="3">
        <f ca="1">IF(Proc[[#This Row],[DateClosed]]="",ABS(NETWORKDAYS(Proc[[#This Row],[DateOpened]],TODAY()))-1,ABS(NETWORKDAYS(Proc[[#This Row],[DateOpened]],Proc[[#This Row],[DateClosed]]))-1)</f>
        <v>0</v>
      </c>
      <c r="R4518" s="165" t="s">
        <v>1013</v>
      </c>
      <c r="S4518" s="150"/>
    </row>
    <row r="4519" spans="1:19">
      <c r="A4519" s="149" t="s">
        <v>6675</v>
      </c>
      <c r="B4519" s="150" t="str">
        <f>IFERROR(VLOOKUP(Proc[[#This Row],[App]],Table2[],3,0),"open")</f>
        <v>open</v>
      </c>
      <c r="C4519" s="149" t="s">
        <v>404</v>
      </c>
      <c r="D4519" t="s">
        <v>6682</v>
      </c>
      <c r="E4519" t="s">
        <v>3740</v>
      </c>
      <c r="F4519" s="150"/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0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6436</v>
      </c>
      <c r="M4519" s="165">
        <v>45961</v>
      </c>
      <c r="N4519" s="166"/>
      <c r="O4519" s="166"/>
      <c r="P4519" s="165" t="str">
        <f ca="1">IF(Proc[[#This Row],[DaysAgeing]]&gt;5,"yep","on track")</f>
        <v>on track</v>
      </c>
      <c r="Q4519" s="3">
        <f ca="1">IF(Proc[[#This Row],[DateClosed]]="",ABS(NETWORKDAYS(Proc[[#This Row],[DateOpened]],TODAY()))-1,ABS(NETWORKDAYS(Proc[[#This Row],[DateOpened]],Proc[[#This Row],[DateClosed]]))-1)</f>
        <v>0</v>
      </c>
      <c r="R4519" s="165" t="s">
        <v>1013</v>
      </c>
      <c r="S4519" s="150"/>
    </row>
    <row r="4520" spans="1:19">
      <c r="A4520" s="149" t="s">
        <v>6675</v>
      </c>
      <c r="B4520" s="150" t="str">
        <f>IFERROR(VLOOKUP(Proc[[#This Row],[App]],Table2[],3,0),"open")</f>
        <v>open</v>
      </c>
      <c r="C4520" s="149" t="s">
        <v>404</v>
      </c>
      <c r="D4520" t="s">
        <v>6683</v>
      </c>
      <c r="E4520" t="s">
        <v>3004</v>
      </c>
      <c r="F4520" s="150"/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0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6436</v>
      </c>
      <c r="M4520" s="165">
        <v>45961</v>
      </c>
      <c r="N4520" s="166"/>
      <c r="O4520" s="166"/>
      <c r="P4520" s="165" t="str">
        <f ca="1">IF(Proc[[#This Row],[DaysAgeing]]&gt;5,"yep","on track")</f>
        <v>on track</v>
      </c>
      <c r="Q4520" s="3">
        <f ca="1">IF(Proc[[#This Row],[DateClosed]]="",ABS(NETWORKDAYS(Proc[[#This Row],[DateOpened]],TODAY()))-1,ABS(NETWORKDAYS(Proc[[#This Row],[DateOpened]],Proc[[#This Row],[DateClosed]]))-1)</f>
        <v>0</v>
      </c>
      <c r="R4520" s="165" t="s">
        <v>1013</v>
      </c>
      <c r="S4520" s="150"/>
    </row>
    <row r="4521" spans="1:19">
      <c r="A4521" s="149" t="s">
        <v>6675</v>
      </c>
      <c r="B4521" s="150" t="str">
        <f>IFERROR(VLOOKUP(Proc[[#This Row],[App]],Table2[],3,0),"open")</f>
        <v>open</v>
      </c>
      <c r="C4521" s="149" t="s">
        <v>404</v>
      </c>
      <c r="D4521" t="s">
        <v>6684</v>
      </c>
      <c r="E4521" t="s">
        <v>3005</v>
      </c>
      <c r="F4521" s="150"/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0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6436</v>
      </c>
      <c r="M4521" s="165">
        <v>45961</v>
      </c>
      <c r="N4521" s="166"/>
      <c r="O4521" s="166"/>
      <c r="P4521" s="165" t="str">
        <f ca="1">IF(Proc[[#This Row],[DaysAgeing]]&gt;5,"yep","on track")</f>
        <v>on track</v>
      </c>
      <c r="Q4521" s="3">
        <f ca="1">IF(Proc[[#This Row],[DateClosed]]="",ABS(NETWORKDAYS(Proc[[#This Row],[DateOpened]],TODAY()))-1,ABS(NETWORKDAYS(Proc[[#This Row],[DateOpened]],Proc[[#This Row],[DateClosed]]))-1)</f>
        <v>0</v>
      </c>
      <c r="R4521" s="165" t="s">
        <v>1013</v>
      </c>
      <c r="S4521" s="150"/>
    </row>
    <row r="4522" spans="1:19">
      <c r="A4522" s="149" t="s">
        <v>6675</v>
      </c>
      <c r="B4522" s="150" t="str">
        <f>IFERROR(VLOOKUP(Proc[[#This Row],[App]],Table2[],3,0),"open")</f>
        <v>open</v>
      </c>
      <c r="C4522" s="149" t="s">
        <v>404</v>
      </c>
      <c r="D4522" t="s">
        <v>6685</v>
      </c>
      <c r="E4522" t="s">
        <v>3004</v>
      </c>
      <c r="F4522" s="150"/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0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6436</v>
      </c>
      <c r="M4522" s="165">
        <v>45961</v>
      </c>
      <c r="N4522" s="166"/>
      <c r="O4522" s="166"/>
      <c r="P4522" s="165" t="str">
        <f ca="1">IF(Proc[[#This Row],[DaysAgeing]]&gt;5,"yep","on track")</f>
        <v>on track</v>
      </c>
      <c r="Q4522" s="3">
        <f ca="1">IF(Proc[[#This Row],[DateClosed]]="",ABS(NETWORKDAYS(Proc[[#This Row],[DateOpened]],TODAY()))-1,ABS(NETWORKDAYS(Proc[[#This Row],[DateOpened]],Proc[[#This Row],[DateClosed]]))-1)</f>
        <v>0</v>
      </c>
      <c r="R4522" s="165" t="s">
        <v>1013</v>
      </c>
      <c r="S4522" s="150"/>
    </row>
    <row r="4523" spans="1:19">
      <c r="A4523" s="149" t="s">
        <v>6675</v>
      </c>
      <c r="B4523" s="150" t="str">
        <f>IFERROR(VLOOKUP(Proc[[#This Row],[App]],Table2[],3,0),"open")</f>
        <v>open</v>
      </c>
      <c r="C4523" s="149" t="s">
        <v>404</v>
      </c>
      <c r="D4523" t="s">
        <v>6686</v>
      </c>
      <c r="E4523" t="s">
        <v>3006</v>
      </c>
      <c r="F4523" s="150"/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0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6436</v>
      </c>
      <c r="M4523" s="165">
        <v>45961</v>
      </c>
      <c r="N4523" s="166"/>
      <c r="O4523" s="166"/>
      <c r="P4523" s="165" t="str">
        <f ca="1">IF(Proc[[#This Row],[DaysAgeing]]&gt;5,"yep","on track")</f>
        <v>on track</v>
      </c>
      <c r="Q4523" s="3">
        <f ca="1">IF(Proc[[#This Row],[DateClosed]]="",ABS(NETWORKDAYS(Proc[[#This Row],[DateOpened]],TODAY()))-1,ABS(NETWORKDAYS(Proc[[#This Row],[DateOpened]],Proc[[#This Row],[DateClosed]]))-1)</f>
        <v>0</v>
      </c>
      <c r="R4523" s="165" t="s">
        <v>1013</v>
      </c>
      <c r="S4523" s="150"/>
    </row>
    <row r="4524" spans="1:19">
      <c r="A4524" s="149" t="s">
        <v>6675</v>
      </c>
      <c r="B4524" s="150" t="str">
        <f>IFERROR(VLOOKUP(Proc[[#This Row],[App]],Table2[],3,0),"open")</f>
        <v>open</v>
      </c>
      <c r="C4524" s="149" t="s">
        <v>404</v>
      </c>
      <c r="D4524" t="s">
        <v>6687</v>
      </c>
      <c r="E4524" t="s">
        <v>3401</v>
      </c>
      <c r="F4524" s="150"/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0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6436</v>
      </c>
      <c r="M4524" s="165">
        <v>45961</v>
      </c>
      <c r="N4524" s="166"/>
      <c r="O4524" s="166"/>
      <c r="P4524" s="165" t="str">
        <f ca="1">IF(Proc[[#This Row],[DaysAgeing]]&gt;5,"yep","on track")</f>
        <v>on track</v>
      </c>
      <c r="Q4524" s="3">
        <f ca="1">IF(Proc[[#This Row],[DateClosed]]="",ABS(NETWORKDAYS(Proc[[#This Row],[DateOpened]],TODAY()))-1,ABS(NETWORKDAYS(Proc[[#This Row],[DateOpened]],Proc[[#This Row],[DateClosed]]))-1)</f>
        <v>0</v>
      </c>
      <c r="R4524" s="165" t="s">
        <v>1013</v>
      </c>
      <c r="S4524" s="150"/>
    </row>
    <row r="4525" spans="1:19">
      <c r="A4525" s="149" t="s">
        <v>6675</v>
      </c>
      <c r="B4525" s="150" t="str">
        <f>IFERROR(VLOOKUP(Proc[[#This Row],[App]],Table2[],3,0),"open")</f>
        <v>open</v>
      </c>
      <c r="C4525" s="149" t="s">
        <v>404</v>
      </c>
      <c r="D4525" t="s">
        <v>6688</v>
      </c>
      <c r="E4525" t="s">
        <v>3401</v>
      </c>
      <c r="F4525" s="150"/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0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6436</v>
      </c>
      <c r="M4525" s="165">
        <v>45961</v>
      </c>
      <c r="N4525" s="166"/>
      <c r="O4525" s="166"/>
      <c r="P4525" s="165" t="str">
        <f ca="1">IF(Proc[[#This Row],[DaysAgeing]]&gt;5,"yep","on track")</f>
        <v>on track</v>
      </c>
      <c r="Q4525" s="3">
        <f ca="1">IF(Proc[[#This Row],[DateClosed]]="",ABS(NETWORKDAYS(Proc[[#This Row],[DateOpened]],TODAY()))-1,ABS(NETWORKDAYS(Proc[[#This Row],[DateOpened]],Proc[[#This Row],[DateClosed]]))-1)</f>
        <v>0</v>
      </c>
      <c r="R4525" s="165" t="s">
        <v>1013</v>
      </c>
      <c r="S4525" s="150"/>
    </row>
    <row r="4526" spans="1:19">
      <c r="A4526" s="149" t="s">
        <v>6675</v>
      </c>
      <c r="B4526" s="150" t="str">
        <f>IFERROR(VLOOKUP(Proc[[#This Row],[App]],Table2[],3,0),"open")</f>
        <v>open</v>
      </c>
      <c r="C4526" s="149" t="s">
        <v>404</v>
      </c>
      <c r="D4526" t="s">
        <v>6689</v>
      </c>
      <c r="E4526" t="s">
        <v>3401</v>
      </c>
      <c r="F4526" s="150"/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0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6436</v>
      </c>
      <c r="M4526" s="165">
        <v>45961</v>
      </c>
      <c r="N4526" s="166"/>
      <c r="O4526" s="166"/>
      <c r="P4526" s="165" t="str">
        <f ca="1">IF(Proc[[#This Row],[DaysAgeing]]&gt;5,"yep","on track")</f>
        <v>on track</v>
      </c>
      <c r="Q4526" s="3">
        <f ca="1">IF(Proc[[#This Row],[DateClosed]]="",ABS(NETWORKDAYS(Proc[[#This Row],[DateOpened]],TODAY()))-1,ABS(NETWORKDAYS(Proc[[#This Row],[DateOpened]],Proc[[#This Row],[DateClosed]]))-1)</f>
        <v>0</v>
      </c>
      <c r="R4526" s="165" t="s">
        <v>1013</v>
      </c>
      <c r="S4526" s="150"/>
    </row>
    <row r="4527" spans="1:19">
      <c r="A4527" s="149" t="s">
        <v>6675</v>
      </c>
      <c r="B4527" s="150" t="str">
        <f>IFERROR(VLOOKUP(Proc[[#This Row],[App]],Table2[],3,0),"open")</f>
        <v>open</v>
      </c>
      <c r="C4527" s="149" t="s">
        <v>404</v>
      </c>
      <c r="D4527" t="s">
        <v>6690</v>
      </c>
      <c r="E4527" t="s">
        <v>6722</v>
      </c>
      <c r="F4527" s="150"/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0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6436</v>
      </c>
      <c r="M4527" s="165">
        <v>45961</v>
      </c>
      <c r="N4527" s="166"/>
      <c r="O4527" s="166"/>
      <c r="P4527" s="165" t="str">
        <f ca="1">IF(Proc[[#This Row],[DaysAgeing]]&gt;5,"yep","on track")</f>
        <v>on track</v>
      </c>
      <c r="Q4527" s="3">
        <f ca="1">IF(Proc[[#This Row],[DateClosed]]="",ABS(NETWORKDAYS(Proc[[#This Row],[DateOpened]],TODAY()))-1,ABS(NETWORKDAYS(Proc[[#This Row],[DateOpened]],Proc[[#This Row],[DateClosed]]))-1)</f>
        <v>0</v>
      </c>
      <c r="R4527" s="165" t="s">
        <v>1013</v>
      </c>
      <c r="S4527" s="150"/>
    </row>
    <row r="4528" spans="1:19">
      <c r="A4528" s="149" t="s">
        <v>6675</v>
      </c>
      <c r="B4528" s="150" t="str">
        <f>IFERROR(VLOOKUP(Proc[[#This Row],[App]],Table2[],3,0),"open")</f>
        <v>open</v>
      </c>
      <c r="C4528" s="149" t="s">
        <v>404</v>
      </c>
      <c r="D4528" t="s">
        <v>6691</v>
      </c>
      <c r="E4528" t="s">
        <v>4068</v>
      </c>
      <c r="F4528" s="150"/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0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6436</v>
      </c>
      <c r="M4528" s="165">
        <v>45961</v>
      </c>
      <c r="N4528" s="166"/>
      <c r="O4528" s="166"/>
      <c r="P4528" s="165" t="str">
        <f ca="1">IF(Proc[[#This Row],[DaysAgeing]]&gt;5,"yep","on track")</f>
        <v>on track</v>
      </c>
      <c r="Q4528" s="3">
        <f ca="1">IF(Proc[[#This Row],[DateClosed]]="",ABS(NETWORKDAYS(Proc[[#This Row],[DateOpened]],TODAY()))-1,ABS(NETWORKDAYS(Proc[[#This Row],[DateOpened]],Proc[[#This Row],[DateClosed]]))-1)</f>
        <v>0</v>
      </c>
      <c r="R4528" s="165" t="s">
        <v>1013</v>
      </c>
      <c r="S4528" s="150"/>
    </row>
    <row r="4529" spans="1:19">
      <c r="A4529" s="149" t="s">
        <v>6675</v>
      </c>
      <c r="B4529" s="150" t="str">
        <f>IFERROR(VLOOKUP(Proc[[#This Row],[App]],Table2[],3,0),"open")</f>
        <v>open</v>
      </c>
      <c r="C4529" s="149" t="s">
        <v>404</v>
      </c>
      <c r="D4529" t="s">
        <v>6692</v>
      </c>
      <c r="E4529" t="s">
        <v>4068</v>
      </c>
      <c r="F4529" s="150"/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0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6436</v>
      </c>
      <c r="M4529" s="165">
        <v>45961</v>
      </c>
      <c r="N4529" s="166"/>
      <c r="O4529" s="166"/>
      <c r="P4529" s="165" t="str">
        <f ca="1">IF(Proc[[#This Row],[DaysAgeing]]&gt;5,"yep","on track")</f>
        <v>on track</v>
      </c>
      <c r="Q4529" s="3">
        <f ca="1">IF(Proc[[#This Row],[DateClosed]]="",ABS(NETWORKDAYS(Proc[[#This Row],[DateOpened]],TODAY()))-1,ABS(NETWORKDAYS(Proc[[#This Row],[DateOpened]],Proc[[#This Row],[DateClosed]]))-1)</f>
        <v>0</v>
      </c>
      <c r="R4529" s="165" t="s">
        <v>1013</v>
      </c>
      <c r="S4529" s="150"/>
    </row>
    <row r="4530" spans="1:19">
      <c r="A4530" s="149" t="s">
        <v>6675</v>
      </c>
      <c r="B4530" s="150" t="str">
        <f>IFERROR(VLOOKUP(Proc[[#This Row],[App]],Table2[],3,0),"open")</f>
        <v>open</v>
      </c>
      <c r="C4530" s="149" t="s">
        <v>404</v>
      </c>
      <c r="D4530" t="s">
        <v>6693</v>
      </c>
      <c r="E4530" t="s">
        <v>4068</v>
      </c>
      <c r="F4530" s="150"/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0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6436</v>
      </c>
      <c r="M4530" s="165">
        <v>45961</v>
      </c>
      <c r="N4530" s="166"/>
      <c r="O4530" s="166"/>
      <c r="P4530" s="165" t="str">
        <f ca="1">IF(Proc[[#This Row],[DaysAgeing]]&gt;5,"yep","on track")</f>
        <v>on track</v>
      </c>
      <c r="Q4530" s="3">
        <f ca="1">IF(Proc[[#This Row],[DateClosed]]="",ABS(NETWORKDAYS(Proc[[#This Row],[DateOpened]],TODAY()))-1,ABS(NETWORKDAYS(Proc[[#This Row],[DateOpened]],Proc[[#This Row],[DateClosed]]))-1)</f>
        <v>0</v>
      </c>
      <c r="R4530" s="165" t="s">
        <v>1013</v>
      </c>
      <c r="S4530" s="150"/>
    </row>
    <row r="4531" spans="1:19">
      <c r="A4531" s="149" t="s">
        <v>6675</v>
      </c>
      <c r="B4531" s="150" t="str">
        <f>IFERROR(VLOOKUP(Proc[[#This Row],[App]],Table2[],3,0),"open")</f>
        <v>open</v>
      </c>
      <c r="C4531" s="149" t="s">
        <v>404</v>
      </c>
      <c r="D4531" t="s">
        <v>6694</v>
      </c>
      <c r="E4531" t="s">
        <v>4068</v>
      </c>
      <c r="F4531" s="150"/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0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6436</v>
      </c>
      <c r="M4531" s="165">
        <v>45961</v>
      </c>
      <c r="N4531" s="166"/>
      <c r="O4531" s="166"/>
      <c r="P4531" s="165" t="str">
        <f ca="1">IF(Proc[[#This Row],[DaysAgeing]]&gt;5,"yep","on track")</f>
        <v>on track</v>
      </c>
      <c r="Q4531" s="3">
        <f ca="1">IF(Proc[[#This Row],[DateClosed]]="",ABS(NETWORKDAYS(Proc[[#This Row],[DateOpened]],TODAY()))-1,ABS(NETWORKDAYS(Proc[[#This Row],[DateOpened]],Proc[[#This Row],[DateClosed]]))-1)</f>
        <v>0</v>
      </c>
      <c r="R4531" s="165" t="s">
        <v>1013</v>
      </c>
      <c r="S4531" s="150"/>
    </row>
    <row r="4532" spans="1:19">
      <c r="A4532" s="149" t="s">
        <v>6675</v>
      </c>
      <c r="B4532" s="150" t="str">
        <f>IFERROR(VLOOKUP(Proc[[#This Row],[App]],Table2[],3,0),"open")</f>
        <v>open</v>
      </c>
      <c r="C4532" s="149" t="s">
        <v>404</v>
      </c>
      <c r="D4532" t="s">
        <v>6695</v>
      </c>
      <c r="E4532" t="s">
        <v>4068</v>
      </c>
      <c r="F4532" s="150"/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0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6436</v>
      </c>
      <c r="M4532" s="165">
        <v>45961</v>
      </c>
      <c r="N4532" s="166"/>
      <c r="O4532" s="166"/>
      <c r="P4532" s="165" t="str">
        <f ca="1">IF(Proc[[#This Row],[DaysAgeing]]&gt;5,"yep","on track")</f>
        <v>on track</v>
      </c>
      <c r="Q4532" s="3">
        <f ca="1">IF(Proc[[#This Row],[DateClosed]]="",ABS(NETWORKDAYS(Proc[[#This Row],[DateOpened]],TODAY()))-1,ABS(NETWORKDAYS(Proc[[#This Row],[DateOpened]],Proc[[#This Row],[DateClosed]]))-1)</f>
        <v>0</v>
      </c>
      <c r="R4532" s="165" t="s">
        <v>1013</v>
      </c>
      <c r="S4532" s="150"/>
    </row>
    <row r="4533" spans="1:19">
      <c r="A4533" s="149" t="s">
        <v>6675</v>
      </c>
      <c r="B4533" s="150" t="str">
        <f>IFERROR(VLOOKUP(Proc[[#This Row],[App]],Table2[],3,0),"open")</f>
        <v>open</v>
      </c>
      <c r="C4533" s="149" t="s">
        <v>404</v>
      </c>
      <c r="D4533" t="s">
        <v>6696</v>
      </c>
      <c r="E4533" t="s">
        <v>4068</v>
      </c>
      <c r="F4533" s="150"/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0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6436</v>
      </c>
      <c r="M4533" s="165">
        <v>45961</v>
      </c>
      <c r="N4533" s="166"/>
      <c r="O4533" s="166"/>
      <c r="P4533" s="165" t="str">
        <f ca="1">IF(Proc[[#This Row],[DaysAgeing]]&gt;5,"yep","on track")</f>
        <v>on track</v>
      </c>
      <c r="Q4533" s="3">
        <f ca="1">IF(Proc[[#This Row],[DateClosed]]="",ABS(NETWORKDAYS(Proc[[#This Row],[DateOpened]],TODAY()))-1,ABS(NETWORKDAYS(Proc[[#This Row],[DateOpened]],Proc[[#This Row],[DateClosed]]))-1)</f>
        <v>0</v>
      </c>
      <c r="R4533" s="165" t="s">
        <v>1013</v>
      </c>
      <c r="S4533" s="150"/>
    </row>
    <row r="4534" spans="1:19">
      <c r="A4534" s="149" t="s">
        <v>6675</v>
      </c>
      <c r="B4534" s="150" t="str">
        <f>IFERROR(VLOOKUP(Proc[[#This Row],[App]],Table2[],3,0),"open")</f>
        <v>open</v>
      </c>
      <c r="C4534" s="149" t="s">
        <v>404</v>
      </c>
      <c r="D4534" t="s">
        <v>6697</v>
      </c>
      <c r="E4534" t="s">
        <v>4068</v>
      </c>
      <c r="F4534" s="150"/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0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6436</v>
      </c>
      <c r="M4534" s="165">
        <v>45961</v>
      </c>
      <c r="N4534" s="166"/>
      <c r="O4534" s="166"/>
      <c r="P4534" s="165" t="str">
        <f ca="1">IF(Proc[[#This Row],[DaysAgeing]]&gt;5,"yep","on track")</f>
        <v>on track</v>
      </c>
      <c r="Q4534" s="3">
        <f ca="1">IF(Proc[[#This Row],[DateClosed]]="",ABS(NETWORKDAYS(Proc[[#This Row],[DateOpened]],TODAY()))-1,ABS(NETWORKDAYS(Proc[[#This Row],[DateOpened]],Proc[[#This Row],[DateClosed]]))-1)</f>
        <v>0</v>
      </c>
      <c r="R4534" s="165" t="s">
        <v>1013</v>
      </c>
      <c r="S4534" s="150"/>
    </row>
    <row r="4535" spans="1:19">
      <c r="A4535" s="149" t="s">
        <v>6675</v>
      </c>
      <c r="B4535" s="150" t="str">
        <f>IFERROR(VLOOKUP(Proc[[#This Row],[App]],Table2[],3,0),"open")</f>
        <v>open</v>
      </c>
      <c r="C4535" s="149" t="s">
        <v>404</v>
      </c>
      <c r="D4535" t="s">
        <v>6698</v>
      </c>
      <c r="E4535" t="s">
        <v>4068</v>
      </c>
      <c r="F4535" s="150"/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0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6436</v>
      </c>
      <c r="M4535" s="165">
        <v>45961</v>
      </c>
      <c r="N4535" s="166"/>
      <c r="O4535" s="166"/>
      <c r="P4535" s="165" t="str">
        <f ca="1">IF(Proc[[#This Row],[DaysAgeing]]&gt;5,"yep","on track")</f>
        <v>on track</v>
      </c>
      <c r="Q4535" s="3">
        <f ca="1">IF(Proc[[#This Row],[DateClosed]]="",ABS(NETWORKDAYS(Proc[[#This Row],[DateOpened]],TODAY()))-1,ABS(NETWORKDAYS(Proc[[#This Row],[DateOpened]],Proc[[#This Row],[DateClosed]]))-1)</f>
        <v>0</v>
      </c>
      <c r="R4535" s="165" t="s">
        <v>1013</v>
      </c>
      <c r="S4535" s="150"/>
    </row>
    <row r="4536" spans="1:19">
      <c r="A4536" s="149" t="s">
        <v>6675</v>
      </c>
      <c r="B4536" s="150" t="str">
        <f>IFERROR(VLOOKUP(Proc[[#This Row],[App]],Table2[],3,0),"open")</f>
        <v>open</v>
      </c>
      <c r="C4536" s="149" t="s">
        <v>404</v>
      </c>
      <c r="D4536" t="s">
        <v>6699</v>
      </c>
      <c r="E4536" t="s">
        <v>4068</v>
      </c>
      <c r="F4536" s="150"/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0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6436</v>
      </c>
      <c r="M4536" s="165">
        <v>45961</v>
      </c>
      <c r="N4536" s="166"/>
      <c r="O4536" s="166"/>
      <c r="P4536" s="165" t="str">
        <f ca="1">IF(Proc[[#This Row],[DaysAgeing]]&gt;5,"yep","on track")</f>
        <v>on track</v>
      </c>
      <c r="Q4536" s="3">
        <f ca="1">IF(Proc[[#This Row],[DateClosed]]="",ABS(NETWORKDAYS(Proc[[#This Row],[DateOpened]],TODAY()))-1,ABS(NETWORKDAYS(Proc[[#This Row],[DateOpened]],Proc[[#This Row],[DateClosed]]))-1)</f>
        <v>0</v>
      </c>
      <c r="R4536" s="165" t="s">
        <v>1013</v>
      </c>
      <c r="S4536" s="150"/>
    </row>
    <row r="4537" spans="1:19">
      <c r="A4537" s="149" t="s">
        <v>6675</v>
      </c>
      <c r="B4537" s="150" t="str">
        <f>IFERROR(VLOOKUP(Proc[[#This Row],[App]],Table2[],3,0),"open")</f>
        <v>open</v>
      </c>
      <c r="C4537" s="149" t="s">
        <v>404</v>
      </c>
      <c r="D4537" t="s">
        <v>6700</v>
      </c>
      <c r="E4537" t="s">
        <v>4068</v>
      </c>
      <c r="F4537" s="150"/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0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6436</v>
      </c>
      <c r="M4537" s="165">
        <v>45961</v>
      </c>
      <c r="N4537" s="166"/>
      <c r="O4537" s="166"/>
      <c r="P4537" s="165" t="str">
        <f ca="1">IF(Proc[[#This Row],[DaysAgeing]]&gt;5,"yep","on track")</f>
        <v>on track</v>
      </c>
      <c r="Q4537" s="3">
        <f ca="1">IF(Proc[[#This Row],[DateClosed]]="",ABS(NETWORKDAYS(Proc[[#This Row],[DateOpened]],TODAY()))-1,ABS(NETWORKDAYS(Proc[[#This Row],[DateOpened]],Proc[[#This Row],[DateClosed]]))-1)</f>
        <v>0</v>
      </c>
      <c r="R4537" s="165" t="s">
        <v>1013</v>
      </c>
      <c r="S4537" s="150"/>
    </row>
    <row r="4538" spans="1:19">
      <c r="A4538" s="149" t="s">
        <v>6675</v>
      </c>
      <c r="B4538" s="150" t="str">
        <f>IFERROR(VLOOKUP(Proc[[#This Row],[App]],Table2[],3,0),"open")</f>
        <v>open</v>
      </c>
      <c r="C4538" s="149" t="s">
        <v>404</v>
      </c>
      <c r="D4538" t="s">
        <v>6701</v>
      </c>
      <c r="E4538" t="s">
        <v>4068</v>
      </c>
      <c r="F4538" s="150"/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0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6436</v>
      </c>
      <c r="M4538" s="165">
        <v>45961</v>
      </c>
      <c r="N4538" s="166"/>
      <c r="O4538" s="166"/>
      <c r="P4538" s="165" t="str">
        <f ca="1">IF(Proc[[#This Row],[DaysAgeing]]&gt;5,"yep","on track")</f>
        <v>on track</v>
      </c>
      <c r="Q4538" s="3">
        <f ca="1">IF(Proc[[#This Row],[DateClosed]]="",ABS(NETWORKDAYS(Proc[[#This Row],[DateOpened]],TODAY()))-1,ABS(NETWORKDAYS(Proc[[#This Row],[DateOpened]],Proc[[#This Row],[DateClosed]]))-1)</f>
        <v>0</v>
      </c>
      <c r="R4538" s="165" t="s">
        <v>1013</v>
      </c>
      <c r="S4538" s="150"/>
    </row>
    <row r="4539" spans="1:19">
      <c r="A4539" s="149" t="s">
        <v>6675</v>
      </c>
      <c r="B4539" s="150" t="str">
        <f>IFERROR(VLOOKUP(Proc[[#This Row],[App]],Table2[],3,0),"open")</f>
        <v>open</v>
      </c>
      <c r="C4539" s="149" t="s">
        <v>404</v>
      </c>
      <c r="D4539" t="s">
        <v>6702</v>
      </c>
      <c r="E4539" t="s">
        <v>4068</v>
      </c>
      <c r="F4539" s="150"/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0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6436</v>
      </c>
      <c r="M4539" s="165">
        <v>45961</v>
      </c>
      <c r="N4539" s="166"/>
      <c r="O4539" s="166"/>
      <c r="P4539" s="165" t="str">
        <f ca="1">IF(Proc[[#This Row],[DaysAgeing]]&gt;5,"yep","on track")</f>
        <v>on track</v>
      </c>
      <c r="Q4539" s="3">
        <f ca="1">IF(Proc[[#This Row],[DateClosed]]="",ABS(NETWORKDAYS(Proc[[#This Row],[DateOpened]],TODAY()))-1,ABS(NETWORKDAYS(Proc[[#This Row],[DateOpened]],Proc[[#This Row],[DateClosed]]))-1)</f>
        <v>0</v>
      </c>
      <c r="R4539" s="165" t="s">
        <v>1013</v>
      </c>
      <c r="S4539" s="150"/>
    </row>
    <row r="4540" spans="1:19">
      <c r="A4540" s="149" t="s">
        <v>6675</v>
      </c>
      <c r="B4540" s="150" t="str">
        <f>IFERROR(VLOOKUP(Proc[[#This Row],[App]],Table2[],3,0),"open")</f>
        <v>open</v>
      </c>
      <c r="C4540" s="149" t="s">
        <v>404</v>
      </c>
      <c r="D4540" t="s">
        <v>6703</v>
      </c>
      <c r="E4540" t="s">
        <v>4068</v>
      </c>
      <c r="F4540" s="150"/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0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6436</v>
      </c>
      <c r="M4540" s="165">
        <v>45961</v>
      </c>
      <c r="N4540" s="166"/>
      <c r="O4540" s="166"/>
      <c r="P4540" s="165" t="str">
        <f ca="1">IF(Proc[[#This Row],[DaysAgeing]]&gt;5,"yep","on track")</f>
        <v>on track</v>
      </c>
      <c r="Q4540" s="3">
        <f ca="1">IF(Proc[[#This Row],[DateClosed]]="",ABS(NETWORKDAYS(Proc[[#This Row],[DateOpened]],TODAY()))-1,ABS(NETWORKDAYS(Proc[[#This Row],[DateOpened]],Proc[[#This Row],[DateClosed]]))-1)</f>
        <v>0</v>
      </c>
      <c r="R4540" s="165" t="s">
        <v>1013</v>
      </c>
      <c r="S4540" s="150"/>
    </row>
    <row r="4541" spans="1:19">
      <c r="A4541" s="149" t="s">
        <v>6675</v>
      </c>
      <c r="B4541" s="150" t="str">
        <f>IFERROR(VLOOKUP(Proc[[#This Row],[App]],Table2[],3,0),"open")</f>
        <v>open</v>
      </c>
      <c r="C4541" s="149" t="s">
        <v>404</v>
      </c>
      <c r="D4541" t="s">
        <v>6704</v>
      </c>
      <c r="E4541" t="s">
        <v>4068</v>
      </c>
      <c r="F4541" s="150"/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0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6436</v>
      </c>
      <c r="M4541" s="165">
        <v>45961</v>
      </c>
      <c r="N4541" s="166"/>
      <c r="O4541" s="166"/>
      <c r="P4541" s="165" t="str">
        <f ca="1">IF(Proc[[#This Row],[DaysAgeing]]&gt;5,"yep","on track")</f>
        <v>on track</v>
      </c>
      <c r="Q4541" s="3">
        <f ca="1">IF(Proc[[#This Row],[DateClosed]]="",ABS(NETWORKDAYS(Proc[[#This Row],[DateOpened]],TODAY()))-1,ABS(NETWORKDAYS(Proc[[#This Row],[DateOpened]],Proc[[#This Row],[DateClosed]]))-1)</f>
        <v>0</v>
      </c>
      <c r="R4541" s="165" t="s">
        <v>1013</v>
      </c>
      <c r="S4541" s="150"/>
    </row>
    <row r="4542" spans="1:19">
      <c r="A4542" s="149" t="s">
        <v>6675</v>
      </c>
      <c r="B4542" s="150" t="str">
        <f>IFERROR(VLOOKUP(Proc[[#This Row],[App]],Table2[],3,0),"open")</f>
        <v>open</v>
      </c>
      <c r="C4542" s="149" t="s">
        <v>404</v>
      </c>
      <c r="D4542" t="s">
        <v>6705</v>
      </c>
      <c r="E4542" t="s">
        <v>4068</v>
      </c>
      <c r="F4542" s="150"/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0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6436</v>
      </c>
      <c r="M4542" s="165">
        <v>45961</v>
      </c>
      <c r="N4542" s="166"/>
      <c r="O4542" s="166"/>
      <c r="P4542" s="165" t="str">
        <f ca="1">IF(Proc[[#This Row],[DaysAgeing]]&gt;5,"yep","on track")</f>
        <v>on track</v>
      </c>
      <c r="Q4542" s="3">
        <f ca="1">IF(Proc[[#This Row],[DateClosed]]="",ABS(NETWORKDAYS(Proc[[#This Row],[DateOpened]],TODAY()))-1,ABS(NETWORKDAYS(Proc[[#This Row],[DateOpened]],Proc[[#This Row],[DateClosed]]))-1)</f>
        <v>0</v>
      </c>
      <c r="R4542" s="165" t="s">
        <v>1013</v>
      </c>
      <c r="S4542" s="150"/>
    </row>
    <row r="4543" spans="1:19">
      <c r="A4543" s="149" t="s">
        <v>6675</v>
      </c>
      <c r="B4543" s="150" t="str">
        <f>IFERROR(VLOOKUP(Proc[[#This Row],[App]],Table2[],3,0),"open")</f>
        <v>open</v>
      </c>
      <c r="C4543" s="149" t="s">
        <v>404</v>
      </c>
      <c r="D4543" t="s">
        <v>6706</v>
      </c>
      <c r="E4543" t="s">
        <v>4068</v>
      </c>
      <c r="F4543" s="150"/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0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6436</v>
      </c>
      <c r="M4543" s="165">
        <v>45961</v>
      </c>
      <c r="N4543" s="166"/>
      <c r="O4543" s="166"/>
      <c r="P4543" s="165" t="str">
        <f ca="1">IF(Proc[[#This Row],[DaysAgeing]]&gt;5,"yep","on track")</f>
        <v>on track</v>
      </c>
      <c r="Q4543" s="3">
        <f ca="1">IF(Proc[[#This Row],[DateClosed]]="",ABS(NETWORKDAYS(Proc[[#This Row],[DateOpened]],TODAY()))-1,ABS(NETWORKDAYS(Proc[[#This Row],[DateOpened]],Proc[[#This Row],[DateClosed]]))-1)</f>
        <v>0</v>
      </c>
      <c r="R4543" s="165" t="s">
        <v>1013</v>
      </c>
      <c r="S4543" s="150"/>
    </row>
    <row r="4544" spans="1:19">
      <c r="A4544" s="149" t="s">
        <v>6675</v>
      </c>
      <c r="B4544" s="150" t="str">
        <f>IFERROR(VLOOKUP(Proc[[#This Row],[App]],Table2[],3,0),"open")</f>
        <v>open</v>
      </c>
      <c r="C4544" s="149" t="s">
        <v>404</v>
      </c>
      <c r="D4544" t="s">
        <v>6707</v>
      </c>
      <c r="E4544" t="s">
        <v>4068</v>
      </c>
      <c r="F4544" s="150"/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0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6436</v>
      </c>
      <c r="M4544" s="165">
        <v>45961</v>
      </c>
      <c r="N4544" s="166"/>
      <c r="O4544" s="166"/>
      <c r="P4544" s="165" t="str">
        <f ca="1">IF(Proc[[#This Row],[DaysAgeing]]&gt;5,"yep","on track")</f>
        <v>on track</v>
      </c>
      <c r="Q4544" s="3">
        <f ca="1">IF(Proc[[#This Row],[DateClosed]]="",ABS(NETWORKDAYS(Proc[[#This Row],[DateOpened]],TODAY()))-1,ABS(NETWORKDAYS(Proc[[#This Row],[DateOpened]],Proc[[#This Row],[DateClosed]]))-1)</f>
        <v>0</v>
      </c>
      <c r="R4544" s="165" t="s">
        <v>1013</v>
      </c>
      <c r="S4544" s="150"/>
    </row>
    <row r="4545" spans="1:19">
      <c r="A4545" s="149" t="s">
        <v>6675</v>
      </c>
      <c r="B4545" s="150" t="str">
        <f>IFERROR(VLOOKUP(Proc[[#This Row],[App]],Table2[],3,0),"open")</f>
        <v>open</v>
      </c>
      <c r="C4545" s="149" t="s">
        <v>404</v>
      </c>
      <c r="D4545" t="s">
        <v>6708</v>
      </c>
      <c r="E4545" t="s">
        <v>4068</v>
      </c>
      <c r="F4545" s="150"/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0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6436</v>
      </c>
      <c r="M4545" s="165">
        <v>45961</v>
      </c>
      <c r="N4545" s="166"/>
      <c r="O4545" s="166"/>
      <c r="P4545" s="165" t="str">
        <f ca="1">IF(Proc[[#This Row],[DaysAgeing]]&gt;5,"yep","on track")</f>
        <v>on track</v>
      </c>
      <c r="Q4545" s="3">
        <f ca="1">IF(Proc[[#This Row],[DateClosed]]="",ABS(NETWORKDAYS(Proc[[#This Row],[DateOpened]],TODAY()))-1,ABS(NETWORKDAYS(Proc[[#This Row],[DateOpened]],Proc[[#This Row],[DateClosed]]))-1)</f>
        <v>0</v>
      </c>
      <c r="R4545" s="165" t="s">
        <v>1013</v>
      </c>
      <c r="S4545" s="150"/>
    </row>
    <row r="4546" spans="1:19">
      <c r="A4546" s="149" t="s">
        <v>6675</v>
      </c>
      <c r="B4546" s="150" t="str">
        <f>IFERROR(VLOOKUP(Proc[[#This Row],[App]],Table2[],3,0),"open")</f>
        <v>open</v>
      </c>
      <c r="C4546" s="149" t="s">
        <v>404</v>
      </c>
      <c r="D4546" t="s">
        <v>6709</v>
      </c>
      <c r="E4546" t="s">
        <v>4068</v>
      </c>
      <c r="F4546" s="150"/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0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6436</v>
      </c>
      <c r="M4546" s="165">
        <v>45961</v>
      </c>
      <c r="N4546" s="166"/>
      <c r="O4546" s="166"/>
      <c r="P4546" s="165" t="str">
        <f ca="1">IF(Proc[[#This Row],[DaysAgeing]]&gt;5,"yep","on track")</f>
        <v>on track</v>
      </c>
      <c r="Q4546" s="3">
        <f ca="1">IF(Proc[[#This Row],[DateClosed]]="",ABS(NETWORKDAYS(Proc[[#This Row],[DateOpened]],TODAY()))-1,ABS(NETWORKDAYS(Proc[[#This Row],[DateOpened]],Proc[[#This Row],[DateClosed]]))-1)</f>
        <v>0</v>
      </c>
      <c r="R4546" s="165" t="s">
        <v>1013</v>
      </c>
      <c r="S4546" s="150"/>
    </row>
    <row r="4547" spans="1:19">
      <c r="A4547" s="149" t="s">
        <v>6675</v>
      </c>
      <c r="B4547" s="150" t="str">
        <f>IFERROR(VLOOKUP(Proc[[#This Row],[App]],Table2[],3,0),"open")</f>
        <v>open</v>
      </c>
      <c r="C4547" s="149" t="s">
        <v>404</v>
      </c>
      <c r="D4547" t="s">
        <v>6710</v>
      </c>
      <c r="E4547" t="s">
        <v>4068</v>
      </c>
      <c r="F4547" s="150"/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0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6436</v>
      </c>
      <c r="M4547" s="165">
        <v>45961</v>
      </c>
      <c r="N4547" s="166"/>
      <c r="O4547" s="166"/>
      <c r="P4547" s="165" t="str">
        <f ca="1">IF(Proc[[#This Row],[DaysAgeing]]&gt;5,"yep","on track")</f>
        <v>on track</v>
      </c>
      <c r="Q4547" s="3">
        <f ca="1">IF(Proc[[#This Row],[DateClosed]]="",ABS(NETWORKDAYS(Proc[[#This Row],[DateOpened]],TODAY()))-1,ABS(NETWORKDAYS(Proc[[#This Row],[DateOpened]],Proc[[#This Row],[DateClosed]]))-1)</f>
        <v>0</v>
      </c>
      <c r="R4547" s="165" t="s">
        <v>1013</v>
      </c>
      <c r="S4547" s="150"/>
    </row>
    <row r="4548" spans="1:19">
      <c r="A4548" s="149" t="s">
        <v>6675</v>
      </c>
      <c r="B4548" s="150" t="str">
        <f>IFERROR(VLOOKUP(Proc[[#This Row],[App]],Table2[],3,0),"open")</f>
        <v>open</v>
      </c>
      <c r="C4548" s="149" t="s">
        <v>404</v>
      </c>
      <c r="D4548" t="s">
        <v>6711</v>
      </c>
      <c r="E4548" t="s">
        <v>4068</v>
      </c>
      <c r="F4548" s="150"/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0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6436</v>
      </c>
      <c r="M4548" s="165">
        <v>45961</v>
      </c>
      <c r="N4548" s="166"/>
      <c r="O4548" s="166"/>
      <c r="P4548" s="165" t="str">
        <f ca="1">IF(Proc[[#This Row],[DaysAgeing]]&gt;5,"yep","on track")</f>
        <v>on track</v>
      </c>
      <c r="Q4548" s="3">
        <f ca="1">IF(Proc[[#This Row],[DateClosed]]="",ABS(NETWORKDAYS(Proc[[#This Row],[DateOpened]],TODAY()))-1,ABS(NETWORKDAYS(Proc[[#This Row],[DateOpened]],Proc[[#This Row],[DateClosed]]))-1)</f>
        <v>0</v>
      </c>
      <c r="R4548" s="165" t="s">
        <v>1013</v>
      </c>
      <c r="S4548" s="150"/>
    </row>
    <row r="4549" spans="1:19">
      <c r="A4549" s="149" t="s">
        <v>6675</v>
      </c>
      <c r="B4549" s="150" t="str">
        <f>IFERROR(VLOOKUP(Proc[[#This Row],[App]],Table2[],3,0),"open")</f>
        <v>open</v>
      </c>
      <c r="C4549" s="149" t="s">
        <v>404</v>
      </c>
      <c r="D4549" t="s">
        <v>6712</v>
      </c>
      <c r="E4549" t="s">
        <v>4068</v>
      </c>
      <c r="F4549" s="150"/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0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6436</v>
      </c>
      <c r="M4549" s="165">
        <v>45961</v>
      </c>
      <c r="N4549" s="166"/>
      <c r="O4549" s="166"/>
      <c r="P4549" s="165" t="str">
        <f ca="1">IF(Proc[[#This Row],[DaysAgeing]]&gt;5,"yep","on track")</f>
        <v>on track</v>
      </c>
      <c r="Q4549" s="3">
        <f ca="1">IF(Proc[[#This Row],[DateClosed]]="",ABS(NETWORKDAYS(Proc[[#This Row],[DateOpened]],TODAY()))-1,ABS(NETWORKDAYS(Proc[[#This Row],[DateOpened]],Proc[[#This Row],[DateClosed]]))-1)</f>
        <v>0</v>
      </c>
      <c r="R4549" s="165" t="s">
        <v>1013</v>
      </c>
      <c r="S4549" s="150"/>
    </row>
    <row r="4550" spans="1:19">
      <c r="A4550" s="149" t="s">
        <v>6675</v>
      </c>
      <c r="B4550" s="150" t="str">
        <f>IFERROR(VLOOKUP(Proc[[#This Row],[App]],Table2[],3,0),"open")</f>
        <v>open</v>
      </c>
      <c r="C4550" s="149" t="s">
        <v>404</v>
      </c>
      <c r="D4550" t="s">
        <v>6713</v>
      </c>
      <c r="E4550" t="s">
        <v>4068</v>
      </c>
      <c r="F4550" s="150"/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0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6436</v>
      </c>
      <c r="M4550" s="165">
        <v>45961</v>
      </c>
      <c r="N4550" s="166"/>
      <c r="O4550" s="166"/>
      <c r="P4550" s="165" t="str">
        <f ca="1">IF(Proc[[#This Row],[DaysAgeing]]&gt;5,"yep","on track")</f>
        <v>on track</v>
      </c>
      <c r="Q4550" s="3">
        <f ca="1">IF(Proc[[#This Row],[DateClosed]]="",ABS(NETWORKDAYS(Proc[[#This Row],[DateOpened]],TODAY()))-1,ABS(NETWORKDAYS(Proc[[#This Row],[DateOpened]],Proc[[#This Row],[DateClosed]]))-1)</f>
        <v>0</v>
      </c>
      <c r="R4550" s="165" t="s">
        <v>1013</v>
      </c>
      <c r="S4550" s="150"/>
    </row>
    <row r="4551" spans="1:19">
      <c r="A4551" s="149" t="s">
        <v>6675</v>
      </c>
      <c r="B4551" s="150" t="str">
        <f>IFERROR(VLOOKUP(Proc[[#This Row],[App]],Table2[],3,0),"open")</f>
        <v>open</v>
      </c>
      <c r="C4551" s="149" t="s">
        <v>404</v>
      </c>
      <c r="D4551" t="s">
        <v>6714</v>
      </c>
      <c r="E4551" t="s">
        <v>4068</v>
      </c>
      <c r="F4551" s="150"/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0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6436</v>
      </c>
      <c r="M4551" s="165">
        <v>45961</v>
      </c>
      <c r="N4551" s="166"/>
      <c r="O4551" s="166"/>
      <c r="P4551" s="165" t="str">
        <f ca="1">IF(Proc[[#This Row],[DaysAgeing]]&gt;5,"yep","on track")</f>
        <v>on track</v>
      </c>
      <c r="Q4551" s="3">
        <f ca="1">IF(Proc[[#This Row],[DateClosed]]="",ABS(NETWORKDAYS(Proc[[#This Row],[DateOpened]],TODAY()))-1,ABS(NETWORKDAYS(Proc[[#This Row],[DateOpened]],Proc[[#This Row],[DateClosed]]))-1)</f>
        <v>0</v>
      </c>
      <c r="R4551" s="165" t="s">
        <v>1013</v>
      </c>
      <c r="S4551" s="150"/>
    </row>
    <row r="4552" spans="1:19">
      <c r="A4552" s="149" t="s">
        <v>6675</v>
      </c>
      <c r="B4552" s="150" t="str">
        <f>IFERROR(VLOOKUP(Proc[[#This Row],[App]],Table2[],3,0),"open")</f>
        <v>open</v>
      </c>
      <c r="C4552" s="149" t="s">
        <v>404</v>
      </c>
      <c r="D4552" t="s">
        <v>6715</v>
      </c>
      <c r="E4552" t="s">
        <v>4068</v>
      </c>
      <c r="F4552" s="150"/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0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6436</v>
      </c>
      <c r="M4552" s="165">
        <v>45961</v>
      </c>
      <c r="N4552" s="166"/>
      <c r="O4552" s="166"/>
      <c r="P4552" s="165" t="str">
        <f ca="1">IF(Proc[[#This Row],[DaysAgeing]]&gt;5,"yep","on track")</f>
        <v>on track</v>
      </c>
      <c r="Q4552" s="3">
        <f ca="1">IF(Proc[[#This Row],[DateClosed]]="",ABS(NETWORKDAYS(Proc[[#This Row],[DateOpened]],TODAY()))-1,ABS(NETWORKDAYS(Proc[[#This Row],[DateOpened]],Proc[[#This Row],[DateClosed]]))-1)</f>
        <v>0</v>
      </c>
      <c r="R4552" s="165" t="s">
        <v>1013</v>
      </c>
      <c r="S4552" s="150"/>
    </row>
    <row r="4553" spans="1:19">
      <c r="A4553" s="149" t="s">
        <v>6675</v>
      </c>
      <c r="B4553" s="150" t="str">
        <f>IFERROR(VLOOKUP(Proc[[#This Row],[App]],Table2[],3,0),"open")</f>
        <v>open</v>
      </c>
      <c r="C4553" s="149" t="s">
        <v>404</v>
      </c>
      <c r="D4553" t="s">
        <v>6716</v>
      </c>
      <c r="E4553" t="s">
        <v>4068</v>
      </c>
      <c r="F4553" s="150"/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0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6436</v>
      </c>
      <c r="M4553" s="165">
        <v>45961</v>
      </c>
      <c r="N4553" s="166"/>
      <c r="O4553" s="166"/>
      <c r="P4553" s="165" t="str">
        <f ca="1">IF(Proc[[#This Row],[DaysAgeing]]&gt;5,"yep","on track")</f>
        <v>on track</v>
      </c>
      <c r="Q4553" s="3">
        <f ca="1">IF(Proc[[#This Row],[DateClosed]]="",ABS(NETWORKDAYS(Proc[[#This Row],[DateOpened]],TODAY()))-1,ABS(NETWORKDAYS(Proc[[#This Row],[DateOpened]],Proc[[#This Row],[DateClosed]]))-1)</f>
        <v>0</v>
      </c>
      <c r="R4553" s="165" t="s">
        <v>1013</v>
      </c>
      <c r="S4553" s="150"/>
    </row>
    <row r="4554" spans="1:19">
      <c r="A4554" s="149" t="s">
        <v>6675</v>
      </c>
      <c r="B4554" s="150" t="str">
        <f>IFERROR(VLOOKUP(Proc[[#This Row],[App]],Table2[],3,0),"open")</f>
        <v>open</v>
      </c>
      <c r="C4554" s="149" t="s">
        <v>404</v>
      </c>
      <c r="D4554" t="s">
        <v>6717</v>
      </c>
      <c r="E4554" t="s">
        <v>4068</v>
      </c>
      <c r="F4554" s="150"/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0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6436</v>
      </c>
      <c r="M4554" s="165">
        <v>45961</v>
      </c>
      <c r="N4554" s="166"/>
      <c r="O4554" s="166"/>
      <c r="P4554" s="165" t="str">
        <f ca="1">IF(Proc[[#This Row],[DaysAgeing]]&gt;5,"yep","on track")</f>
        <v>on track</v>
      </c>
      <c r="Q4554" s="3">
        <f ca="1">IF(Proc[[#This Row],[DateClosed]]="",ABS(NETWORKDAYS(Proc[[#This Row],[DateOpened]],TODAY()))-1,ABS(NETWORKDAYS(Proc[[#This Row],[DateOpened]],Proc[[#This Row],[DateClosed]]))-1)</f>
        <v>0</v>
      </c>
      <c r="R4554" s="165" t="s">
        <v>1013</v>
      </c>
      <c r="S4554" s="150"/>
    </row>
    <row r="4555" spans="1:19">
      <c r="A4555" s="149" t="s">
        <v>6675</v>
      </c>
      <c r="B4555" s="150" t="str">
        <f>IFERROR(VLOOKUP(Proc[[#This Row],[App]],Table2[],3,0),"open")</f>
        <v>open</v>
      </c>
      <c r="C4555" s="149" t="s">
        <v>404</v>
      </c>
      <c r="D4555" t="s">
        <v>6718</v>
      </c>
      <c r="E4555" t="s">
        <v>4068</v>
      </c>
      <c r="F4555" s="150"/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0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6436</v>
      </c>
      <c r="M4555" s="165">
        <v>45961</v>
      </c>
      <c r="N4555" s="166"/>
      <c r="O4555" s="166"/>
      <c r="P4555" s="165" t="str">
        <f ca="1">IF(Proc[[#This Row],[DaysAgeing]]&gt;5,"yep","on track")</f>
        <v>on track</v>
      </c>
      <c r="Q4555" s="3">
        <f ca="1">IF(Proc[[#This Row],[DateClosed]]="",ABS(NETWORKDAYS(Proc[[#This Row],[DateOpened]],TODAY()))-1,ABS(NETWORKDAYS(Proc[[#This Row],[DateOpened]],Proc[[#This Row],[DateClosed]]))-1)</f>
        <v>0</v>
      </c>
      <c r="R4555" s="165" t="s">
        <v>1013</v>
      </c>
      <c r="S4555" s="150"/>
    </row>
    <row r="4556" spans="1:19">
      <c r="A4556" s="149" t="s">
        <v>6675</v>
      </c>
      <c r="B4556" s="150" t="str">
        <f>IFERROR(VLOOKUP(Proc[[#This Row],[App]],Table2[],3,0),"open")</f>
        <v>open</v>
      </c>
      <c r="C4556" s="149" t="s">
        <v>404</v>
      </c>
      <c r="D4556" t="s">
        <v>6719</v>
      </c>
      <c r="E4556" t="s">
        <v>6723</v>
      </c>
      <c r="F4556" s="150"/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0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6436</v>
      </c>
      <c r="M4556" s="165">
        <v>45961</v>
      </c>
      <c r="N4556" s="166"/>
      <c r="O4556" s="166"/>
      <c r="P4556" s="165" t="str">
        <f ca="1">IF(Proc[[#This Row],[DaysAgeing]]&gt;5,"yep","on track")</f>
        <v>on track</v>
      </c>
      <c r="Q4556" s="3">
        <f ca="1">IF(Proc[[#This Row],[DateClosed]]="",ABS(NETWORKDAYS(Proc[[#This Row],[DateOpened]],TODAY()))-1,ABS(NETWORKDAYS(Proc[[#This Row],[DateOpened]],Proc[[#This Row],[DateClosed]]))-1)</f>
        <v>0</v>
      </c>
      <c r="R4556" s="165" t="s">
        <v>1013</v>
      </c>
      <c r="S4556" s="150"/>
    </row>
    <row r="4557" spans="1:19">
      <c r="A4557" s="149" t="s">
        <v>6675</v>
      </c>
      <c r="B4557" s="150" t="str">
        <f>IFERROR(VLOOKUP(Proc[[#This Row],[App]],Table2[],3,0),"open")</f>
        <v>open</v>
      </c>
      <c r="C4557" s="149" t="s">
        <v>404</v>
      </c>
      <c r="D4557" t="s">
        <v>6720</v>
      </c>
      <c r="E4557" t="s">
        <v>3401</v>
      </c>
      <c r="F4557" s="150"/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0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6436</v>
      </c>
      <c r="M4557" s="165">
        <v>45961</v>
      </c>
      <c r="N4557" s="166"/>
      <c r="O4557" s="166"/>
      <c r="P4557" s="165" t="str">
        <f ca="1">IF(Proc[[#This Row],[DaysAgeing]]&gt;5,"yep","on track")</f>
        <v>on track</v>
      </c>
      <c r="Q4557" s="3">
        <f ca="1">IF(Proc[[#This Row],[DateClosed]]="",ABS(NETWORKDAYS(Proc[[#This Row],[DateOpened]],TODAY()))-1,ABS(NETWORKDAYS(Proc[[#This Row],[DateOpened]],Proc[[#This Row],[DateClosed]]))-1)</f>
        <v>0</v>
      </c>
      <c r="R4557" s="165" t="s">
        <v>1013</v>
      </c>
      <c r="S4557" s="150"/>
    </row>
    <row r="4558" spans="1:19">
      <c r="A4558" s="149" t="s">
        <v>6675</v>
      </c>
      <c r="B4558" s="150" t="str">
        <f>IFERROR(VLOOKUP(Proc[[#This Row],[App]],Table2[],3,0),"open")</f>
        <v>open</v>
      </c>
      <c r="C4558" s="149" t="s">
        <v>404</v>
      </c>
      <c r="D4558" t="s">
        <v>6721</v>
      </c>
      <c r="E4558" t="s">
        <v>3401</v>
      </c>
      <c r="F4558" s="150"/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0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6436</v>
      </c>
      <c r="M4558" s="165">
        <v>45961</v>
      </c>
      <c r="N4558" s="166"/>
      <c r="O4558" s="166"/>
      <c r="P4558" s="165" t="str">
        <f ca="1">IF(Proc[[#This Row],[DaysAgeing]]&gt;5,"yep","on track")</f>
        <v>on track</v>
      </c>
      <c r="Q4558" s="3">
        <f ca="1">IF(Proc[[#This Row],[DateClosed]]="",ABS(NETWORKDAYS(Proc[[#This Row],[DateOpened]],TODAY()))-1,ABS(NETWORKDAYS(Proc[[#This Row],[DateOpened]],Proc[[#This Row],[DateClosed]]))-1)</f>
        <v>0</v>
      </c>
      <c r="R4558" s="165" t="s">
        <v>1013</v>
      </c>
      <c r="S4558" s="150"/>
    </row>
    <row r="4559" spans="1:19">
      <c r="A4559" t="s">
        <v>6724</v>
      </c>
      <c r="B4559" s="150" t="str">
        <f>IFERROR(VLOOKUP(Proc[[#This Row],[App]],Table2[],3,0),"open")</f>
        <v>open</v>
      </c>
      <c r="C4559" s="149" t="s">
        <v>404</v>
      </c>
      <c r="D4559" t="s">
        <v>6725</v>
      </c>
      <c r="E4559" t="s">
        <v>3023</v>
      </c>
      <c r="F4559" s="150"/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0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6436</v>
      </c>
      <c r="M4559" s="165">
        <v>45961</v>
      </c>
      <c r="N4559" s="166"/>
      <c r="O4559" s="166"/>
      <c r="P4559" s="165" t="str">
        <f ca="1">IF(Proc[[#This Row],[DaysAgeing]]&gt;5,"yep","on track")</f>
        <v>on track</v>
      </c>
      <c r="Q4559" s="3">
        <f ca="1">IF(Proc[[#This Row],[DateClosed]]="",ABS(NETWORKDAYS(Proc[[#This Row],[DateOpened]],TODAY()))-1,ABS(NETWORKDAYS(Proc[[#This Row],[DateOpened]],Proc[[#This Row],[DateClosed]]))-1)</f>
        <v>0</v>
      </c>
      <c r="R4559" s="165" t="s">
        <v>515</v>
      </c>
      <c r="S4559" s="150"/>
    </row>
    <row r="4560" spans="1:19">
      <c r="A4560" s="149" t="s">
        <v>6724</v>
      </c>
      <c r="B4560" s="150" t="str">
        <f>IFERROR(VLOOKUP(Proc[[#This Row],[App]],Table2[],3,0),"open")</f>
        <v>open</v>
      </c>
      <c r="C4560" s="149" t="s">
        <v>404</v>
      </c>
      <c r="D4560" t="s">
        <v>6726</v>
      </c>
      <c r="E4560" t="s">
        <v>3023</v>
      </c>
      <c r="F4560" s="150"/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0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6436</v>
      </c>
      <c r="M4560" s="165">
        <v>45961</v>
      </c>
      <c r="N4560" s="166"/>
      <c r="O4560" s="166"/>
      <c r="P4560" s="165" t="str">
        <f ca="1">IF(Proc[[#This Row],[DaysAgeing]]&gt;5,"yep","on track")</f>
        <v>on track</v>
      </c>
      <c r="Q4560" s="3">
        <f ca="1">IF(Proc[[#This Row],[DateClosed]]="",ABS(NETWORKDAYS(Proc[[#This Row],[DateOpened]],TODAY()))-1,ABS(NETWORKDAYS(Proc[[#This Row],[DateOpened]],Proc[[#This Row],[DateClosed]]))-1)</f>
        <v>0</v>
      </c>
      <c r="R4560" s="165" t="s">
        <v>515</v>
      </c>
      <c r="S4560" s="150"/>
    </row>
    <row r="4561" spans="1:19">
      <c r="A4561" s="149" t="s">
        <v>6724</v>
      </c>
      <c r="B4561" s="150" t="str">
        <f>IFERROR(VLOOKUP(Proc[[#This Row],[App]],Table2[],3,0),"open")</f>
        <v>open</v>
      </c>
      <c r="C4561" s="149" t="s">
        <v>404</v>
      </c>
      <c r="D4561" t="s">
        <v>6727</v>
      </c>
      <c r="E4561" t="s">
        <v>3023</v>
      </c>
      <c r="F4561" s="150"/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0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6436</v>
      </c>
      <c r="M4561" s="165">
        <v>45961</v>
      </c>
      <c r="N4561" s="166"/>
      <c r="O4561" s="166"/>
      <c r="P4561" s="165" t="str">
        <f ca="1">IF(Proc[[#This Row],[DaysAgeing]]&gt;5,"yep","on track")</f>
        <v>on track</v>
      </c>
      <c r="Q4561" s="3">
        <f ca="1">IF(Proc[[#This Row],[DateClosed]]="",ABS(NETWORKDAYS(Proc[[#This Row],[DateOpened]],TODAY()))-1,ABS(NETWORKDAYS(Proc[[#This Row],[DateOpened]],Proc[[#This Row],[DateClosed]]))-1)</f>
        <v>0</v>
      </c>
      <c r="R4561" s="165" t="s">
        <v>515</v>
      </c>
      <c r="S4561" s="150"/>
    </row>
    <row r="4562" spans="1:19">
      <c r="A4562" s="149" t="s">
        <v>6724</v>
      </c>
      <c r="B4562" s="150" t="str">
        <f>IFERROR(VLOOKUP(Proc[[#This Row],[App]],Table2[],3,0),"open")</f>
        <v>open</v>
      </c>
      <c r="C4562" s="149" t="s">
        <v>404</v>
      </c>
      <c r="D4562" t="s">
        <v>6728</v>
      </c>
      <c r="E4562" t="s">
        <v>3023</v>
      </c>
      <c r="F4562" s="150"/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0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6436</v>
      </c>
      <c r="M4562" s="165">
        <v>45961</v>
      </c>
      <c r="N4562" s="166"/>
      <c r="O4562" s="166"/>
      <c r="P4562" s="165" t="str">
        <f ca="1">IF(Proc[[#This Row],[DaysAgeing]]&gt;5,"yep","on track")</f>
        <v>on track</v>
      </c>
      <c r="Q4562" s="3">
        <f ca="1">IF(Proc[[#This Row],[DateClosed]]="",ABS(NETWORKDAYS(Proc[[#This Row],[DateOpened]],TODAY()))-1,ABS(NETWORKDAYS(Proc[[#This Row],[DateOpened]],Proc[[#This Row],[DateClosed]]))-1)</f>
        <v>0</v>
      </c>
      <c r="R4562" s="165" t="s">
        <v>515</v>
      </c>
      <c r="S4562" s="150"/>
    </row>
    <row r="4563" spans="1:19">
      <c r="A4563" s="149" t="s">
        <v>6724</v>
      </c>
      <c r="B4563" s="150" t="str">
        <f>IFERROR(VLOOKUP(Proc[[#This Row],[App]],Table2[],3,0),"open")</f>
        <v>open</v>
      </c>
      <c r="C4563" s="149" t="s">
        <v>404</v>
      </c>
      <c r="D4563" t="s">
        <v>6729</v>
      </c>
      <c r="E4563" t="s">
        <v>3023</v>
      </c>
      <c r="F4563" s="150"/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0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6436</v>
      </c>
      <c r="M4563" s="165">
        <v>45961</v>
      </c>
      <c r="N4563" s="166"/>
      <c r="O4563" s="166"/>
      <c r="P4563" s="165" t="str">
        <f ca="1">IF(Proc[[#This Row],[DaysAgeing]]&gt;5,"yep","on track")</f>
        <v>on track</v>
      </c>
      <c r="Q4563" s="3">
        <f ca="1">IF(Proc[[#This Row],[DateClosed]]="",ABS(NETWORKDAYS(Proc[[#This Row],[DateOpened]],TODAY()))-1,ABS(NETWORKDAYS(Proc[[#This Row],[DateOpened]],Proc[[#This Row],[DateClosed]]))-1)</f>
        <v>0</v>
      </c>
      <c r="R4563" s="165" t="s">
        <v>515</v>
      </c>
      <c r="S4563" s="150"/>
    </row>
    <row r="4564" spans="1:19">
      <c r="A4564" s="149" t="s">
        <v>6724</v>
      </c>
      <c r="B4564" s="150" t="str">
        <f>IFERROR(VLOOKUP(Proc[[#This Row],[App]],Table2[],3,0),"open")</f>
        <v>open</v>
      </c>
      <c r="C4564" s="149" t="s">
        <v>404</v>
      </c>
      <c r="D4564" t="s">
        <v>6730</v>
      </c>
      <c r="E4564" t="s">
        <v>3023</v>
      </c>
      <c r="F4564" s="150"/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0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6436</v>
      </c>
      <c r="M4564" s="165">
        <v>45961</v>
      </c>
      <c r="N4564" s="166"/>
      <c r="O4564" s="166"/>
      <c r="P4564" s="165" t="str">
        <f ca="1">IF(Proc[[#This Row],[DaysAgeing]]&gt;5,"yep","on track")</f>
        <v>on track</v>
      </c>
      <c r="Q4564" s="3">
        <f ca="1">IF(Proc[[#This Row],[DateClosed]]="",ABS(NETWORKDAYS(Proc[[#This Row],[DateOpened]],TODAY()))-1,ABS(NETWORKDAYS(Proc[[#This Row],[DateOpened]],Proc[[#This Row],[DateClosed]]))-1)</f>
        <v>0</v>
      </c>
      <c r="R4564" s="165" t="s">
        <v>515</v>
      </c>
      <c r="S4564" s="150"/>
    </row>
    <row r="4565" spans="1:19">
      <c r="A4565" s="149" t="s">
        <v>6724</v>
      </c>
      <c r="B4565" s="150" t="str">
        <f>IFERROR(VLOOKUP(Proc[[#This Row],[App]],Table2[],3,0),"open")</f>
        <v>open</v>
      </c>
      <c r="C4565" s="149" t="s">
        <v>404</v>
      </c>
      <c r="D4565" t="s">
        <v>6731</v>
      </c>
      <c r="E4565" t="s">
        <v>3023</v>
      </c>
      <c r="F4565" s="150"/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0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6436</v>
      </c>
      <c r="M4565" s="165">
        <v>45961</v>
      </c>
      <c r="N4565" s="166"/>
      <c r="O4565" s="166"/>
      <c r="P4565" s="165" t="str">
        <f ca="1">IF(Proc[[#This Row],[DaysAgeing]]&gt;5,"yep","on track")</f>
        <v>on track</v>
      </c>
      <c r="Q4565" s="3">
        <f ca="1">IF(Proc[[#This Row],[DateClosed]]="",ABS(NETWORKDAYS(Proc[[#This Row],[DateOpened]],TODAY()))-1,ABS(NETWORKDAYS(Proc[[#This Row],[DateOpened]],Proc[[#This Row],[DateClosed]]))-1)</f>
        <v>0</v>
      </c>
      <c r="R4565" s="165" t="s">
        <v>515</v>
      </c>
      <c r="S4565" s="150"/>
    </row>
    <row r="4566" spans="1:19">
      <c r="A4566" s="149" t="s">
        <v>6724</v>
      </c>
      <c r="B4566" s="150" t="str">
        <f>IFERROR(VLOOKUP(Proc[[#This Row],[App]],Table2[],3,0),"open")</f>
        <v>open</v>
      </c>
      <c r="C4566" s="149" t="s">
        <v>404</v>
      </c>
      <c r="D4566" t="s">
        <v>6732</v>
      </c>
      <c r="E4566" t="s">
        <v>3023</v>
      </c>
      <c r="F4566" s="150"/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0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6436</v>
      </c>
      <c r="M4566" s="165">
        <v>45961</v>
      </c>
      <c r="N4566" s="166"/>
      <c r="O4566" s="166"/>
      <c r="P4566" s="165" t="str">
        <f ca="1">IF(Proc[[#This Row],[DaysAgeing]]&gt;5,"yep","on track")</f>
        <v>on track</v>
      </c>
      <c r="Q4566" s="3">
        <f ca="1">IF(Proc[[#This Row],[DateClosed]]="",ABS(NETWORKDAYS(Proc[[#This Row],[DateOpened]],TODAY()))-1,ABS(NETWORKDAYS(Proc[[#This Row],[DateOpened]],Proc[[#This Row],[DateClosed]]))-1)</f>
        <v>0</v>
      </c>
      <c r="R4566" s="165" t="s">
        <v>515</v>
      </c>
      <c r="S4566" s="150"/>
    </row>
    <row r="4567" spans="1:19">
      <c r="A4567" s="149" t="s">
        <v>6724</v>
      </c>
      <c r="B4567" s="150" t="str">
        <f>IFERROR(VLOOKUP(Proc[[#This Row],[App]],Table2[],3,0),"open")</f>
        <v>open</v>
      </c>
      <c r="C4567" s="149" t="s">
        <v>404</v>
      </c>
      <c r="D4567" t="s">
        <v>6733</v>
      </c>
      <c r="E4567" t="s">
        <v>3023</v>
      </c>
      <c r="F4567" s="150"/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0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6436</v>
      </c>
      <c r="M4567" s="165">
        <v>45961</v>
      </c>
      <c r="N4567" s="166"/>
      <c r="O4567" s="166"/>
      <c r="P4567" s="165" t="str">
        <f ca="1">IF(Proc[[#This Row],[DaysAgeing]]&gt;5,"yep","on track")</f>
        <v>on track</v>
      </c>
      <c r="Q4567" s="3">
        <f ca="1">IF(Proc[[#This Row],[DateClosed]]="",ABS(NETWORKDAYS(Proc[[#This Row],[DateOpened]],TODAY()))-1,ABS(NETWORKDAYS(Proc[[#This Row],[DateOpened]],Proc[[#This Row],[DateClosed]]))-1)</f>
        <v>0</v>
      </c>
      <c r="R4567" s="165" t="s">
        <v>515</v>
      </c>
      <c r="S4567" s="150"/>
    </row>
    <row r="4568" spans="1:19">
      <c r="A4568" s="149" t="s">
        <v>6724</v>
      </c>
      <c r="B4568" s="150" t="str">
        <f>IFERROR(VLOOKUP(Proc[[#This Row],[App]],Table2[],3,0),"open")</f>
        <v>open</v>
      </c>
      <c r="C4568" s="149" t="s">
        <v>404</v>
      </c>
      <c r="D4568" t="s">
        <v>6734</v>
      </c>
      <c r="E4568" t="s">
        <v>3023</v>
      </c>
      <c r="F4568" s="150"/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0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6436</v>
      </c>
      <c r="M4568" s="165">
        <v>45961</v>
      </c>
      <c r="N4568" s="166"/>
      <c r="O4568" s="166"/>
      <c r="P4568" s="165" t="str">
        <f ca="1">IF(Proc[[#This Row],[DaysAgeing]]&gt;5,"yep","on track")</f>
        <v>on track</v>
      </c>
      <c r="Q4568" s="3">
        <f ca="1">IF(Proc[[#This Row],[DateClosed]]="",ABS(NETWORKDAYS(Proc[[#This Row],[DateOpened]],TODAY()))-1,ABS(NETWORKDAYS(Proc[[#This Row],[DateOpened]],Proc[[#This Row],[DateClosed]]))-1)</f>
        <v>0</v>
      </c>
      <c r="R4568" s="165" t="s">
        <v>515</v>
      </c>
      <c r="S4568" s="150"/>
    </row>
    <row r="4569" spans="1:19">
      <c r="A4569" s="149" t="s">
        <v>6724</v>
      </c>
      <c r="B4569" s="150" t="str">
        <f>IFERROR(VLOOKUP(Proc[[#This Row],[App]],Table2[],3,0),"open")</f>
        <v>open</v>
      </c>
      <c r="C4569" s="149" t="s">
        <v>404</v>
      </c>
      <c r="D4569" t="s">
        <v>6735</v>
      </c>
      <c r="E4569" t="s">
        <v>3023</v>
      </c>
      <c r="F4569" s="150"/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0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6436</v>
      </c>
      <c r="M4569" s="165">
        <v>45961</v>
      </c>
      <c r="N4569" s="166"/>
      <c r="O4569" s="166"/>
      <c r="P4569" s="165" t="str">
        <f ca="1">IF(Proc[[#This Row],[DaysAgeing]]&gt;5,"yep","on track")</f>
        <v>on track</v>
      </c>
      <c r="Q4569" s="3">
        <f ca="1">IF(Proc[[#This Row],[DateClosed]]="",ABS(NETWORKDAYS(Proc[[#This Row],[DateOpened]],TODAY()))-1,ABS(NETWORKDAYS(Proc[[#This Row],[DateOpened]],Proc[[#This Row],[DateClosed]]))-1)</f>
        <v>0</v>
      </c>
      <c r="R4569" s="165" t="s">
        <v>515</v>
      </c>
      <c r="S4569" s="150"/>
    </row>
    <row r="4570" spans="1:19">
      <c r="A4570" s="149" t="s">
        <v>6724</v>
      </c>
      <c r="B4570" s="150" t="str">
        <f>IFERROR(VLOOKUP(Proc[[#This Row],[App]],Table2[],3,0),"open")</f>
        <v>open</v>
      </c>
      <c r="C4570" s="149" t="s">
        <v>404</v>
      </c>
      <c r="D4570" t="s">
        <v>6736</v>
      </c>
      <c r="E4570" t="s">
        <v>3023</v>
      </c>
      <c r="F4570" s="150"/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0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6436</v>
      </c>
      <c r="M4570" s="165">
        <v>45961</v>
      </c>
      <c r="N4570" s="166"/>
      <c r="O4570" s="166"/>
      <c r="P4570" s="165" t="str">
        <f ca="1">IF(Proc[[#This Row],[DaysAgeing]]&gt;5,"yep","on track")</f>
        <v>on track</v>
      </c>
      <c r="Q4570" s="3">
        <f ca="1">IF(Proc[[#This Row],[DateClosed]]="",ABS(NETWORKDAYS(Proc[[#This Row],[DateOpened]],TODAY()))-1,ABS(NETWORKDAYS(Proc[[#This Row],[DateOpened]],Proc[[#This Row],[DateClosed]]))-1)</f>
        <v>0</v>
      </c>
      <c r="R4570" s="165" t="s">
        <v>515</v>
      </c>
      <c r="S4570" s="150"/>
    </row>
    <row r="4571" spans="1:19">
      <c r="A4571" s="149" t="s">
        <v>6724</v>
      </c>
      <c r="B4571" s="150" t="str">
        <f>IFERROR(VLOOKUP(Proc[[#This Row],[App]],Table2[],3,0),"open")</f>
        <v>open</v>
      </c>
      <c r="C4571" s="149" t="s">
        <v>404</v>
      </c>
      <c r="D4571" t="s">
        <v>6737</v>
      </c>
      <c r="E4571" t="s">
        <v>3023</v>
      </c>
      <c r="F4571" s="150"/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0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6436</v>
      </c>
      <c r="M4571" s="165">
        <v>45961</v>
      </c>
      <c r="N4571" s="166"/>
      <c r="O4571" s="166"/>
      <c r="P4571" s="165" t="str">
        <f ca="1">IF(Proc[[#This Row],[DaysAgeing]]&gt;5,"yep","on track")</f>
        <v>on track</v>
      </c>
      <c r="Q4571" s="3">
        <f ca="1">IF(Proc[[#This Row],[DateClosed]]="",ABS(NETWORKDAYS(Proc[[#This Row],[DateOpened]],TODAY()))-1,ABS(NETWORKDAYS(Proc[[#This Row],[DateOpened]],Proc[[#This Row],[DateClosed]]))-1)</f>
        <v>0</v>
      </c>
      <c r="R4571" s="165" t="s">
        <v>515</v>
      </c>
      <c r="S4571" s="150"/>
    </row>
    <row r="4572" spans="1:19">
      <c r="A4572" s="149" t="s">
        <v>6724</v>
      </c>
      <c r="B4572" s="150" t="str">
        <f>IFERROR(VLOOKUP(Proc[[#This Row],[App]],Table2[],3,0),"open")</f>
        <v>open</v>
      </c>
      <c r="C4572" s="149" t="s">
        <v>404</v>
      </c>
      <c r="D4572" t="s">
        <v>6738</v>
      </c>
      <c r="E4572" t="s">
        <v>3023</v>
      </c>
      <c r="F4572" s="150"/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0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6436</v>
      </c>
      <c r="M4572" s="165">
        <v>45961</v>
      </c>
      <c r="N4572" s="166"/>
      <c r="O4572" s="166"/>
      <c r="P4572" s="165" t="str">
        <f ca="1">IF(Proc[[#This Row],[DaysAgeing]]&gt;5,"yep","on track")</f>
        <v>on track</v>
      </c>
      <c r="Q4572" s="3">
        <f ca="1">IF(Proc[[#This Row],[DateClosed]]="",ABS(NETWORKDAYS(Proc[[#This Row],[DateOpened]],TODAY()))-1,ABS(NETWORKDAYS(Proc[[#This Row],[DateOpened]],Proc[[#This Row],[DateClosed]]))-1)</f>
        <v>0</v>
      </c>
      <c r="R4572" s="165" t="s">
        <v>515</v>
      </c>
      <c r="S4572" s="150"/>
    </row>
    <row r="4573" spans="1:19">
      <c r="A4573" s="149" t="s">
        <v>6724</v>
      </c>
      <c r="B4573" s="150" t="str">
        <f>IFERROR(VLOOKUP(Proc[[#This Row],[App]],Table2[],3,0),"open")</f>
        <v>open</v>
      </c>
      <c r="C4573" s="149" t="s">
        <v>404</v>
      </c>
      <c r="D4573" t="s">
        <v>6739</v>
      </c>
      <c r="E4573" t="s">
        <v>3023</v>
      </c>
      <c r="F4573" s="150"/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0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6436</v>
      </c>
      <c r="M4573" s="165">
        <v>45961</v>
      </c>
      <c r="N4573" s="166"/>
      <c r="O4573" s="166"/>
      <c r="P4573" s="165" t="str">
        <f ca="1">IF(Proc[[#This Row],[DaysAgeing]]&gt;5,"yep","on track")</f>
        <v>on track</v>
      </c>
      <c r="Q4573" s="3">
        <f ca="1">IF(Proc[[#This Row],[DateClosed]]="",ABS(NETWORKDAYS(Proc[[#This Row],[DateOpened]],TODAY()))-1,ABS(NETWORKDAYS(Proc[[#This Row],[DateOpened]],Proc[[#This Row],[DateClosed]]))-1)</f>
        <v>0</v>
      </c>
      <c r="R4573" s="165" t="s">
        <v>515</v>
      </c>
      <c r="S4573" s="150"/>
    </row>
    <row r="4574" spans="1:19">
      <c r="A4574" s="149" t="s">
        <v>6724</v>
      </c>
      <c r="B4574" s="150" t="str">
        <f>IFERROR(VLOOKUP(Proc[[#This Row],[App]],Table2[],3,0),"open")</f>
        <v>open</v>
      </c>
      <c r="C4574" s="149" t="s">
        <v>404</v>
      </c>
      <c r="D4574" t="s">
        <v>6740</v>
      </c>
      <c r="E4574" t="s">
        <v>3023</v>
      </c>
      <c r="F4574" s="150"/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0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6436</v>
      </c>
      <c r="M4574" s="165">
        <v>45961</v>
      </c>
      <c r="N4574" s="166"/>
      <c r="O4574" s="166"/>
      <c r="P4574" s="165" t="str">
        <f ca="1">IF(Proc[[#This Row],[DaysAgeing]]&gt;5,"yep","on track")</f>
        <v>on track</v>
      </c>
      <c r="Q4574" s="3">
        <f ca="1">IF(Proc[[#This Row],[DateClosed]]="",ABS(NETWORKDAYS(Proc[[#This Row],[DateOpened]],TODAY()))-1,ABS(NETWORKDAYS(Proc[[#This Row],[DateOpened]],Proc[[#This Row],[DateClosed]]))-1)</f>
        <v>0</v>
      </c>
      <c r="R4574" s="165" t="s">
        <v>515</v>
      </c>
      <c r="S4574" s="150"/>
    </row>
    <row r="4575" spans="1:19">
      <c r="A4575" s="149" t="s">
        <v>6724</v>
      </c>
      <c r="B4575" s="150" t="str">
        <f>IFERROR(VLOOKUP(Proc[[#This Row],[App]],Table2[],3,0),"open")</f>
        <v>open</v>
      </c>
      <c r="C4575" s="149" t="s">
        <v>404</v>
      </c>
      <c r="D4575" t="s">
        <v>6741</v>
      </c>
      <c r="E4575" t="s">
        <v>3023</v>
      </c>
      <c r="F4575" s="150"/>
      <c r="G4575" s="149" t="s">
        <v>406</v>
      </c>
      <c r="H4575" s="150" t="str">
        <f>IF(Proc[[#This Row],[type]]="LFF (MDG-F)",MID(Proc[[#This Row],[Obj]],13,10),"")</f>
        <v>0000051902</v>
      </c>
      <c r="J4575" s="150" t="b">
        <f>Proc[[#This Row],[Requested]]=Proc[[#This Row],[CurrentParent]]</f>
        <v>0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6436</v>
      </c>
      <c r="M4575" s="165">
        <v>45961</v>
      </c>
      <c r="N4575" s="166"/>
      <c r="O4575" s="166"/>
      <c r="P4575" s="165" t="str">
        <f ca="1">IF(Proc[[#This Row],[DaysAgeing]]&gt;5,"yep","on track")</f>
        <v>on track</v>
      </c>
      <c r="Q4575" s="3">
        <f ca="1">IF(Proc[[#This Row],[DateClosed]]="",ABS(NETWORKDAYS(Proc[[#This Row],[DateOpened]],TODAY()))-1,ABS(NETWORKDAYS(Proc[[#This Row],[DateOpened]],Proc[[#This Row],[DateClosed]]))-1)</f>
        <v>0</v>
      </c>
      <c r="R4575" s="165" t="s">
        <v>515</v>
      </c>
      <c r="S4575" s="150"/>
    </row>
    <row r="4576" spans="1:19">
      <c r="A4576" s="149" t="s">
        <v>6724</v>
      </c>
      <c r="B4576" s="150" t="str">
        <f>IFERROR(VLOOKUP(Proc[[#This Row],[App]],Table2[],3,0),"open")</f>
        <v>open</v>
      </c>
      <c r="C4576" s="149" t="s">
        <v>404</v>
      </c>
      <c r="D4576" t="s">
        <v>6742</v>
      </c>
      <c r="E4576" t="s">
        <v>3023</v>
      </c>
      <c r="F4576" s="150"/>
      <c r="G4576" s="149" t="s">
        <v>406</v>
      </c>
      <c r="H4576" s="150" t="str">
        <f>IF(Proc[[#This Row],[type]]="LFF (MDG-F)",MID(Proc[[#This Row],[Obj]],13,10),"")</f>
        <v>0000056400</v>
      </c>
      <c r="J4576" s="150" t="b">
        <f>Proc[[#This Row],[Requested]]=Proc[[#This Row],[CurrentParent]]</f>
        <v>0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6436</v>
      </c>
      <c r="M4576" s="165">
        <v>45961</v>
      </c>
      <c r="N4576" s="166"/>
      <c r="O4576" s="166"/>
      <c r="P4576" s="165" t="str">
        <f ca="1">IF(Proc[[#This Row],[DaysAgeing]]&gt;5,"yep","on track")</f>
        <v>on track</v>
      </c>
      <c r="Q4576" s="3">
        <f ca="1">IF(Proc[[#This Row],[DateClosed]]="",ABS(NETWORKDAYS(Proc[[#This Row],[DateOpened]],TODAY()))-1,ABS(NETWORKDAYS(Proc[[#This Row],[DateOpened]],Proc[[#This Row],[DateClosed]]))-1)</f>
        <v>0</v>
      </c>
      <c r="R4576" s="165" t="s">
        <v>515</v>
      </c>
      <c r="S4576" s="150"/>
    </row>
    <row r="4577" spans="1:19">
      <c r="A4577" s="149" t="s">
        <v>6724</v>
      </c>
      <c r="B4577" s="150" t="str">
        <f>IFERROR(VLOOKUP(Proc[[#This Row],[App]],Table2[],3,0),"open")</f>
        <v>open</v>
      </c>
      <c r="C4577" s="149" t="s">
        <v>404</v>
      </c>
      <c r="D4577" t="s">
        <v>6743</v>
      </c>
      <c r="E4577" t="s">
        <v>3023</v>
      </c>
      <c r="F4577" s="150"/>
      <c r="G4577" s="149" t="s">
        <v>406</v>
      </c>
      <c r="H4577" s="150" t="str">
        <f>IF(Proc[[#This Row],[type]]="LFF (MDG-F)",MID(Proc[[#This Row],[Obj]],13,10),"")</f>
        <v>0000056407</v>
      </c>
      <c r="J4577" s="150" t="b">
        <f>Proc[[#This Row],[Requested]]=Proc[[#This Row],[CurrentParent]]</f>
        <v>0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6436</v>
      </c>
      <c r="M4577" s="165">
        <v>45961</v>
      </c>
      <c r="N4577" s="166"/>
      <c r="O4577" s="166"/>
      <c r="P4577" s="165" t="str">
        <f ca="1">IF(Proc[[#This Row],[DaysAgeing]]&gt;5,"yep","on track")</f>
        <v>on track</v>
      </c>
      <c r="Q4577" s="3">
        <f ca="1">IF(Proc[[#This Row],[DateClosed]]="",ABS(NETWORKDAYS(Proc[[#This Row],[DateOpened]],TODAY()))-1,ABS(NETWORKDAYS(Proc[[#This Row],[DateOpened]],Proc[[#This Row],[DateClosed]]))-1)</f>
        <v>0</v>
      </c>
      <c r="R4577" s="165" t="s">
        <v>515</v>
      </c>
      <c r="S4577" s="150"/>
    </row>
    <row r="4578" spans="1:19">
      <c r="A4578" s="149" t="s">
        <v>6724</v>
      </c>
      <c r="B4578" s="150" t="str">
        <f>IFERROR(VLOOKUP(Proc[[#This Row],[App]],Table2[],3,0),"open")</f>
        <v>open</v>
      </c>
      <c r="C4578" s="149" t="s">
        <v>404</v>
      </c>
      <c r="D4578" t="s">
        <v>6744</v>
      </c>
      <c r="E4578" t="s">
        <v>3023</v>
      </c>
      <c r="F4578" s="150"/>
      <c r="G4578" s="149" t="s">
        <v>406</v>
      </c>
      <c r="H4578" s="150" t="str">
        <f>IF(Proc[[#This Row],[type]]="LFF (MDG-F)",MID(Proc[[#This Row],[Obj]],13,10),"")</f>
        <v>0000056440</v>
      </c>
      <c r="J4578" s="150" t="b">
        <f>Proc[[#This Row],[Requested]]=Proc[[#This Row],[CurrentParent]]</f>
        <v>0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6436</v>
      </c>
      <c r="M4578" s="165">
        <v>45961</v>
      </c>
      <c r="N4578" s="166"/>
      <c r="O4578" s="166"/>
      <c r="P4578" s="165" t="str">
        <f ca="1">IF(Proc[[#This Row],[DaysAgeing]]&gt;5,"yep","on track")</f>
        <v>on track</v>
      </c>
      <c r="Q4578" s="3">
        <f ca="1">IF(Proc[[#This Row],[DateClosed]]="",ABS(NETWORKDAYS(Proc[[#This Row],[DateOpened]],TODAY()))-1,ABS(NETWORKDAYS(Proc[[#This Row],[DateOpened]],Proc[[#This Row],[DateClosed]]))-1)</f>
        <v>0</v>
      </c>
      <c r="R4578" s="165" t="s">
        <v>515</v>
      </c>
      <c r="S4578" s="150"/>
    </row>
    <row r="4579" spans="1:19">
      <c r="A4579" s="149" t="s">
        <v>6724</v>
      </c>
      <c r="B4579" s="150" t="str">
        <f>IFERROR(VLOOKUP(Proc[[#This Row],[App]],Table2[],3,0),"open")</f>
        <v>open</v>
      </c>
      <c r="C4579" s="149" t="s">
        <v>404</v>
      </c>
      <c r="D4579" t="s">
        <v>6745</v>
      </c>
      <c r="E4579" t="s">
        <v>3023</v>
      </c>
      <c r="F4579" s="150"/>
      <c r="G4579" s="149" t="s">
        <v>406</v>
      </c>
      <c r="H4579" s="150" t="str">
        <f>IF(Proc[[#This Row],[type]]="LFF (MDG-F)",MID(Proc[[#This Row],[Obj]],13,10),"")</f>
        <v>0000056480</v>
      </c>
      <c r="J4579" s="150" t="b">
        <f>Proc[[#This Row],[Requested]]=Proc[[#This Row],[CurrentParent]]</f>
        <v>0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6436</v>
      </c>
      <c r="M4579" s="165">
        <v>45961</v>
      </c>
      <c r="N4579" s="166"/>
      <c r="O4579" s="166"/>
      <c r="P4579" s="165" t="str">
        <f ca="1">IF(Proc[[#This Row],[DaysAgeing]]&gt;5,"yep","on track")</f>
        <v>on track</v>
      </c>
      <c r="Q4579" s="3">
        <f ca="1">IF(Proc[[#This Row],[DateClosed]]="",ABS(NETWORKDAYS(Proc[[#This Row],[DateOpened]],TODAY()))-1,ABS(NETWORKDAYS(Proc[[#This Row],[DateOpened]],Proc[[#This Row],[DateClosed]]))-1)</f>
        <v>0</v>
      </c>
      <c r="R4579" s="165" t="s">
        <v>515</v>
      </c>
      <c r="S4579" s="150"/>
    </row>
    <row r="4580" spans="1:19">
      <c r="A4580" s="149" t="s">
        <v>6724</v>
      </c>
      <c r="B4580" s="150" t="str">
        <f>IFERROR(VLOOKUP(Proc[[#This Row],[App]],Table2[],3,0),"open")</f>
        <v>open</v>
      </c>
      <c r="C4580" s="149" t="s">
        <v>404</v>
      </c>
      <c r="D4580" t="s">
        <v>6746</v>
      </c>
      <c r="E4580" t="s">
        <v>3023</v>
      </c>
      <c r="F4580" s="150"/>
      <c r="G4580" s="149" t="s">
        <v>406</v>
      </c>
      <c r="H4580" s="150" t="str">
        <f>IF(Proc[[#This Row],[type]]="LFF (MDG-F)",MID(Proc[[#This Row],[Obj]],13,10),"")</f>
        <v>0000056971</v>
      </c>
      <c r="J4580" s="150" t="b">
        <f>Proc[[#This Row],[Requested]]=Proc[[#This Row],[CurrentParent]]</f>
        <v>0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6436</v>
      </c>
      <c r="M4580" s="165">
        <v>45961</v>
      </c>
      <c r="N4580" s="166"/>
      <c r="O4580" s="166"/>
      <c r="P4580" s="165" t="str">
        <f ca="1">IF(Proc[[#This Row],[DaysAgeing]]&gt;5,"yep","on track")</f>
        <v>on track</v>
      </c>
      <c r="Q4580" s="3">
        <f ca="1">IF(Proc[[#This Row],[DateClosed]]="",ABS(NETWORKDAYS(Proc[[#This Row],[DateOpened]],TODAY()))-1,ABS(NETWORKDAYS(Proc[[#This Row],[DateOpened]],Proc[[#This Row],[DateClosed]]))-1)</f>
        <v>0</v>
      </c>
      <c r="R4580" s="165" t="s">
        <v>515</v>
      </c>
      <c r="S4580" s="150"/>
    </row>
    <row r="4581" spans="1:19">
      <c r="A4581" s="149" t="s">
        <v>6724</v>
      </c>
      <c r="B4581" s="150" t="str">
        <f>IFERROR(VLOOKUP(Proc[[#This Row],[App]],Table2[],3,0),"open")</f>
        <v>open</v>
      </c>
      <c r="C4581" s="149" t="s">
        <v>404</v>
      </c>
      <c r="D4581" t="s">
        <v>6747</v>
      </c>
      <c r="E4581" t="s">
        <v>3023</v>
      </c>
      <c r="F4581" s="150"/>
      <c r="G4581" s="149" t="s">
        <v>406</v>
      </c>
      <c r="H4581" s="150" t="str">
        <f>IF(Proc[[#This Row],[type]]="LFF (MDG-F)",MID(Proc[[#This Row],[Obj]],13,10),"")</f>
        <v>CH70AD1L90</v>
      </c>
      <c r="J4581" s="150" t="b">
        <f>Proc[[#This Row],[Requested]]=Proc[[#This Row],[CurrentParent]]</f>
        <v>0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6436</v>
      </c>
      <c r="M4581" s="165">
        <v>45961</v>
      </c>
      <c r="N4581" s="166"/>
      <c r="O4581" s="166"/>
      <c r="P4581" s="165" t="str">
        <f ca="1">IF(Proc[[#This Row],[DaysAgeing]]&gt;5,"yep","on track")</f>
        <v>on track</v>
      </c>
      <c r="Q4581" s="3">
        <f ca="1">IF(Proc[[#This Row],[DateClosed]]="",ABS(NETWORKDAYS(Proc[[#This Row],[DateOpened]],TODAY()))-1,ABS(NETWORKDAYS(Proc[[#This Row],[DateOpened]],Proc[[#This Row],[DateClosed]]))-1)</f>
        <v>0</v>
      </c>
      <c r="R4581" s="165" t="s">
        <v>515</v>
      </c>
      <c r="S4581" s="150"/>
    </row>
    <row r="4582" spans="1:19">
      <c r="A4582" s="149" t="s">
        <v>6724</v>
      </c>
      <c r="B4582" s="150" t="str">
        <f>IFERROR(VLOOKUP(Proc[[#This Row],[App]],Table2[],3,0),"open")</f>
        <v>open</v>
      </c>
      <c r="C4582" s="149" t="s">
        <v>404</v>
      </c>
      <c r="D4582" t="s">
        <v>6748</v>
      </c>
      <c r="E4582" t="s">
        <v>3023</v>
      </c>
      <c r="F4582" s="150"/>
      <c r="G4582" s="149" t="s">
        <v>406</v>
      </c>
      <c r="H4582" s="150" t="str">
        <f>IF(Proc[[#This Row],[type]]="LFF (MDG-F)",MID(Proc[[#This Row],[Obj]],13,10),"")</f>
        <v>CH70ADF100</v>
      </c>
      <c r="J4582" s="150" t="b">
        <f>Proc[[#This Row],[Requested]]=Proc[[#This Row],[CurrentParent]]</f>
        <v>0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6436</v>
      </c>
      <c r="M4582" s="165">
        <v>45961</v>
      </c>
      <c r="N4582" s="166"/>
      <c r="O4582" s="166"/>
      <c r="P4582" s="165" t="str">
        <f ca="1">IF(Proc[[#This Row],[DaysAgeing]]&gt;5,"yep","on track")</f>
        <v>on track</v>
      </c>
      <c r="Q4582" s="3">
        <f ca="1">IF(Proc[[#This Row],[DateClosed]]="",ABS(NETWORKDAYS(Proc[[#This Row],[DateOpened]],TODAY()))-1,ABS(NETWORKDAYS(Proc[[#This Row],[DateOpened]],Proc[[#This Row],[DateClosed]]))-1)</f>
        <v>0</v>
      </c>
      <c r="R4582" s="165" t="s">
        <v>515</v>
      </c>
      <c r="S4582" s="150"/>
    </row>
    <row r="4583" spans="1:19">
      <c r="A4583" s="149" t="s">
        <v>6724</v>
      </c>
      <c r="B4583" s="150" t="str">
        <f>IFERROR(VLOOKUP(Proc[[#This Row],[App]],Table2[],3,0),"open")</f>
        <v>open</v>
      </c>
      <c r="C4583" s="149" t="s">
        <v>404</v>
      </c>
      <c r="D4583" t="s">
        <v>6749</v>
      </c>
      <c r="E4583" t="s">
        <v>3023</v>
      </c>
      <c r="F4583" s="150"/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0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6436</v>
      </c>
      <c r="M4583" s="165">
        <v>45961</v>
      </c>
      <c r="N4583" s="166"/>
      <c r="O4583" s="166"/>
      <c r="P4583" s="165" t="str">
        <f ca="1">IF(Proc[[#This Row],[DaysAgeing]]&gt;5,"yep","on track")</f>
        <v>on track</v>
      </c>
      <c r="Q4583" s="3">
        <f ca="1">IF(Proc[[#This Row],[DateClosed]]="",ABS(NETWORKDAYS(Proc[[#This Row],[DateOpened]],TODAY()))-1,ABS(NETWORKDAYS(Proc[[#This Row],[DateOpened]],Proc[[#This Row],[DateClosed]]))-1)</f>
        <v>0</v>
      </c>
      <c r="R4583" s="165" t="s">
        <v>515</v>
      </c>
      <c r="S4583" s="150"/>
    </row>
    <row r="4584" spans="1:19">
      <c r="A4584" s="149" t="s">
        <v>6724</v>
      </c>
      <c r="B4584" s="150" t="str">
        <f>IFERROR(VLOOKUP(Proc[[#This Row],[App]],Table2[],3,0),"open")</f>
        <v>open</v>
      </c>
      <c r="C4584" s="149" t="s">
        <v>404</v>
      </c>
      <c r="D4584" t="s">
        <v>6750</v>
      </c>
      <c r="E4584" t="s">
        <v>3023</v>
      </c>
      <c r="F4584" s="150"/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0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6436</v>
      </c>
      <c r="M4584" s="165">
        <v>45961</v>
      </c>
      <c r="N4584" s="166"/>
      <c r="O4584" s="166"/>
      <c r="P4584" s="165" t="str">
        <f ca="1">IF(Proc[[#This Row],[DaysAgeing]]&gt;5,"yep","on track")</f>
        <v>on track</v>
      </c>
      <c r="Q4584" s="3">
        <f ca="1">IF(Proc[[#This Row],[DateClosed]]="",ABS(NETWORKDAYS(Proc[[#This Row],[DateOpened]],TODAY()))-1,ABS(NETWORKDAYS(Proc[[#This Row],[DateOpened]],Proc[[#This Row],[DateClosed]]))-1)</f>
        <v>0</v>
      </c>
      <c r="R4584" s="165" t="s">
        <v>515</v>
      </c>
      <c r="S4584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G2:G4584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  <row r="141" spans="1:2">
      <c r="A141" s="165" t="s">
        <v>6674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2025-10-30T22:05:27Z</dcterms:modified>
  <cp:category/>
  <cp:contentStatus/>
</cp:coreProperties>
</file>