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C58271B-4B73-47F8-A8ED-63A790AEC152}" xr6:coauthVersionLast="47" xr6:coauthVersionMax="47" xr10:uidLastSave="{00000000-0000-0000-0000-000000000000}"/>
  <bookViews>
    <workbookView xWindow="-120" yWindow="-120" windowWidth="38640" windowHeight="21120" activeTab="6" xr2:uid="{9EF57C3D-F6AB-450C-9EC3-AF89A75F272D}"/>
  </bookViews>
  <sheets>
    <sheet name="KPI" sheetId="5" r:id="rId1"/>
    <sheet name="Sheet6" sheetId="33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Report!$A$2:$F$1358</definedName>
    <definedName name="_xlnm._FilterDatabase" localSheetId="9" hidden="1">Sheet3!$A$1:$E$259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1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21" i="1" l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3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<sst xmlns="http://schemas.openxmlformats.org/spreadsheetml/2006/main" count="33118" uniqueCount="5589">
  <si>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</si>
  <si>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</si>
  <si>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</si>
  <si>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</si>
  <si>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</si>
  <si>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</si>
  <si>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</si>
  <si>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</si>
  <si>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</si>
  <si>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</si>
  <si>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</si>
  <si>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</si>
  <si>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</si>
  <si>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</si>
  <si>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</si>
  <si>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</si>
  <si>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</si>
  <si>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</si>
  <si>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</si>
  <si>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</si>
  <si>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</si>
  <si>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</si>
  <si>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</si>
  <si>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</si>
  <si>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</si>
  <si>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</si>
  <si>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</si>
  <si>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</si>
  <si>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</si>
  <si>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</si>
  <si>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</si>
  <si>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</si>
  <si>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</si>
  <si>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</si>
  <si>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</si>
  <si>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</si>
  <si>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</si>
  <si>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</si>
  <si>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</si>
  <si>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</si>
  <si>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</si>
  <si>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</si>
  <si>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</si>
  <si>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</si>
  <si>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</si>
  <si>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</si>
  <si>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</si>
  <si>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</si>
  <si>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</si>
  <si>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</si>
  <si>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</si>
  <si>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</si>
  <si>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</si>
  <si>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</si>
  <si>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</si>
  <si>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</si>
  <si>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</si>
  <si>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</si>
  <si>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</si>
  <si>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</si>
  <si>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</si>
  <si>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</si>
  <si>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</si>
  <si>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</si>
  <si>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</si>
  <si>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</si>
  <si>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</si>
  <si>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</si>
  <si>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</si>
  <si>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</si>
  <si>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</si>
  <si>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</si>
  <si>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</si>
  <si>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</si>
  <si>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</si>
  <si>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</si>
  <si>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</si>
  <si>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</si>
  <si>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</si>
  <si>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</si>
  <si>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</si>
  <si>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</si>
  <si>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</si>
  <si>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</si>
  <si>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</si>
  <si>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</si>
  <si>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</si>
  <si>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</si>
  <si>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</si>
  <si>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</si>
  <si>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</si>
  <si>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</si>
  <si>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</si>
  <si>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</si>
  <si>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</si>
  <si>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</si>
  <si>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</si>
  <si>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</si>
  <si>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</si>
  <si>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</si>
  <si>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</si>
  <si>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</si>
  <si>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</si>
  <si>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</si>
  <si>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</si>
  <si>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</si>
  <si>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</si>
  <si>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</si>
  <si>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</si>
  <si>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</si>
  <si>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</si>
  <si>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</si>
  <si>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</si>
  <si>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</si>
  <si>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</si>
  <si>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</si>
  <si>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</si>
  <si>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</si>
  <si>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</si>
  <si>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</si>
  <si>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</si>
  <si>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</si>
  <si>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</si>
  <si>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</si>
  <si>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</si>
  <si>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</si>
  <si>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</si>
  <si>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</si>
  <si>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</si>
  <si>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</si>
  <si>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</si>
  <si>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</si>
  <si>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</si>
  <si>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</si>
  <si>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</si>
  <si>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</si>
  <si>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</si>
  <si>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</si>
  <si>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</si>
  <si>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</si>
  <si>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</si>
  <si>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</si>
  <si>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</si>
  <si>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</si>
  <si>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</si>
  <si>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</si>
  <si>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</si>
  <si>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</si>
  <si>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</si>
  <si>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</si>
  <si>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</si>
  <si>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</si>
  <si>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</si>
  <si>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</si>
  <si>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</si>
  <si>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</si>
  <si>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</si>
  <si>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</si>
  <si>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</si>
  <si>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</si>
  <si>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</si>
  <si>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</si>
  <si>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</si>
  <si>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</si>
  <si>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</si>
  <si>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</si>
  <si>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</si>
  <si>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</si>
  <si>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</si>
  <si>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</si>
  <si>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</si>
  <si>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</si>
  <si>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</si>
  <si>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</si>
  <si>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</si>
  <si>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</si>
  <si>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</si>
  <si>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</si>
  <si>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</si>
  <si>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</si>
  <si>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</si>
  <si>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</si>
  <si>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</si>
  <si>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</si>
  <si>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</si>
  <si>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</si>
  <si>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</si>
  <si>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</si>
  <si>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</si>
  <si>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</si>
  <si>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</si>
  <si>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</si>
  <si>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</si>
  <si>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</si>
  <si>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</si>
  <si>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</si>
  <si>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</si>
  <si>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</si>
  <si>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</si>
  <si>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</si>
  <si>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</si>
  <si>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</si>
  <si>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</si>
  <si>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</si>
  <si>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</si>
  <si>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</si>
  <si>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</si>
  <si>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</si>
  <si>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</si>
  <si>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</si>
  <si>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</si>
  <si>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</si>
  <si>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</si>
  <si>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</si>
  <si>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</si>
  <si>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</si>
  <si>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</si>
  <si>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</si>
  <si>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</si>
  <si>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</si>
  <si>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</si>
  <si>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</si>
  <si>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</si>
  <si>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</si>
  <si>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</si>
  <si>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</si>
  <si>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</si>
  <si>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</si>
  <si>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</si>
  <si>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</si>
  <si>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</si>
  <si>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</si>
  <si>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</si>
  <si>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</si>
  <si>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</si>
  <si>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</si>
  <si>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</si>
  <si>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</si>
  <si>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</si>
  <si>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</si>
  <si>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</si>
  <si>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</si>
  <si>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</si>
  <si>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</si>
  <si>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</si>
  <si>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</si>
  <si>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</si>
  <si>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</si>
  <si>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</si>
  <si>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</si>
  <si>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</si>
  <si>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</si>
  <si>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</si>
  <si>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</si>
  <si>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</si>
  <si>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</si>
  <si>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</si>
  <si>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</si>
  <si>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</si>
  <si>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</si>
  <si>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</si>
  <si>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</si>
  <si>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</si>
  <si>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</si>
  <si>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</si>
  <si>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</si>
  <si>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</si>
  <si>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</si>
  <si>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</si>
  <si>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</si>
  <si>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</si>
  <si>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</si>
  <si>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</si>
  <si>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</si>
  <si>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</si>
  <si>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</si>
  <si>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</si>
  <si>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</si>
  <si>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</si>
  <si>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</si>
  <si>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</si>
  <si>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</si>
  <si>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</si>
  <si>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</si>
  <si>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</si>
  <si>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</si>
  <si>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</si>
  <si>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</si>
  <si>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</si>
  <si>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</si>
  <si>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</si>
  <si>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</si>
  <si>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</si>
  <si>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</si>
  <si>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</si>
  <si>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</si>
  <si>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</si>
  <si>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</si>
  <si>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</si>
  <si>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</si>
  <si>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</si>
  <si>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</si>
  <si>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</si>
  <si>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</si>
  <si>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</si>
  <si>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</si>
  <si>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</si>
  <si>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</si>
  <si>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</si>
  <si>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</si>
  <si>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</si>
  <si>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</si>
  <si>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</si>
  <si>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</si>
  <si>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</si>
  <si>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</si>
  <si>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</si>
  <si>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</si>
  <si>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</si>
  <si>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</si>
  <si>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</si>
  <si>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</si>
  <si>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</si>
  <si>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</si>
  <si>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</si>
  <si>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</si>
  <si>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</si>
  <si>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</si>
  <si>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</si>
  <si>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</si>
  <si>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</si>
  <si>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</si>
  <si>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</si>
  <si>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</si>
  <si>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</si>
  <si>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</si>
  <si>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</si>
  <si>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</si>
  <si>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</si>
  <si>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</si>
  <si>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</si>
  <si>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</si>
  <si>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</si>
  <si>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</si>
  <si>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</si>
  <si>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</si>
  <si>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</si>
  <si>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</si>
  <si>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</si>
  <si>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</si>
  <si>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</si>
  <si>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</si>
  <si>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</si>
  <si>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</si>
  <si>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</si>
  <si>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</si>
  <si>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</si>
  <si>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</si>
  <si>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</si>
  <si>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</si>
  <si>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</si>
  <si>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</si>
  <si>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</si>
  <si>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</si>
  <si>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</si>
  <si>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</si>
  <si>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</si>
  <si>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</si>
  <si>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</si>
  <si>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</si>
  <si>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</si>
  <si>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</si>
  <si>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</si>
  <si>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</si>
  <si>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</si>
  <si>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</si>
  <si>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</si>
  <si>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</si>
  <si>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</si>
  <si>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</si>
  <si>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</si>
  <si>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</si>
  <si>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</si>
  <si>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</si>
  <si>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</si>
  <si>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</si>
  <si>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</si>
  <si>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</si>
  <si>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</si>
  <si>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</si>
  <si>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</si>
  <si>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</si>
  <si>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</si>
  <si>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</si>
  <si>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</si>
  <si>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</si>
  <si>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</si>
  <si>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</si>
  <si>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</si>
  <si>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</si>
  <si>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</si>
  <si>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</si>
  <si>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</si>
  <si>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</si>
  <si>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</si>
  <si>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</si>
  <si>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</si>
  <si>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</si>
  <si>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</si>
  <si>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</si>
  <si>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</si>
  <si>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</si>
  <si>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</si>
  <si>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</si>
  <si>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</si>
  <si>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</si>
  <si>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</si>
  <si>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</si>
  <si>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</si>
  <si>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</si>
  <si>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</si>
  <si>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</si>
  <si>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</si>
  <si>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</si>
  <si>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</si>
  <si>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</si>
  <si>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</si>
  <si>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</si>
  <si>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</si>
  <si>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</si>
  <si>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</si>
  <si>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</si>
  <si>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</si>
  <si>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</si>
  <si>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</si>
  <si>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</si>
  <si>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</si>
  <si>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</si>
  <si>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</si>
  <si>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</si>
  <si>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</si>
  <si>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</si>
  <si>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</si>
  <si>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</si>
  <si>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</si>
  <si>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</si>
  <si>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</si>
  <si>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</si>
  <si>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</si>
  <si>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</si>
  <si>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</si>
  <si>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</si>
  <si>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</si>
  <si>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</si>
  <si>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</si>
  <si>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</si>
  <si>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</si>
  <si>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</si>
  <si>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</si>
  <si>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</si>
  <si>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</si>
  <si>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</si>
  <si>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</si>
  <si>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</si>
  <si>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</si>
  <si>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</si>
  <si>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</si>
  <si>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</si>
  <si>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</si>
  <si>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</si>
  <si>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</si>
  <si>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</si>
  <si>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</si>
  <si>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</si>
  <si>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</si>
  <si>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</si>
  <si>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</si>
  <si>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</si>
  <si>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</si>
  <si>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</si>
  <si>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</si>
  <si>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</si>
  <si>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</si>
  <si>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</si>
  <si>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</si>
  <si>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</si>
  <si>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</si>
  <si>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</si>
  <si>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</si>
  <si>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</si>
  <si>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</si>
  <si>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</si>
  <si>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</si>
  <si>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</si>
  <si>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</si>
  <si>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</si>
  <si>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</si>
  <si>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</si>
  <si>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</si>
  <si>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</si>
  <si>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</si>
  <si>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</si>
  <si>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</si>
  <si>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</si>
  <si>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</si>
  <si>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</si>
  <si>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</si>
  <si>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</si>
  <si>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</si>
  <si>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</si>
  <si>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</si>
  <si>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</si>
  <si>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</si>
  <si>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</si>
  <si>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</si>
  <si>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</si>
  <si>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</si>
  <si>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</si>
  <si>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</si>
  <si>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</si>
  <si>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</si>
  <si>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</si>
  <si>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</si>
  <si>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</si>
  <si>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</si>
  <si>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</si>
  <si>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</si>
  <si>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</si>
  <si>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</si>
  <si>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</si>
  <si>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</si>
  <si>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</si>
  <si>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</si>
  <si>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</si>
  <si>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</si>
  <si>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</si>
  <si>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</si>
  <si>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</si>
  <si>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</si>
  <si>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</si>
  <si>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</si>
  <si>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</si>
  <si>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</si>
  <si>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</si>
  <si>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</si>
  <si>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</si>
  <si>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</si>
  <si>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</si>
  <si>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</si>
  <si>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</si>
  <si>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</si>
  <si>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</si>
  <si>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</si>
  <si>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</si>
  <si>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</si>
  <si>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</si>
  <si>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</si>
  <si>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</si>
  <si>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</si>
  <si>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</si>
  <si>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</si>
  <si>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</si>
  <si>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</si>
  <si>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</si>
  <si>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</si>
  <si>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</si>
  <si>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</si>
  <si>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</si>
  <si>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</si>
  <si>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</si>
  <si>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</si>
  <si>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</si>
  <si>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</si>
  <si>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</si>
  <si>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</si>
  <si>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</si>
  <si>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</si>
  <si>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</si>
  <si>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</si>
  <si>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</si>
  <si>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</si>
  <si>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</si>
  <si>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</si>
  <si>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</si>
  <si>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</si>
  <si>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</si>
  <si>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</si>
  <si>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</si>
  <si>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</si>
  <si>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</si>
  <si>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</si>
  <si>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</si>
  <si>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</si>
  <si>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</si>
  <si>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</si>
  <si>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</si>
  <si>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</si>
  <si>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</si>
  <si>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</si>
  <si>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</si>
  <si>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</si>
  <si>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</si>
  <si>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</si>
  <si>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</si>
  <si>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</si>
  <si>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</si>
  <si>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</si>
  <si>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</si>
  <si>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</si>
  <si>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</si>
  <si>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</si>
  <si>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</si>
  <si>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</si>
  <si>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</si>
  <si>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</si>
  <si>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</si>
  <si>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</si>
  <si>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</si>
  <si>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</si>
  <si>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</si>
  <si>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</si>
  <si>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</si>
  <si>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</si>
  <si>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</si>
  <si>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</si>
  <si>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</si>
  <si>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</si>
  <si>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</si>
  <si>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</si>
  <si>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</si>
  <si>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</si>
  <si>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</si>
  <si>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</si>
  <si>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</si>
  <si>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</si>
  <si>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</si>
  <si>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</si>
  <si>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</si>
  <si>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</si>
  <si>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</si>
  <si>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</si>
  <si>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</si>
  <si>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</si>
  <si>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</si>
  <si>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</si>
  <si>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</si>
  <si>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</si>
  <si>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</si>
  <si>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</si>
  <si>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</si>
  <si>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</si>
  <si>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</si>
  <si>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</si>
  <si>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</si>
  <si>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</si>
  <si>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</si>
  <si>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</si>
  <si>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</si>
  <si>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</si>
  <si>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</si>
  <si>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</si>
  <si>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</si>
  <si>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</si>
  <si>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</si>
  <si>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</si>
  <si>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</si>
  <si>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</si>
  <si>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</si>
  <si>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</si>
  <si>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</si>
  <si>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</si>
  <si>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</si>
  <si>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</si>
  <si>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</si>
  <si>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</si>
  <si>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</si>
  <si>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</si>
  <si>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</si>
  <si>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</si>
  <si>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</si>
  <si>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</si>
  <si>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</si>
  <si>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</si>
  <si>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</si>
  <si>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</si>
  <si>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</si>
  <si>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</si>
  <si>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</si>
  <si>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</si>
  <si>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</si>
  <si>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</si>
  <si>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</si>
  <si>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</si>
  <si>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</si>
  <si>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</si>
  <si>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</si>
  <si>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</si>
  <si>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</si>
  <si>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</si>
  <si>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</si>
  <si>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</si>
  <si>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</si>
  <si>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</si>
  <si>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</si>
  <si>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</si>
  <si>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</si>
  <si>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</si>
  <si>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</si>
  <si>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</si>
  <si>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</si>
  <si>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</si>
  <si>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</si>
  <si>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</si>
  <si>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</si>
  <si>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</si>
  <si>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</si>
  <si>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</si>
  <si>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</si>
  <si>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</si>
  <si>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</si>
  <si>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</si>
  <si>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</si>
  <si>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</si>
  <si>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</si>
  <si>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</si>
  <si>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</si>
  <si>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</si>
  <si>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</si>
  <si>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</si>
  <si>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</si>
  <si>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</si>
  <si>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</si>
  <si>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</si>
  <si>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</si>
  <si>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</si>
  <si>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</si>
  <si>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</si>
  <si>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</si>
  <si>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</si>
  <si>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</si>
  <si>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</si>
  <si>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</si>
  <si>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</si>
  <si>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</si>
  <si>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</si>
  <si>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</si>
  <si>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</si>
  <si>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</si>
  <si>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</si>
  <si>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</si>
  <si>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</si>
  <si>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</si>
  <si>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</si>
  <si>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</si>
  <si>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</si>
  <si>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</si>
  <si>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</si>
  <si>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</si>
  <si>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</si>
  <si>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</si>
  <si>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</si>
  <si>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</si>
  <si>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</si>
  <si>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</si>
  <si>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</si>
  <si>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</si>
  <si>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</si>
  <si>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</si>
  <si>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</si>
  <si>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</si>
  <si>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</si>
  <si>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</si>
  <si>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</si>
  <si>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</si>
  <si>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</si>
  <si>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</si>
  <si>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</si>
  <si>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</si>
  <si>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</si>
  <si>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</si>
  <si>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</si>
  <si>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</si>
  <si>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</si>
  <si>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</si>
  <si>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</si>
  <si>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</si>
  <si>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</si>
  <si>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</si>
  <si>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</si>
  <si>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</si>
  <si>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</si>
  <si>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</si>
  <si>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</si>
  <si>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</si>
  <si>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</si>
  <si>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</si>
  <si>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</si>
  <si>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</si>
  <si>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</si>
  <si>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</si>
  <si>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</si>
  <si>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</si>
  <si>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</si>
  <si>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</si>
  <si>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</si>
  <si>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</si>
  <si>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</si>
  <si>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</si>
  <si>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</si>
  <si>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</si>
  <si>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</si>
  <si>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</si>
  <si>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</si>
  <si>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</si>
  <si>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</si>
  <si>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</si>
  <si>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</si>
  <si>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</si>
  <si>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</si>
  <si>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</si>
  <si>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</si>
  <si>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</si>
  <si>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</si>
  <si>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</si>
  <si>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</si>
  <si>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</si>
  <si>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</si>
  <si>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</si>
  <si>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</si>
  <si>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</si>
  <si>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</si>
  <si>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</si>
  <si>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</si>
  <si>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</si>
  <si>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</si>
  <si>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</si>
  <si>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</si>
  <si>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</si>
  <si>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</si>
  <si>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</si>
  <si>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</si>
  <si>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</si>
  <si>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</si>
  <si>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</si>
  <si>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</si>
  <si>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</si>
  <si>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</si>
  <si>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</si>
  <si>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</si>
  <si>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</si>
  <si>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</si>
  <si>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</si>
  <si>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</si>
  <si>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</si>
  <si>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</si>
  <si>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</si>
  <si>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</si>
  <si>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</si>
  <si>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</si>
  <si>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</si>
  <si>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</si>
  <si>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</si>
  <si>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</si>
  <si>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</si>
  <si>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</si>
  <si>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</si>
  <si>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</si>
  <si>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</si>
  <si>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</si>
  <si>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</si>
  <si>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</si>
  <si>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</si>
  <si>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</si>
  <si>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</si>
  <si>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</si>
  <si>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</si>
  <si>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</si>
  <si>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</si>
  <si>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</si>
  <si>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</si>
  <si>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</si>
  <si>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</si>
  <si>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</si>
  <si>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</si>
  <si>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</si>
  <si>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</si>
  <si>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</si>
  <si>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</si>
  <si>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</si>
  <si>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</si>
  <si>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</si>
  <si>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</si>
  <si>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</si>
  <si>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</si>
  <si>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</si>
  <si>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</si>
  <si>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</si>
  <si>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</si>
  <si>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</si>
  <si>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</si>
  <si>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</si>
  <si>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</si>
  <si>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</si>
  <si>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</si>
  <si>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</si>
  <si>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</si>
  <si>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</si>
  <si>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</si>
  <si>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</si>
  <si>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</si>
  <si>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</si>
  <si>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</si>
  <si>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</si>
  <si>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</si>
  <si>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</si>
  <si>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</si>
  <si>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</si>
  <si>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</si>
  <si>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</si>
  <si>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</si>
  <si>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</si>
  <si>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</si>
  <si>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</si>
  <si>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</si>
  <si>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</si>
  <si>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</si>
  <si>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</si>
  <si>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</si>
  <si>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</si>
  <si>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</si>
  <si>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</si>
  <si>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</si>
  <si>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</si>
  <si>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</si>
  <si>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</si>
  <si>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</si>
  <si>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</si>
  <si>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</si>
  <si>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</si>
  <si>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</si>
  <si>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</si>
  <si>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</si>
  <si>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</si>
  <si>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</si>
  <si>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</si>
  <si>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</si>
  <si>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</si>
  <si>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</si>
  <si>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</si>
  <si>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</si>
  <si>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</si>
  <si>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</si>
  <si>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</si>
  <si>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</si>
  <si>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</si>
  <si>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</si>
  <si>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</si>
  <si>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</si>
  <si>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</si>
  <si>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</si>
  <si>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</si>
  <si>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</si>
  <si>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</si>
  <si>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</si>
  <si>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</si>
  <si>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</si>
  <si>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</si>
  <si>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</si>
  <si>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</si>
  <si>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</si>
  <si>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</si>
  <si>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</si>
  <si>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</si>
  <si>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</si>
  <si>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</si>
  <si>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</si>
  <si>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</si>
  <si>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</si>
  <si>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</si>
  <si>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</si>
  <si>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</si>
  <si>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</si>
  <si>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</si>
  <si>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</si>
  <si>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</si>
  <si>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</si>
  <si>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</si>
  <si>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</si>
  <si>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</si>
  <si>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</si>
  <si>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</si>
  <si>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</si>
  <si>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</si>
  <si>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</si>
  <si>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</si>
  <si>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</si>
  <si>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</si>
  <si>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</si>
  <si>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</si>
  <si>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</si>
  <si>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</si>
  <si>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</si>
  <si>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</si>
  <si>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</si>
  <si>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</si>
  <si>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</si>
  <si>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</si>
  <si>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</si>
  <si>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</si>
  <si>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</si>
  <si>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</si>
  <si>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</si>
  <si>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</si>
  <si>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</si>
  <si>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</si>
  <si>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</si>
  <si>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</si>
  <si>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</si>
  <si>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</si>
  <si>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</si>
  <si>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</si>
  <si>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</si>
  <si>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</si>
  <si>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</si>
  <si>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</si>
  <si>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</si>
  <si>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</si>
  <si>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</si>
  <si>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</si>
  <si>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</si>
  <si>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</si>
  <si>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</si>
  <si>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</si>
  <si>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</si>
  <si>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</si>
  <si>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</si>
  <si>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</si>
  <si>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</si>
  <si>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</si>
  <si>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</si>
  <si>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</si>
  <si>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</si>
  <si>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</si>
  <si>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</si>
  <si>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</si>
  <si>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</si>
  <si>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</si>
  <si>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</si>
  <si>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</si>
  <si>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</si>
  <si>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</si>
  <si>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</si>
  <si>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</si>
  <si>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</si>
  <si>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</si>
  <si>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</si>
  <si>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</si>
  <si>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</si>
  <si>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</si>
  <si>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</si>
  <si>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</si>
  <si>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</si>
  <si>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</si>
  <si>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</si>
  <si>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</si>
  <si>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</si>
  <si>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</si>
  <si>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</si>
  <si>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</si>
  <si>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</si>
  <si>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</si>
  <si>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</si>
  <si>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</si>
  <si>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</si>
  <si>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</si>
  <si>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</si>
  <si>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</si>
  <si>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</si>
  <si>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</si>
  <si>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</si>
  <si>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</si>
  <si>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</si>
  <si>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</si>
  <si>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</si>
  <si>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</si>
  <si>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</si>
  <si>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</si>
  <si>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</si>
  <si>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</si>
  <si>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</si>
  <si>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</si>
  <si>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</si>
  <si>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</si>
  <si>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</si>
  <si>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</si>
  <si>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</si>
  <si>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</si>
  <si>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</si>
  <si>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</si>
  <si>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</si>
  <si>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</si>
  <si>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</si>
  <si>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</si>
  <si>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</si>
  <si>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</si>
  <si>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</si>
  <si>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</si>
  <si>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</si>
  <si>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</si>
  <si>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</si>
  <si>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</si>
  <si>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</si>
  <si>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</si>
  <si>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</si>
  <si>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</si>
  <si>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</si>
  <si>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</si>
  <si>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</si>
  <si>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</si>
  <si>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</si>
  <si>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</si>
  <si>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</si>
  <si>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</si>
  <si>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</si>
  <si>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</si>
  <si>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</si>
  <si>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</si>
  <si>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</si>
  <si>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</si>
  <si>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</si>
  <si>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</si>
  <si>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</si>
  <si>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</si>
  <si>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</si>
  <si>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</si>
  <si>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</si>
  <si>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</si>
  <si>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</si>
  <si>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</si>
  <si>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</si>
  <si>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</si>
  <si>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</si>
  <si>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</si>
  <si>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</si>
  <si>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</si>
  <si>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</si>
  <si>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</si>
  <si>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</si>
  <si>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</si>
  <si>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</si>
  <si>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</si>
  <si>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</si>
  <si>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</si>
  <si>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</si>
  <si>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</si>
  <si>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</si>
  <si>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</si>
  <si>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</si>
  <si>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</si>
  <si>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</si>
  <si>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</si>
  <si>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</si>
  <si>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</si>
  <si>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</si>
  <si>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</si>
  <si>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</si>
  <si>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</si>
  <si>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</si>
  <si>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</si>
  <si>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</si>
  <si>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</si>
  <si>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</si>
  <si>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</si>
  <si>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</si>
  <si>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</si>
  <si>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</si>
  <si>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</si>
  <si>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</si>
  <si>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</si>
  <si>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</si>
  <si>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</si>
  <si>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</si>
  <si>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</si>
  <si>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</si>
  <si>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</si>
  <si>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</si>
  <si>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</si>
  <si>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</si>
  <si>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</si>
  <si>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</si>
  <si>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</si>
  <si>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</si>
  <si>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</si>
  <si>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</si>
  <si>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</si>
  <si>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</si>
  <si>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</si>
  <si>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</si>
  <si>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</si>
  <si>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</si>
  <si>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</si>
  <si>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</si>
  <si>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</si>
  <si>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</si>
  <si>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</si>
  <si>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</si>
  <si>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</si>
  <si>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</si>
  <si>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</si>
  <si>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</si>
  <si>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</si>
  <si>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</si>
  <si>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</si>
  <si>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</si>
  <si>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</si>
  <si>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</si>
  <si>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</si>
  <si>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</si>
  <si>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</si>
  <si>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</si>
  <si>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</si>
  <si>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</si>
  <si>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</si>
  <si>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</si>
  <si>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</si>
  <si>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</si>
  <si>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</si>
  <si>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</si>
  <si>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</si>
  <si>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</si>
  <si>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</si>
  <si>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</si>
  <si>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</si>
  <si>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</si>
  <si>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</si>
  <si>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</si>
  <si>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</si>
  <si>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</si>
  <si>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</si>
  <si>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</si>
  <si>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</si>
  <si>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</si>
  <si>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</si>
  <si>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</si>
  <si>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</si>
  <si>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</si>
  <si>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</si>
  <si>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</si>
  <si>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</si>
  <si>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</si>
  <si>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</si>
  <si>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</si>
  <si>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</si>
  <si>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</si>
  <si>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</si>
  <si>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</si>
  <si>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</si>
  <si>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</si>
  <si>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</si>
  <si>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</si>
  <si>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</si>
  <si>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</si>
  <si>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</si>
  <si>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</si>
  <si>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</si>
  <si>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</si>
  <si>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</si>
  <si>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</si>
  <si>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</si>
  <si>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</si>
  <si>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</si>
  <si>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</si>
  <si>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</si>
  <si>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</si>
  <si>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</si>
  <si>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</si>
  <si>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</si>
  <si>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</si>
  <si>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</si>
  <si>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</si>
  <si>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</si>
  <si>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</si>
  <si>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</si>
  <si>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</si>
  <si>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</si>
  <si>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</si>
  <si>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</si>
  <si>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</si>
  <si>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</si>
  <si>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</si>
  <si>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</si>
  <si>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</si>
  <si>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</si>
  <si>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</si>
  <si>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</si>
  <si>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</si>
  <si>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</si>
  <si>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</si>
  <si>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</si>
  <si>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</si>
  <si>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</si>
  <si>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</si>
  <si>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</si>
  <si>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</si>
  <si>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</si>
  <si>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</si>
  <si>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</si>
  <si>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</si>
  <si>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</si>
  <si>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</si>
  <si>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</si>
  <si>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</si>
  <si>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</si>
  <si>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</si>
  <si>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</si>
  <si>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</si>
  <si>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</si>
  <si>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</si>
  <si>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</si>
  <si>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</si>
  <si>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</si>
  <si>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</si>
  <si>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</si>
  <si>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</si>
  <si>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</si>
  <si>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</si>
  <si>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</si>
  <si>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</si>
  <si>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</si>
  <si>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</si>
  <si>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</si>
  <si>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</si>
  <si>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</si>
  <si>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</si>
  <si>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</si>
  <si>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</si>
  <si>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</si>
  <si>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</si>
  <si>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</si>
  <si>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</si>
  <si>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</si>
  <si>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</si>
  <si>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</si>
  <si>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</si>
  <si>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</si>
  <si>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</si>
  <si>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</si>
  <si>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</si>
  <si>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</si>
  <si>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</si>
  <si>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</si>
  <si>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</si>
  <si>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</si>
  <si>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</si>
  <si>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</si>
  <si>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</si>
  <si>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</si>
  <si>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</si>
  <si>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</si>
  <si>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</si>
  <si>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</si>
  <si>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</si>
  <si>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</si>
  <si>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</si>
  <si>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</si>
  <si>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</si>
  <si>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</si>
  <si>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</si>
  <si>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</si>
  <si>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</si>
  <si>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</si>
  <si>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</si>
  <si>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</si>
  <si>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</si>
  <si>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</si>
  <si>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</si>
  <si>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</si>
  <si>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</si>
  <si>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</si>
  <si>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</si>
  <si>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</si>
  <si>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</si>
  <si>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</si>
  <si>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</si>
  <si>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</si>
  <si>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</si>
  <si>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</si>
  <si>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</si>
  <si>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</si>
  <si>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</si>
  <si>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</si>
  <si>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</si>
  <si>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</si>
  <si>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</si>
  <si>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</si>
  <si>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</si>
  <si>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</si>
  <si>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</si>
  <si>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</si>
  <si>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</si>
  <si>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</si>
  <si>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</si>
  <si>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</si>
  <si>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</si>
  <si>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</si>
  <si>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</si>
  <si>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</si>
  <si>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</si>
  <si>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</si>
  <si>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</si>
  <si>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</si>
  <si>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</si>
  <si>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</si>
  <si>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</si>
  <si>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</si>
  <si>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</si>
  <si>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</si>
  <si>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</si>
  <si>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</si>
  <si>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</si>
  <si>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</si>
  <si>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</si>
  <si>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</si>
  <si>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</si>
  <si>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</si>
  <si>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</si>
  <si>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</si>
  <si>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</si>
  <si>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</si>
  <si>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</si>
  <si>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</si>
  <si>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</si>
  <si>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</si>
  <si>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</si>
  <si>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</si>
  <si>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</si>
  <si>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</si>
  <si>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</si>
  <si>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</si>
  <si>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</si>
  <si>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</si>
  <si>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</si>
  <si>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</si>
  <si>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</si>
  <si>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</si>
  <si>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</si>
  <si>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</si>
  <si>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</si>
  <si>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</si>
  <si>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</si>
  <si>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</si>
  <si>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</si>
  <si>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</si>
  <si>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</si>
  <si>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</si>
  <si>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</si>
  <si>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</si>
  <si>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</si>
  <si>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</si>
  <si>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</si>
  <si>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</si>
  <si>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</si>
  <si>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</si>
  <si>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</si>
  <si>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</si>
  <si>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</si>
  <si>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</si>
  <si>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</si>
  <si>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</si>
  <si>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</si>
  <si>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</si>
  <si>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</si>
  <si>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</si>
  <si>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</si>
  <si>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</si>
  <si>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</si>
  <si>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</si>
  <si>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</si>
  <si>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</si>
  <si>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</si>
  <si>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</si>
  <si>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</si>
  <si>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</si>
  <si>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</si>
  <si>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</si>
  <si>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</si>
  <si>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</si>
  <si>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</si>
  <si>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</si>
  <si>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</si>
  <si>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</si>
  <si>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</si>
  <si>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</si>
  <si>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</si>
  <si>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</si>
  <si>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</si>
  <si>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</si>
  <si>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</si>
  <si>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</si>
  <si>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</si>
  <si>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</si>
  <si>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</si>
  <si>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</si>
  <si>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</si>
  <si>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</si>
  <si>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</si>
  <si>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</si>
  <si>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</si>
  <si>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</si>
  <si>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</si>
  <si>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</si>
  <si>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</si>
  <si>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</si>
  <si>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</si>
  <si>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</si>
  <si>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</si>
  <si>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</si>
  <si>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</si>
  <si>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</si>
  <si>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</si>
  <si>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</si>
  <si>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</si>
  <si>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</si>
  <si>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</si>
  <si>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</si>
  <si>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</si>
  <si>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</si>
  <si>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</si>
  <si>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</si>
  <si>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</si>
  <si>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</si>
  <si>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</si>
  <si>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</si>
  <si>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</si>
  <si>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</si>
  <si>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</si>
  <si>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</si>
  <si>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</si>
  <si>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</si>
  <si>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</si>
  <si>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</si>
  <si>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</si>
  <si>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</si>
  <si>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</si>
  <si>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</si>
  <si>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</si>
  <si>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</si>
  <si>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</si>
  <si>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</si>
  <si>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</si>
  <si>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</si>
  <si>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</si>
  <si>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</si>
  <si>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</si>
  <si>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</si>
  <si>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</si>
  <si>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</si>
  <si>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</si>
  <si>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</si>
  <si>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</si>
  <si>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</si>
  <si>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</si>
  <si>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</si>
  <si>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</si>
  <si>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</si>
  <si>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</si>
  <si>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</si>
  <si>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</si>
  <si>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</si>
  <si>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</si>
  <si>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</si>
  <si>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</si>
  <si>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</si>
  <si>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</si>
  <si>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</si>
  <si>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</si>
  <si>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</si>
  <si>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</si>
  <si>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</si>
  <si>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</si>
  <si>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</si>
  <si>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</si>
  <si>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</si>
  <si>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</si>
  <si>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</si>
  <si>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</si>
  <si>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</si>
  <si>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</si>
  <si>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</si>
  <si>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</si>
  <si>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</si>
  <si>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</si>
  <si>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</si>
  <si>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</si>
  <si>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</si>
  <si>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</si>
  <si>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</si>
  <si>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</si>
  <si>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</si>
  <si>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</si>
  <si>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</si>
  <si>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</si>
  <si>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</si>
  <si>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</si>
  <si>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</si>
  <si>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</si>
  <si>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</si>
  <si>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</si>
  <si>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</si>
  <si>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</si>
  <si>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</si>
  <si>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</si>
  <si>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</si>
  <si>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</si>
  <si>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</si>
  <si>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</si>
  <si>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</si>
  <si>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</si>
  <si>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</si>
  <si>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</si>
  <si>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</si>
  <si>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</si>
  <si>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</si>
  <si>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</si>
  <si>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</si>
  <si>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</si>
  <si>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</si>
  <si>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</si>
  <si>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</si>
  <si>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</si>
  <si>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</si>
  <si>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</si>
  <si>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</si>
  <si>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</si>
  <si>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</si>
  <si>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</si>
  <si>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</si>
  <si>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</si>
  <si>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</si>
  <si>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</si>
  <si>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</si>
  <si>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</si>
  <si>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</si>
  <si>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</si>
  <si>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</si>
  <si>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</si>
  <si>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</si>
  <si>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</si>
  <si>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</si>
  <si>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</si>
  <si>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</si>
  <si>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</si>
  <si>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</si>
  <si>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</si>
  <si>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</si>
  <si>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</si>
  <si>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</si>
  <si>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</si>
  <si>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</si>
  <si>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</si>
  <si>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</si>
  <si>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</si>
  <si>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</si>
  <si>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</si>
  <si>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</si>
  <si>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</si>
  <si>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</si>
  <si>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</si>
  <si>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</si>
  <si>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</si>
  <si>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</si>
  <si>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</si>
  <si>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</si>
  <si>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</si>
  <si>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</si>
  <si>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</si>
  <si>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</si>
  <si>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</si>
  <si>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</si>
  <si>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</si>
  <si>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</si>
  <si>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</si>
  <si>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</si>
  <si>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</si>
  <si>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</si>
  <si>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</si>
  <si>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</si>
  <si>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</si>
  <si>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</si>
  <si>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</si>
  <si>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</si>
  <si>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</si>
  <si>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</si>
  <si>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</si>
  <si>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</si>
  <si>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</si>
  <si>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</si>
  <si>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</si>
  <si>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</si>
  <si>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</si>
  <si>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</si>
  <si>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</si>
  <si>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</si>
  <si>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</si>
  <si>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</si>
  <si>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</si>
  <si>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</si>
  <si>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</si>
  <si>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</si>
  <si>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</si>
  <si>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</si>
  <si>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</si>
  <si>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</si>
  <si>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</si>
  <si>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</si>
  <si>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</si>
  <si>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</si>
  <si>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</si>
  <si>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</si>
  <si>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</si>
  <si>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</si>
  <si>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</si>
  <si>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</si>
  <si>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</si>
  <si>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</si>
  <si>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</si>
  <si>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</si>
  <si>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</si>
  <si>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</si>
  <si>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</si>
  <si>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</si>
  <si>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</si>
  <si>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</si>
  <si>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</si>
  <si>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</si>
  <si>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</si>
  <si>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</si>
  <si>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</si>
  <si>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</si>
  <si>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</si>
  <si>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</si>
  <si>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</si>
  <si>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</si>
  <si>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</si>
  <si>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</si>
  <si>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</si>
  <si>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</si>
  <si>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</si>
  <si>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</si>
  <si>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</si>
  <si>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</si>
  <si>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</si>
  <si>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</si>
  <si>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</si>
  <si>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</si>
  <si>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</si>
  <si>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</si>
  <si>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</si>
  <si>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</si>
  <si>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</si>
  <si>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</si>
  <si>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</si>
  <si>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</si>
  <si>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</si>
  <si>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</si>
  <si>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</si>
  <si>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</si>
  <si>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</si>
  <si>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</si>
  <si>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</si>
  <si>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</si>
  <si>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</si>
  <si>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</si>
  <si>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</si>
  <si>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</si>
  <si>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</si>
  <si>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</si>
  <si>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</si>
  <si>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</si>
  <si>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</si>
  <si>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</si>
  <si>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</si>
  <si>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</si>
  <si>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</si>
  <si>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</si>
  <si>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</si>
  <si>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</si>
  <si>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</si>
  <si>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</si>
  <si>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</si>
  <si>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</si>
  <si>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</si>
  <si>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</si>
  <si>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</si>
  <si>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</si>
  <si>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</si>
  <si>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</si>
  <si>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</si>
  <si>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</si>
  <si>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</si>
  <si>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</si>
  <si>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</si>
  <si>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</si>
  <si>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</si>
  <si>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</si>
  <si>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</si>
  <si>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</si>
  <si>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</si>
  <si>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</si>
  <si>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</si>
  <si>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</si>
  <si>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</si>
  <si>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</si>
  <si>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</si>
  <si>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</si>
  <si>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</si>
  <si>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</si>
  <si>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</si>
  <si>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</si>
  <si>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</si>
  <si>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</si>
  <si>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</si>
  <si>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</si>
  <si>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</si>
  <si>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</si>
  <si>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</si>
  <si>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</si>
  <si>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</si>
  <si>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</si>
  <si>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</si>
  <si>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</si>
  <si>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</si>
  <si>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</si>
  <si>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</si>
  <si>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</si>
  <si>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</si>
  <si>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</si>
  <si>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</si>
  <si>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</si>
  <si>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</si>
  <si>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</si>
  <si>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</si>
  <si>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</si>
  <si>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</si>
  <si>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</si>
  <si>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</si>
  <si>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</si>
  <si>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</si>
  <si>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</si>
  <si>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</si>
  <si>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</si>
  <si>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</si>
  <si>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</si>
  <si>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</si>
  <si>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</si>
  <si>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</si>
  <si>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</si>
  <si>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</si>
  <si>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</si>
  <si>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</si>
  <si>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</si>
  <si>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</si>
  <si>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</si>
  <si>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</si>
  <si>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</si>
  <si>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</si>
  <si>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</si>
  <si>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</si>
  <si>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</si>
  <si>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</si>
  <si>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</si>
  <si>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</si>
  <si>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</si>
  <si>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</si>
  <si>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</si>
  <si>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</si>
  <si>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</si>
  <si>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</si>
  <si>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</si>
  <si>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</si>
  <si>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</si>
  <si>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</si>
  <si>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</si>
  <si>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</si>
  <si>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</si>
  <si>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</si>
  <si>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</si>
  <si>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</si>
  <si>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</si>
  <si>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</si>
  <si>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</si>
  <si>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</si>
  <si>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</si>
  <si>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</si>
  <si>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</si>
  <si>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</si>
  <si>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</si>
  <si>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</si>
  <si>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</si>
  <si>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</si>
  <si>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</si>
  <si>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</si>
  <si>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</si>
  <si>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</si>
  <si>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</si>
  <si>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</si>
  <si>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</si>
  <si>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</si>
  <si>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</si>
  <si>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</si>
  <si>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</si>
  <si>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</si>
  <si>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</si>
  <si>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</si>
  <si>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</si>
  <si>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</si>
  <si>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</si>
  <si>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</si>
  <si>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</si>
  <si>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</si>
  <si>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</si>
  <si>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</si>
  <si>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</si>
  <si>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</si>
  <si>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</si>
  <si>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</si>
  <si>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</si>
  <si>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</si>
  <si>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</si>
  <si>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</si>
  <si>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</si>
  <si>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</si>
  <si>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</si>
  <si>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</si>
  <si>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</si>
  <si>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</si>
  <si>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</si>
  <si>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</si>
  <si>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</si>
  <si>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</si>
  <si>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</si>
  <si>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</si>
  <si>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</si>
  <si>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</si>
  <si>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</si>
  <si>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</si>
  <si>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</si>
  <si>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</si>
  <si>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</si>
  <si>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</si>
  <si>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</si>
  <si>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</si>
  <si>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</si>
  <si>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</si>
  <si>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</si>
  <si>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</si>
  <si>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</si>
  <si>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</si>
  <si>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</si>
  <si>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</si>
  <si>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</si>
  <si>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</si>
  <si>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</si>
  <si>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</si>
  <si>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</si>
  <si>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</si>
  <si>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</si>
  <si>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</si>
  <si>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</si>
  <si>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</si>
  <si>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</si>
  <si>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</si>
  <si>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</si>
  <si>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</si>
  <si>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</si>
  <si>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</si>
  <si>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</si>
  <si>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</si>
  <si>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</si>
  <si>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</si>
  <si>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</si>
  <si>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</si>
  <si>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</si>
  <si>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</si>
  <si>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</si>
  <si>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</si>
  <si>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</si>
  <si>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</si>
  <si>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</si>
  <si>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</si>
  <si>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</si>
  <si>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</si>
  <si>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</si>
  <si>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</si>
  <si>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</si>
  <si>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</si>
  <si>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</si>
  <si>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</si>
  <si>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</si>
  <si>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</si>
  <si>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</si>
  <si>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</si>
  <si>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</si>
  <si>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</si>
  <si>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</si>
  <si>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</si>
  <si>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</si>
  <si>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</si>
  <si>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</si>
  <si>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</si>
  <si>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</si>
  <si>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</si>
  <si>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</si>
  <si>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</si>
  <si>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</si>
  <si>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</si>
  <si>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</si>
  <si>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</si>
  <si>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</si>
  <si>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</si>
  <si>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</si>
  <si>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</si>
  <si>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</si>
  <si>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</si>
  <si>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</si>
  <si>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</si>
  <si>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</si>
  <si>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</si>
  <si>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</si>
  <si>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</si>
  <si>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</si>
  <si>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</si>
  <si>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</si>
  <si>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</si>
  <si>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</si>
  <si>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</si>
  <si>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</si>
  <si>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</si>
  <si>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</si>
  <si>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</si>
  <si>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</si>
  <si>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</si>
  <si>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</si>
  <si>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</si>
  <si>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</si>
  <si>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</si>
  <si>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</si>
  <si>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</si>
  <si>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</si>
  <si>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</si>
  <si>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</si>
  <si>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</si>
  <si>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</si>
  <si>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</si>
  <si>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</si>
  <si>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</si>
  <si>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</si>
  <si>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</si>
  <si>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</si>
  <si>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</si>
  <si>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</si>
  <si>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</si>
  <si>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</si>
  <si>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</si>
  <si>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</si>
  <si>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</si>
  <si>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</si>
  <si>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</si>
  <si>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</si>
  <si>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</si>
  <si>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</si>
  <si>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</si>
  <si>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</si>
  <si>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</si>
  <si>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</si>
  <si>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</si>
  <si>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</si>
  <si>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</si>
  <si>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</si>
  <si>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</si>
  <si>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</si>
  <si>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</si>
  <si>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</si>
  <si>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</si>
  <si>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</si>
  <si>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</si>
  <si>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</si>
  <si>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</si>
  <si>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</si>
  <si>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</si>
  <si>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</si>
  <si>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</si>
  <si>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</si>
  <si>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</si>
  <si>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</si>
  <si>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</si>
  <si>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</si>
  <si>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</si>
  <si>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</si>
  <si>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</si>
  <si>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</si>
  <si>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</si>
  <si>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</si>
  <si>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</si>
  <si>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</si>
  <si>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</si>
  <si>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</si>
  <si>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</si>
  <si>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</si>
  <si>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</si>
  <si>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</si>
  <si>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</si>
  <si>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</si>
  <si>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</si>
  <si>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</si>
  <si>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</si>
  <si>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</si>
  <si>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</si>
  <si>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</si>
  <si>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</si>
  <si>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</si>
  <si>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</si>
  <si>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</si>
  <si>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</si>
  <si>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</si>
  <si>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</si>
  <si>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</si>
  <si>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</si>
  <si>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</si>
  <si>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</si>
  <si>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</si>
  <si>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</si>
  <si>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</si>
  <si>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</si>
  <si>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</si>
  <si>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</si>
  <si>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</si>
  <si>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</si>
  <si>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</si>
  <si>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</si>
  <si>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</si>
  <si>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</si>
  <si>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</si>
  <si>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</si>
  <si>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</si>
  <si>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</si>
  <si>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</si>
  <si>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</si>
  <si>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</si>
  <si>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</si>
  <si>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</si>
  <si>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</si>
  <si>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</si>
  <si>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</si>
  <si>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</si>
  <si>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</si>
  <si>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</si>
  <si>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</si>
  <si>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</si>
  <si>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</si>
  <si>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</si>
  <si>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</si>
  <si>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</si>
  <si>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</si>
  <si>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</si>
  <si>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</si>
  <si>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</si>
  <si>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</si>
  <si>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</si>
  <si>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</si>
  <si>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</si>
  <si>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</si>
  <si>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</si>
  <si>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</si>
  <si>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</si>
  <si>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</si>
  <si>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</si>
  <si>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</si>
  <si>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</si>
  <si>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</si>
  <si>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</si>
  <si>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</si>
  <si>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</si>
  <si>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</si>
  <si>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</si>
  <si>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</si>
  <si>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</si>
  <si>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</si>
  <si>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</si>
  <si>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</si>
  <si>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</si>
  <si>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</si>
  <si>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</si>
  <si>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</si>
  <si>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</si>
  <si>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</si>
  <si>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</si>
  <si>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</si>
  <si>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</si>
  <si>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</si>
  <si>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</si>
  <si>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</si>
  <si>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</si>
  <si>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</si>
  <si>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</si>
  <si>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</si>
  <si>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</si>
  <si>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</si>
  <si>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</si>
  <si>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</si>
  <si>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</si>
  <si>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</si>
  <si>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</si>
  <si>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</si>
  <si>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</si>
  <si>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</si>
  <si>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</si>
  <si>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</si>
  <si>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</si>
  <si>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</si>
  <si>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</si>
  <si>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</si>
  <si>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</si>
  <si>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</si>
  <si>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</si>
  <si>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</si>
  <si>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</si>
  <si>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</si>
  <si>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</si>
  <si>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</si>
  <si>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</si>
  <si>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</si>
  <si>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</si>
  <si>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</si>
  <si>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</si>
  <si>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</si>
  <si>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</si>
  <si>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</si>
  <si>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</si>
  <si>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</si>
  <si>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</si>
  <si>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</si>
  <si>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</si>
  <si>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</si>
  <si>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</si>
  <si>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</si>
  <si>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</si>
  <si>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</si>
  <si>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</si>
  <si>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</si>
  <si>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</si>
  <si>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</si>
  <si>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</si>
  <si>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</si>
  <si>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</si>
  <si>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</si>
  <si>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</si>
  <si>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</si>
  <si>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</si>
  <si>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</si>
  <si>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</si>
  <si>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</si>
  <si>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</si>
  <si>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</si>
  <si>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</si>
  <si>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</si>
  <si>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</si>
  <si>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</si>
  <si>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</si>
  <si>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</si>
  <si>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</si>
  <si>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</si>
  <si>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</si>
  <si>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</si>
  <si>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</si>
  <si>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</si>
  <si>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</si>
  <si>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</si>
  <si>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</si>
  <si>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</si>
  <si>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</si>
  <si>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</si>
  <si>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</si>
  <si>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</si>
  <si>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</si>
  <si>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</si>
  <si>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</si>
  <si>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</si>
  <si>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</si>
  <si>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</si>
  <si>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</si>
  <si>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</si>
  <si>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</si>
  <si>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</si>
  <si>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</si>
  <si>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</si>
  <si>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</si>
  <si>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</si>
  <si>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</si>
  <si>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</si>
  <si>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</si>
  <si>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</si>
  <si>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</si>
  <si>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</si>
  <si>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</si>
  <si>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</si>
  <si>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</si>
  <si>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</si>
  <si>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</si>
  <si>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</si>
  <si>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</si>
  <si>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</si>
  <si>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</si>
  <si>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</si>
  <si>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</si>
  <si>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</si>
  <si>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</si>
  <si>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</si>
  <si>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</si>
  <si>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</si>
  <si>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</si>
  <si>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</si>
  <si>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</si>
  <si>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</si>
  <si>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</si>
  <si>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</si>
  <si>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</si>
  <si>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</si>
  <si>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</si>
  <si>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</si>
  <si>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</si>
  <si>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</si>
  <si>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</si>
  <si>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</si>
  <si>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</si>
  <si>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</si>
  <si>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</si>
  <si>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</si>
  <si>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</si>
  <si>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</si>
  <si>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</si>
  <si>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</si>
  <si>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</si>
  <si>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</si>
  <si>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</si>
  <si>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</si>
  <si>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</si>
  <si>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</si>
  <si>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</si>
  <si>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</si>
  <si>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</si>
  <si>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</si>
  <si>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</si>
  <si>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</si>
  <si>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</si>
  <si>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</si>
  <si>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</si>
  <si>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</si>
  <si>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</si>
  <si>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</si>
  <si>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</si>
  <si>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</si>
  <si>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</si>
  <si>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</si>
  <si>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</si>
  <si>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</si>
  <si>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</si>
  <si>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</si>
  <si>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</si>
  <si>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</si>
  <si>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</si>
  <si>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</si>
  <si>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</si>
  <si>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</si>
  <si>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</si>
  <si>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</si>
  <si>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</si>
  <si>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</si>
  <si>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</si>
  <si>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</si>
  <si>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</si>
  <si>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</si>
  <si>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</si>
  <si>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</si>
  <si>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</si>
  <si>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</si>
  <si>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</si>
  <si>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</si>
  <si>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</si>
  <si>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</si>
  <si>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</si>
  <si>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</si>
  <si>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</si>
  <si>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</si>
  <si>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</si>
  <si>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</si>
  <si>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</si>
  <si>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</si>
  <si>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</si>
  <si>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</si>
  <si>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</si>
  <si>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</si>
  <si>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</si>
  <si>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</si>
  <si>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</si>
  <si>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</si>
  <si>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</si>
  <si>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</si>
  <si>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</si>
  <si>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</si>
  <si>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</si>
  <si>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</si>
  <si>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</si>
  <si>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</si>
  <si>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</si>
  <si>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</si>
  <si>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</si>
  <si>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</si>
  <si>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</si>
  <si>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</si>
  <si>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</si>
  <si>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</si>
  <si>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</si>
  <si>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</si>
  <si>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</si>
  <si>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</si>
  <si>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</si>
  <si>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</si>
  <si>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</si>
  <si>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</si>
  <si>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</si>
  <si>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</si>
  <si>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</si>
  <si>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</si>
  <si>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</si>
  <si>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</si>
  <si>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</si>
  <si>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</si>
  <si>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</si>
  <si>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</si>
  <si>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</si>
  <si>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</si>
  <si>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</si>
  <si>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</si>
  <si>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</si>
  <si>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</si>
  <si>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</si>
  <si>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</si>
  <si>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</si>
  <si>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</si>
  <si>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</si>
  <si>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</si>
  <si>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</si>
  <si>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</si>
  <si>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</si>
  <si>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</si>
  <si>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</si>
  <si>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</si>
  <si>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</si>
  <si>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</si>
  <si>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</si>
  <si>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</si>
  <si>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</si>
  <si>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</si>
  <si>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</si>
  <si>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</si>
  <si>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</si>
  <si>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</si>
  <si>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</si>
  <si>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</si>
  <si>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</si>
  <si>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</si>
  <si>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</si>
  <si>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</si>
  <si>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</si>
  <si>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</si>
  <si>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</si>
  <si>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</si>
  <si>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</si>
  <si>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</si>
  <si>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</si>
  <si>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</si>
  <si>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</si>
  <si>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</si>
  <si>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</si>
  <si>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</si>
  <si>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</si>
  <si>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</si>
  <si>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</si>
  <si>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</si>
  <si>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</si>
  <si>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</si>
  <si>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</si>
  <si>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</si>
  <si>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</si>
  <si>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</si>
  <si>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</si>
  <si>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</si>
  <si>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</si>
  <si>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</si>
  <si>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</si>
  <si>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</si>
  <si>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</si>
  <si>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</si>
  <si>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</si>
  <si>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</si>
  <si>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</si>
  <si>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</si>
  <si>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</si>
  <si>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</si>
  <si>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</si>
  <si>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</si>
  <si>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</si>
  <si>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</si>
  <si>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</si>
  <si>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</si>
  <si>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</si>
  <si>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</si>
  <si>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</si>
  <si>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</si>
  <si>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</si>
  <si>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</si>
  <si>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</si>
  <si>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</si>
  <si>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</si>
  <si>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</si>
  <si>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</si>
  <si>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</si>
  <si>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</si>
  <si>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</si>
  <si>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</si>
  <si>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</si>
  <si>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</si>
  <si>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</si>
  <si>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</si>
  <si>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</si>
  <si>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</si>
  <si>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</si>
  <si>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</si>
  <si>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</si>
  <si>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</si>
  <si>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</si>
  <si>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</si>
  <si>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</si>
  <si>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</si>
  <si>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</si>
  <si>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</si>
  <si>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</si>
  <si>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</si>
  <si>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</si>
  <si>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</si>
  <si>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</si>
  <si>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</si>
  <si>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</si>
  <si>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</si>
  <si>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</si>
  <si>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</si>
  <si>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</si>
  <si>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</si>
  <si>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</si>
  <si>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</si>
  <si>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</si>
  <si>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</si>
  <si>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</si>
  <si>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</si>
  <si>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</si>
  <si>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</si>
  <si>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</si>
  <si>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</si>
  <si>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</si>
  <si>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</si>
  <si>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</si>
  <si>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</si>
  <si>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</si>
  <si>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</si>
  <si>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</si>
  <si>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</si>
  <si>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</si>
  <si>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</si>
  <si>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</si>
  <si>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</si>
  <si>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</si>
  <si>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</si>
  <si>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</si>
  <si>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</si>
  <si>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</si>
  <si>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</si>
  <si>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</si>
  <si>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</si>
  <si>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</si>
  <si>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</si>
  <si>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</si>
  <si>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</si>
  <si>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</si>
  <si>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</si>
  <si>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</si>
  <si>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</si>
  <si>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</si>
  <si>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</si>
  <si>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</si>
  <si>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</si>
  <si>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</si>
  <si>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</si>
  <si>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</si>
  <si>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</si>
  <si>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</si>
  <si>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</si>
  <si>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</si>
  <si>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</si>
  <si>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</si>
  <si>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</si>
  <si>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</si>
  <si>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</si>
  <si>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</si>
  <si>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</si>
  <si>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</si>
  <si>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</si>
  <si>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</si>
  <si>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</si>
  <si>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</si>
  <si>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</si>
  <si>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</si>
  <si>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</si>
  <si>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</si>
  <si>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</si>
  <si>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</si>
  <si>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</si>
  <si>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</si>
  <si>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</si>
  <si>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</si>
  <si>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</si>
  <si>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</si>
  <si>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</si>
  <si>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</si>
  <si>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</si>
  <si>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</si>
  <si>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</si>
  <si>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</si>
  <si>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</si>
  <si>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</si>
  <si>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</si>
  <si>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</si>
  <si>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</si>
  <si>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</si>
  <si>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</si>
  <si>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</si>
  <si>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</si>
  <si>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</si>
  <si>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</si>
  <si>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</si>
  <si>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</si>
  <si>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</si>
  <si>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</si>
  <si>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</si>
  <si>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</si>
  <si>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</si>
  <si>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</si>
  <si>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</si>
  <si>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</si>
  <si>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</si>
  <si>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</si>
  <si>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</si>
  <si>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</si>
  <si>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</si>
  <si>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</si>
  <si>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</si>
  <si>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</si>
  <si>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</si>
  <si>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</si>
  <si>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</si>
  <si>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</si>
  <si>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</si>
  <si>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</si>
  <si>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</si>
  <si>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</si>
  <si>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</si>
  <si>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</si>
  <si>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</si>
  <si>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</si>
  <si>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</si>
  <si>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</si>
  <si>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</si>
  <si>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</si>
  <si>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</si>
  <si>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</si>
  <si>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</si>
  <si>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</si>
  <si>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</si>
  <si>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</si>
  <si>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</si>
  <si>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</si>
  <si>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</si>
  <si>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</si>
  <si>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</si>
  <si>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</si>
  <si>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</si>
  <si>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</si>
  <si>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</si>
  <si>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</si>
  <si>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</si>
  <si>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</si>
  <si>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</si>
  <si>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</si>
  <si>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</si>
  <si>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</si>
  <si>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</si>
  <si>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</si>
  <si>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</si>
  <si>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</si>
  <si>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</si>
  <si>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</si>
  <si>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</si>
  <si>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</si>
  <si>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</si>
  <si>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</si>
  <si>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</si>
  <si>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</si>
  <si>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</si>
  <si>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</si>
  <si>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</si>
  <si>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</si>
  <si>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</si>
  <si>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</si>
  <si>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</si>
  <si>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</si>
  <si>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</si>
  <si>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</si>
  <si>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</si>
  <si>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</si>
  <si>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</si>
  <si>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</si>
  <si>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</si>
  <si>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</si>
  <si>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</si>
  <si>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</si>
  <si>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</si>
  <si>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</si>
  <si>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</si>
  <si>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</si>
  <si>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</si>
  <si>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</si>
  <si>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</si>
  <si>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</si>
  <si>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</si>
  <si>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</si>
  <si>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</si>
  <si>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</si>
  <si>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</si>
  <si>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</si>
  <si>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</si>
  <si>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</si>
  <si>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</si>
  <si>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</si>
  <si>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</si>
  <si>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</si>
  <si>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</si>
  <si>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</si>
  <si>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</si>
  <si>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</si>
  <si>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</si>
  <si>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</si>
  <si>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</si>
  <si>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</si>
  <si>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</si>
  <si>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</si>
  <si>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</si>
  <si>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</si>
  <si>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</si>
  <si>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</si>
  <si>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</si>
  <si>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</si>
  <si>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</si>
  <si>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</si>
  <si>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</si>
  <si>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</si>
  <si>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</si>
  <si>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</si>
  <si>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</si>
  <si>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</si>
  <si>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</si>
  <si>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</si>
  <si>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</si>
  <si>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</si>
  <si>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</si>
  <si>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</si>
  <si>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</si>
  <si>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</si>
  <si>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</si>
  <si>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</si>
  <si>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</si>
  <si>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</si>
  <si>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</si>
  <si>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</si>
  <si>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</si>
  <si>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</si>
  <si>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</si>
  <si>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</si>
  <si>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</si>
  <si>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</si>
  <si>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</si>
  <si>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</si>
  <si>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</si>
  <si>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</si>
  <si>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</si>
  <si>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</si>
  <si>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</si>
  <si>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</si>
  <si>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</si>
  <si>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</si>
  <si>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</si>
  <si>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</si>
  <si>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</si>
  <si>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</si>
  <si>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</si>
  <si>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</si>
  <si>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</si>
  <si>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</si>
  <si>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</si>
  <si>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</si>
  <si>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</si>
  <si>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</si>
  <si>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</si>
  <si>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</si>
  <si>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</si>
  <si>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</si>
  <si>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</si>
  <si>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</si>
  <si>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</si>
  <si>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</si>
  <si>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</si>
  <si>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</si>
  <si>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</si>
  <si>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</si>
  <si>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</si>
  <si>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</si>
  <si>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</si>
  <si>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</si>
  <si>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</si>
  <si>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</si>
  <si>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</si>
  <si>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</si>
  <si>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</si>
  <si>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</si>
  <si>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</si>
  <si>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</si>
  <si>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</si>
  <si>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</si>
  <si>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</si>
  <si>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</si>
  <si>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</si>
  <si>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</si>
  <si>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</si>
  <si>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</si>
  <si>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</si>
  <si>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</si>
  <si>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</si>
  <si>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</si>
  <si>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</si>
  <si>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</si>
  <si>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</si>
  <si>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</si>
  <si>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</si>
  <si>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</si>
  <si>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</si>
  <si>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</si>
  <si>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</si>
  <si>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</si>
  <si>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</si>
  <si>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</si>
  <si>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</si>
  <si>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</si>
  <si>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</si>
  <si>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</si>
  <si>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</si>
  <si>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</si>
  <si>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</si>
  <si>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</si>
  <si>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</si>
  <si>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</si>
  <si>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</si>
  <si>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</si>
  <si>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</si>
  <si>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</si>
  <si>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</si>
  <si>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</si>
  <si>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</si>
  <si>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</si>
  <si>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</si>
  <si>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</si>
  <si>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</si>
  <si>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</si>
  <si>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</si>
  <si>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</si>
  <si>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</si>
  <si>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</si>
  <si>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</si>
  <si>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</si>
  <si>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</si>
  <si>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</si>
  <si>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</si>
  <si>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</si>
  <si>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</si>
  <si>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</si>
  <si>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</si>
  <si>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</si>
  <si>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</si>
  <si>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</si>
  <si>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</si>
  <si>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</si>
  <si>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</si>
  <si>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</si>
  <si>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</si>
  <si>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</si>
  <si>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</si>
  <si>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</si>
  <si>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</si>
  <si>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</si>
  <si>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</si>
  <si>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</si>
  <si>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</si>
  <si>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</si>
  <si>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</si>
  <si>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</si>
  <si>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</si>
  <si>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</si>
  <si>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</si>
  <si>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</si>
  <si>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</si>
  <si>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</si>
  <si>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</si>
  <si>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</si>
  <si>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</si>
  <si>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</si>
  <si>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</si>
  <si>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</si>
  <si>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</si>
  <si>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</si>
  <si>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</si>
  <si>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</si>
  <si>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</si>
  <si>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</si>
  <si>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</si>
  <si>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</si>
  <si>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</si>
  <si>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</si>
  <si>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</si>
  <si>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</si>
  <si>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</si>
  <si>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</si>
  <si>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</si>
  <si>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</si>
  <si>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</si>
  <si>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</si>
  <si>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</si>
  <si>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</si>
  <si>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</si>
  <si>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</si>
  <si>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</si>
  <si>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</si>
  <si>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</si>
  <si>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</si>
  <si>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</si>
  <si>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</si>
  <si>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</si>
  <si>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</si>
  <si>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</si>
  <si>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</si>
  <si>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</si>
  <si>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</si>
  <si>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</si>
  <si>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</si>
  <si>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</si>
  <si>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</si>
  <si>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</si>
  <si>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</si>
  <si>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</si>
  <si>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</si>
  <si>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</si>
  <si>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</si>
  <si>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</si>
  <si>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</si>
  <si>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</si>
  <si>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</si>
  <si>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</si>
  <si>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</si>
  <si>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</si>
  <si>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</si>
  <si>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</si>
  <si>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</si>
  <si>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</si>
  <si>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</si>
  <si>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</si>
  <si>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</si>
  <si>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</si>
  <si>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</si>
  <si>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</si>
  <si>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</si>
  <si>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</si>
  <si>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</si>
  <si>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</si>
  <si>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</si>
  <si>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</si>
  <si>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</si>
  <si>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</si>
  <si>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</si>
  <si>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</si>
  <si>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</si>
  <si>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</si>
  <si>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</si>
  <si>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</si>
  <si>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</si>
  <si>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</si>
  <si>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</si>
  <si>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</si>
  <si>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</si>
  <si>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</si>
  <si>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</si>
  <si>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</si>
  <si>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</si>
  <si>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</si>
  <si>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</si>
  <si>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</si>
  <si>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</si>
  <si>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</si>
  <si>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</si>
  <si>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</si>
  <si>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</si>
  <si>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</si>
  <si>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</si>
  <si>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</si>
  <si>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</si>
  <si>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</si>
  <si>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</si>
  <si>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</si>
  <si>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</si>
  <si>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</si>
  <si>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</si>
  <si>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</si>
  <si>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</si>
  <si>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</si>
  <si>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</si>
  <si>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</si>
  <si>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</si>
  <si>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</si>
  <si>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</si>
  <si>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</si>
  <si>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</si>
  <si>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</si>
  <si>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</si>
  <si>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</si>
  <si>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</si>
  <si>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</si>
  <si>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</si>
  <si>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</si>
  <si>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</si>
  <si>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</si>
  <si>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</si>
  <si>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</si>
  <si>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</si>
  <si>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</si>
  <si>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</si>
  <si>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</si>
  <si>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</si>
  <si>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</si>
  <si>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</si>
  <si>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</si>
  <si>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</si>
  <si>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</si>
  <si>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</si>
  <si>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</si>
  <si>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</si>
  <si>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</si>
  <si>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</si>
  <si>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</si>
  <si>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</si>
  <si>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</si>
  <si>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</si>
  <si>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</si>
  <si>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</si>
  <si>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</si>
  <si>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</si>
  <si>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</si>
  <si>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</si>
  <si>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</si>
  <si>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</si>
  <si>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</si>
  <si>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</si>
  <si>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</si>
  <si>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</si>
  <si>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</si>
  <si>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</si>
  <si>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</si>
  <si>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</si>
  <si>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</si>
  <si>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</si>
  <si>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</si>
  <si>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</si>
  <si>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</si>
  <si>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</si>
  <si>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</si>
  <si>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</si>
  <si>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</si>
  <si>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</si>
  <si>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</si>
  <si>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</si>
  <si>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</si>
  <si>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</si>
  <si>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</si>
  <si>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</si>
  <si>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</si>
  <si>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</si>
  <si>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</si>
  <si>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</si>
  <si>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</si>
  <si>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</si>
  <si>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</si>
  <si>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</si>
  <si>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</si>
  <si>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</si>
  <si>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</si>
  <si>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</si>
  <si>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</si>
  <si>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</si>
  <si>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</si>
  <si>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</si>
  <si>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</si>
  <si>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</si>
  <si>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</si>
  <si>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</si>
  <si>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</si>
  <si>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</si>
  <si>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</si>
  <si>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</si>
  <si>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</si>
  <si>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</si>
  <si>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</si>
  <si>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</si>
  <si>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</si>
  <si>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</si>
  <si>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</si>
  <si>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</si>
  <si>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</si>
  <si>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</si>
  <si>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</si>
  <si>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</si>
  <si>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</si>
  <si>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</si>
  <si>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</si>
  <si>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</si>
  <si>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</si>
  <si>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</si>
  <si>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</si>
  <si>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</si>
  <si>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</si>
  <si>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</si>
  <si>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</si>
  <si>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</si>
  <si>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</si>
  <si>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</si>
  <si>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</si>
  <si>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</si>
  <si>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</si>
  <si>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</si>
  <si>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</si>
  <si>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</si>
  <si>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</si>
  <si>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</si>
  <si>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</si>
  <si>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</si>
  <si>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</si>
  <si>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</si>
  <si>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</si>
  <si>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</si>
  <si>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</si>
  <si>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</si>
  <si>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</si>
  <si>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</si>
  <si>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</si>
  <si>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</si>
  <si>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</si>
  <si>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</si>
  <si>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</si>
  <si>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</si>
  <si>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</si>
  <si>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</si>
  <si>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</si>
  <si>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</si>
  <si>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</si>
  <si>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</si>
  <si>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</si>
  <si>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</si>
  <si>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</si>
  <si>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</si>
  <si>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</si>
  <si>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</si>
  <si>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</si>
  <si>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</si>
  <si>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</si>
  <si>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</si>
  <si>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</si>
  <si>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</si>
  <si>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</si>
  <si>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</si>
  <si>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</si>
  <si>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</si>
  <si>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</si>
  <si>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</si>
  <si>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</si>
  <si>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</si>
  <si>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</si>
  <si>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</si>
  <si>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</si>
  <si>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</si>
  <si>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</si>
  <si>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</si>
  <si>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</si>
  <si>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</si>
  <si>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</si>
  <si>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</si>
  <si>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</si>
  <si>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</si>
  <si>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</si>
  <si>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</si>
  <si>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</si>
  <si>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</si>
  <si>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</si>
  <si>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</si>
  <si>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</si>
  <si>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</si>
  <si>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</si>
  <si>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</si>
  <si>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</si>
  <si>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</si>
  <si>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</si>
  <si>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</si>
  <si>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</si>
  <si>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</si>
  <si>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</si>
  <si>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</si>
  <si>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</si>
  <si>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</si>
  <si>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</si>
  <si>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</si>
  <si>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</si>
  <si>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</si>
  <si>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</si>
  <si>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</si>
  <si>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</si>
  <si>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</si>
  <si>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</si>
  <si>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</si>
  <si>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</si>
  <si>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</si>
  <si>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</si>
  <si>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</si>
  <si>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</si>
  <si>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</si>
  <si>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</si>
  <si>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</si>
  <si>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</si>
  <si>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</si>
  <si>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</si>
  <si>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</si>
  <si>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</si>
  <si>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</si>
  <si>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</si>
  <si>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</si>
  <si>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</si>
  <si>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</si>
  <si>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</si>
  <si>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</si>
  <si>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</si>
  <si>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</si>
  <si>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</si>
  <si>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</si>
  <si>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</si>
  <si>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</si>
  <si>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</si>
  <si>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</si>
  <si>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</si>
  <si>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</si>
  <si>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</si>
  <si>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</si>
  <si>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</si>
  <si>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</si>
  <si>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</si>
  <si>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</si>
  <si>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</si>
  <si>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</si>
  <si>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</si>
  <si>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</si>
  <si>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</si>
  <si>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</si>
  <si>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</si>
  <si>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</si>
  <si>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</si>
  <si>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</si>
  <si>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</si>
  <si>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</si>
  <si>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</si>
  <si>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</si>
  <si>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</si>
  <si>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</si>
  <si>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</si>
  <si>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</si>
  <si>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</si>
  <si>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</si>
  <si>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</si>
  <si>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</si>
  <si>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</si>
  <si>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</si>
  <si>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</si>
  <si>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</si>
  <si>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</si>
  <si>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</si>
  <si>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</si>
  <si>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</si>
  <si>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</si>
  <si>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</si>
  <si>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</si>
  <si>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</si>
  <si>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</si>
  <si>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</si>
  <si>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</si>
  <si>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</si>
  <si>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</si>
  <si>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</si>
  <si>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</si>
  <si>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</si>
  <si>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</si>
  <si>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</si>
  <si>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</si>
  <si>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</si>
  <si>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</si>
  <si>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</si>
  <si>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</si>
  <si>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</si>
  <si>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</si>
  <si>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</si>
  <si>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</si>
  <si>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</si>
  <si>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</si>
  <si>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</si>
  <si>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</si>
  <si>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</si>
  <si>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</si>
  <si>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</si>
  <si>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</si>
  <si>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</si>
  <si>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</si>
  <si>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</si>
  <si>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</si>
  <si>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</si>
  <si>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</si>
  <si>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</si>
  <si>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</si>
  <si>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</si>
  <si>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</si>
  <si>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</si>
  <si>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</si>
  <si>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</si>
  <si>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</si>
  <si>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</si>
  <si>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</si>
  <si>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</si>
  <si>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</si>
  <si>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</si>
  <si>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</si>
  <si>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</si>
  <si>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</si>
  <si>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</si>
  <si>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</si>
  <si>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</si>
  <si>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</si>
  <si>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</si>
  <si>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</si>
  <si>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</si>
  <si>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</si>
  <si>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</si>
  <si>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</si>
  <si>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</si>
  <si>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</si>
  <si>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</si>
  <si>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</si>
  <si>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</si>
  <si>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</si>
  <si>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</si>
  <si>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</si>
  <si>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</si>
  <si>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</si>
  <si>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</si>
  <si>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</si>
  <si>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</si>
  <si>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</si>
  <si>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</si>
  <si>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</si>
  <si>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</si>
  <si>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</si>
  <si>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</si>
  <si>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</si>
  <si>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</si>
  <si>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</si>
  <si>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</si>
  <si>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</si>
  <si>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</si>
  <si>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</si>
  <si>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</si>
  <si>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</si>
  <si>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</si>
  <si>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</si>
  <si>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</si>
  <si>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</si>
  <si>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</si>
  <si>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</si>
  <si>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</si>
  <si>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</si>
  <si>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</si>
  <si>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</si>
  <si>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</si>
  <si>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</si>
  <si>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</si>
  <si>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</si>
  <si>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</si>
  <si>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</si>
  <si>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</si>
  <si>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</si>
  <si>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</si>
  <si>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</si>
  <si>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</si>
  <si>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</si>
  <si>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</si>
  <si>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</si>
  <si>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</si>
  <si>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</si>
  <si>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</si>
  <si>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</si>
  <si>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</si>
  <si>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</si>
  <si>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</si>
  <si>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</si>
  <si>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</si>
  <si>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</si>
  <si>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</si>
  <si>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</si>
  <si>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</si>
  <si>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</si>
  <si>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</si>
  <si>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</si>
  <si>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</si>
  <si>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</si>
  <si>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</si>
  <si>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</si>
  <si>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</si>
  <si>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</si>
  <si>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</si>
  <si>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</si>
  <si>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</si>
  <si>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</si>
  <si>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</si>
  <si>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</si>
  <si>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</si>
  <si>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</si>
  <si>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</si>
  <si>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</si>
  <si>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</si>
  <si>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</si>
  <si>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</si>
  <si>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</si>
  <si>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</si>
  <si>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</si>
  <si>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</si>
  <si>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</si>
  <si>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</si>
  <si>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</si>
  <si>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</si>
  <si>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</si>
  <si>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</si>
  <si>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</si>
  <si>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</si>
  <si>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</si>
  <si>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</si>
  <si>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</si>
  <si>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</si>
  <si>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</si>
  <si>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</si>
  <si>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</si>
  <si>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</si>
  <si>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</si>
  <si>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</si>
  <si>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</si>
  <si>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</si>
  <si>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</si>
  <si>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</si>
  <si>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</si>
  <si>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</si>
  <si>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</si>
  <si>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</si>
  <si>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</si>
  <si>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</si>
  <si>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</si>
  <si>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</si>
  <si>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</si>
  <si>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</si>
  <si>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</si>
  <si>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</si>
  <si>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</si>
  <si>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</si>
  <si>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</si>
  <si>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</si>
  <si>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</si>
  <si>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</si>
  <si>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</si>
  <si>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</si>
  <si>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</si>
  <si>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</si>
  <si>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</si>
  <si>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</si>
  <si>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</si>
  <si>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</si>
  <si>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</si>
  <si>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</si>
  <si>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</si>
  <si>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</si>
  <si>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</si>
  <si>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</si>
  <si>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</si>
  <si>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</si>
  <si>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</si>
  <si>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</si>
  <si>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</si>
  <si>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</si>
  <si>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</si>
  <si>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</si>
  <si>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</si>
  <si>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</si>
  <si>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</si>
  <si>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</si>
  <si>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</si>
  <si>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</si>
  <si>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</si>
  <si>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</si>
  <si>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</si>
  <si>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</si>
  <si>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</si>
  <si>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</si>
  <si>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</si>
  <si>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</si>
  <si>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</si>
  <si>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</si>
  <si>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</si>
  <si>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</si>
  <si>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</si>
  <si>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</si>
  <si>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</si>
  <si>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</si>
  <si>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</si>
  <si>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</si>
  <si>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</si>
  <si>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</si>
  <si>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</si>
  <si>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</si>
  <si>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</si>
  <si>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</si>
  <si>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</si>
  <si>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</si>
  <si>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</si>
  <si>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</si>
  <si>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</si>
  <si>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</si>
  <si>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</si>
  <si>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</si>
  <si>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</si>
  <si>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</si>
  <si>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</si>
  <si>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</si>
  <si>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</si>
  <si>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</si>
  <si>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</si>
  <si>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</si>
  <si>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</si>
  <si>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</si>
  <si>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</si>
  <si>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</si>
  <si>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</si>
  <si>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</si>
  <si>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</si>
  <si>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</si>
  <si>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</si>
  <si>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</si>
  <si>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</si>
  <si>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</si>
  <si>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</si>
  <si>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</si>
  <si>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</si>
  <si>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</si>
  <si>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</si>
  <si>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</si>
  <si>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</si>
  <si>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</si>
  <si>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</si>
  <si>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</si>
  <si>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</si>
  <si>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</si>
  <si>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</si>
  <si>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</si>
  <si>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</si>
  <si>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</si>
  <si>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</si>
  <si>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</si>
  <si>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</si>
  <si>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</si>
  <si>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</si>
  <si>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</si>
  <si>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</si>
  <si>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</si>
  <si>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</si>
  <si>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</si>
  <si>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</si>
  <si>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</si>
  <si>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</si>
  <si>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</si>
  <si>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</si>
  <si>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</si>
  <si>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</si>
  <si>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</si>
  <si>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</si>
  <si>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</si>
  <si>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</si>
  <si>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</si>
  <si>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</si>
  <si>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</si>
  <si>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</si>
  <si>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</si>
  <si>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</si>
  <si>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</si>
  <si>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</si>
  <si>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</si>
  <si>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</si>
  <si>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</si>
  <si>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</si>
  <si>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</si>
  <si>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</si>
  <si>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</si>
  <si>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</si>
  <si>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</si>
  <si>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</si>
  <si>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</si>
  <si>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</si>
  <si>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</si>
  <si>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</si>
  <si>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</si>
  <si>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</si>
  <si>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</si>
  <si>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</si>
  <si>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</si>
  <si>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</si>
  <si>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</si>
  <si>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</si>
  <si>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</si>
  <si>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</si>
  <si>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</si>
  <si>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</si>
  <si>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</si>
  <si>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</si>
  <si>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</si>
  <si>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</si>
  <si>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</si>
  <si>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</si>
  <si>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</si>
  <si>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</si>
  <si>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</si>
  <si>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</si>
  <si>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</si>
  <si>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</si>
  <si>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</si>
  <si>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</si>
  <si>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</si>
  <si>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</si>
  <si>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</si>
  <si>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</si>
  <si>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</si>
  <si>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</si>
  <si>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</si>
  <si>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</si>
  <si>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</si>
  <si>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</si>
  <si>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</si>
  <si>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</si>
  <si>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</si>
  <si>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</si>
  <si>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</si>
  <si>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</si>
  <si>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</si>
  <si>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</si>
  <si>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</si>
  <si>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</si>
  <si>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</si>
  <si>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</si>
  <si>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</si>
  <si>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</si>
  <si>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</si>
  <si>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</si>
  <si>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</si>
  <si>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</si>
  <si>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</si>
  <si>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</si>
  <si>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</si>
  <si>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</si>
  <si>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</si>
  <si>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</si>
  <si>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</si>
  <si>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</si>
  <si>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</si>
  <si>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</si>
  <si>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</si>
  <si>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</si>
  <si>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</si>
  <si>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</si>
  <si>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</si>
  <si>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</si>
  <si>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</si>
  <si>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</si>
  <si>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</si>
  <si>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</si>
  <si>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</si>
  <si>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</si>
  <si>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</si>
  <si>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</si>
  <si>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</si>
  <si>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</si>
  <si>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</si>
  <si>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</si>
  <si>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</si>
  <si>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</si>
  <si>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</si>
  <si>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</si>
  <si>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</si>
  <si>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</si>
  <si>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</si>
  <si>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</si>
  <si>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</si>
  <si>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</si>
  <si>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</si>
  <si>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</si>
  <si>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</si>
  <si>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</si>
  <si>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</si>
  <si>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</si>
  <si>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</si>
  <si>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</si>
  <si>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</si>
  <si>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</si>
  <si>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</si>
  <si>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</si>
  <si>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</si>
  <si>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</si>
  <si>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</si>
  <si>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</si>
  <si>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</si>
  <si>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</si>
  <si>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</si>
  <si>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</si>
  <si>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</si>
  <si>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</si>
  <si>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</si>
  <si>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</si>
  <si>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</si>
  <si>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</si>
  <si>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</si>
  <si>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</si>
  <si>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</si>
  <si>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</si>
  <si>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</si>
  <si>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</si>
  <si>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</si>
  <si>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</si>
  <si>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</si>
  <si>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</si>
  <si>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</si>
  <si>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</si>
  <si>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</si>
  <si>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</si>
  <si>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</si>
  <si>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</si>
  <si>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</si>
  <si>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</si>
  <si>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</si>
  <si>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</si>
  <si>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</si>
  <si>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</si>
  <si>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</si>
  <si>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</si>
  <si>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</si>
  <si>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</si>
  <si>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</si>
  <si>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</si>
  <si>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</si>
  <si>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</si>
  <si>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</si>
  <si>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</si>
  <si>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</si>
  <si>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</si>
  <si>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</si>
  <si>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</si>
  <si>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</si>
  <si>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</si>
  <si>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</si>
  <si>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</si>
  <si>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</si>
  <si>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</si>
  <si>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</si>
  <si>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</si>
  <si>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</si>
  <si>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</si>
  <si>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</si>
  <si>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</si>
  <si>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</si>
  <si>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</si>
  <si>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</si>
  <si>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</si>
  <si>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</si>
  <si>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</si>
  <si>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</si>
  <si>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</si>
  <si>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</si>
  <si>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</si>
  <si>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</si>
  <si>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</si>
  <si>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</si>
  <si>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</si>
  <si>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</si>
  <si>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</si>
  <si>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</si>
  <si>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</si>
  <si>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</si>
  <si>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</si>
  <si>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</si>
  <si>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</si>
  <si>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</si>
  <si>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</si>
  <si>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</si>
  <si>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</si>
  <si>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</si>
  <si>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</si>
  <si>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</si>
  <si>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</si>
  <si>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</si>
  <si>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</si>
  <si>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</si>
  <si>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</si>
  <si>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</si>
  <si>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</si>
  <si>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</si>
  <si>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</si>
  <si>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</si>
  <si>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</si>
  <si>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</si>
  <si>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</si>
  <si>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</si>
  <si>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</si>
  <si>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</si>
  <si>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</si>
  <si>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</si>
  <si>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</si>
  <si>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</si>
  <si>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</si>
  <si>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</si>
  <si>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</si>
  <si>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</si>
  <si>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</si>
  <si>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</si>
  <si>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</si>
  <si>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</si>
  <si>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</si>
  <si>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</si>
  <si>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</si>
  <si>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</si>
  <si>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</si>
  <si>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</si>
  <si>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</si>
  <si>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</si>
  <si>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</si>
  <si>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</si>
  <si>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</si>
  <si>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</si>
  <si>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</si>
  <si>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</si>
  <si>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</si>
  <si>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</si>
  <si>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</si>
  <si>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</si>
  <si>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</si>
  <si>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</si>
  <si>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</si>
  <si>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</si>
  <si>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</si>
  <si>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</si>
  <si>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</si>
  <si>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</si>
  <si>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</si>
  <si>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</si>
  <si>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</si>
  <si>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</si>
  <si>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</si>
  <si>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</si>
  <si>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</si>
  <si>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</si>
  <si>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</si>
  <si>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</si>
  <si>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</si>
  <si>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</si>
  <si>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</si>
  <si>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</si>
  <si>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</si>
  <si>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</si>
  <si>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</si>
  <si>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</si>
  <si>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</si>
  <si>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</si>
  <si>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</si>
  <si>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</si>
  <si>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</si>
  <si>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</si>
  <si>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</si>
  <si>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</si>
  <si>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</si>
  <si>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</si>
  <si>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</si>
  <si>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</si>
  <si>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</si>
  <si>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</si>
  <si>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</si>
  <si>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</si>
  <si>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</si>
  <si>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</si>
  <si>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</si>
  <si>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</si>
  <si>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</si>
  <si>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</si>
  <si>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</si>
  <si>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</si>
  <si>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</si>
  <si>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</si>
  <si>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</si>
  <si>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</si>
  <si>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</si>
  <si>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</si>
  <si>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</si>
  <si>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</si>
  <si>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</si>
  <si>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</si>
  <si>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</si>
  <si>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</si>
  <si>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</si>
  <si>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</si>
  <si>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</si>
  <si>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</si>
  <si>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</si>
  <si>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</si>
  <si>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</si>
  <si>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</si>
  <si>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</si>
  <si>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</si>
  <si>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</si>
  <si>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</si>
  <si>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</si>
  <si>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</si>
  <si>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</si>
  <si>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</si>
  <si>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</si>
  <si>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</si>
  <si>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</si>
  <si>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</si>
  <si>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</si>
  <si>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</si>
  <si>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</si>
  <si>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</si>
  <si>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</si>
  <si>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</si>
  <si>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</si>
  <si>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</si>
  <si>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</si>
  <si>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</si>
  <si>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</si>
  <si>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</si>
  <si>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</si>
  <si>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</si>
  <si>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</si>
  <si>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</si>
  <si>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</si>
  <si>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</si>
  <si>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</si>
  <si>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</si>
  <si>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</si>
  <si>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</si>
  <si>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</si>
  <si>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</si>
  <si>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</si>
  <si>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</si>
  <si>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</si>
  <si>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</si>
  <si>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</si>
  <si>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</si>
  <si>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</si>
  <si>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</si>
  <si>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</si>
  <si>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</si>
  <si>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</si>
  <si>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</si>
  <si>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</si>
  <si>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</si>
  <si>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</si>
  <si>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</si>
  <si>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</si>
  <si>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</si>
  <si>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</si>
  <si>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</si>
  <si>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</si>
  <si>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</si>
  <si>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</si>
  <si>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</si>
  <si>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</si>
  <si>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</si>
  <si>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</si>
  <si>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</si>
  <si>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</si>
  <si>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</si>
  <si>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</si>
  <si>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</si>
  <si>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</si>
  <si>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</si>
  <si>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</si>
  <si>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</si>
  <si>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</si>
  <si>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</si>
  <si>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</si>
  <si>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</si>
  <si>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</si>
  <si>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</si>
  <si>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</si>
  <si>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</si>
  <si>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</si>
  <si>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</si>
  <si>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</si>
  <si>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</si>
  <si>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</si>
  <si>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</si>
  <si>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</si>
  <si>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</si>
  <si>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</si>
  <si>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</si>
  <si>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</si>
  <si>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</si>
  <si>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</si>
  <si>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</si>
  <si>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</si>
  <si>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</si>
  <si>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</si>
  <si>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</si>
  <si>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</si>
  <si>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</si>
  <si>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</si>
  <si>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</si>
  <si>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</si>
  <si>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</si>
  <si>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</si>
  <si>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</si>
  <si>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</si>
  <si>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</si>
  <si>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</si>
  <si>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</si>
  <si>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</si>
  <si>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</si>
  <si>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</si>
  <si>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</si>
  <si>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</si>
  <si>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</si>
  <si>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</si>
  <si>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</si>
  <si>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</si>
  <si>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</si>
  <si>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</si>
  <si>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</si>
  <si>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</si>
  <si>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</si>
  <si>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</si>
  <si>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</si>
  <si>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</si>
  <si>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</si>
  <si>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</si>
  <si>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</si>
  <si>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</si>
  <si>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</si>
  <si>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</si>
  <si>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</si>
  <si>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</si>
  <si>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</si>
  <si>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</si>
  <si>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</si>
  <si>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</si>
  <si>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</si>
  <si>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</si>
  <si>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</si>
  <si>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</si>
  <si>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</si>
  <si>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</si>
  <si>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</si>
  <si>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</si>
  <si>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</si>
  <si>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</si>
  <si>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</si>
  <si>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</si>
  <si>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</si>
  <si>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</si>
  <si>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</si>
  <si>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</si>
  <si>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</si>
  <si>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</si>
  <si>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</si>
  <si>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</si>
  <si>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</si>
  <si>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</si>
  <si>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</si>
  <si>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</si>
  <si>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</si>
  <si>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</si>
  <si>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</si>
  <si>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</si>
  <si>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</si>
  <si>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</si>
  <si>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</si>
  <si>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</si>
  <si>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</si>
  <si>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</si>
  <si>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</si>
  <si>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</si>
  <si>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</si>
  <si>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</si>
  <si>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</si>
  <si>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</si>
  <si>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</si>
  <si>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</si>
  <si>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</si>
  <si>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</si>
  <si>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</si>
  <si>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</si>
  <si>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</si>
  <si>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</si>
  <si>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</si>
  <si>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</si>
  <si>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</si>
  <si>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</si>
  <si>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</si>
  <si>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</si>
  <si>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</si>
  <si>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</si>
  <si>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</si>
  <si>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</si>
  <si>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</si>
  <si>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</si>
  <si>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</si>
  <si>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</si>
  <si>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</si>
  <si>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</si>
  <si>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</si>
  <si>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</si>
  <si>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</si>
  <si>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</si>
  <si>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</si>
  <si>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</si>
  <si>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</si>
  <si>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</si>
  <si>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</si>
  <si>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</si>
  <si>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</si>
  <si>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</si>
  <si>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</si>
  <si>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</si>
  <si>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</si>
  <si>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</si>
  <si>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</si>
  <si>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</si>
  <si>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</si>
  <si>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</si>
  <si>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</si>
  <si>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</si>
  <si>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</si>
  <si>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</si>
  <si>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</si>
  <si>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</si>
  <si>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</si>
  <si>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</si>
  <si>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</si>
  <si>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</si>
  <si>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</si>
  <si>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</si>
  <si>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</si>
  <si>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</si>
  <si>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</si>
  <si>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</si>
  <si>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</si>
  <si>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</si>
  <si>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</si>
  <si>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</si>
  <si>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</si>
  <si>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</si>
  <si>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</si>
  <si>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</si>
  <si>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</si>
  <si>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</si>
  <si>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</si>
  <si>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</si>
  <si>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</si>
  <si>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</si>
  <si>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</si>
  <si>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</si>
  <si>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</si>
  <si>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</si>
  <si>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</si>
  <si>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</si>
  <si>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</si>
  <si>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</si>
  <si>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</si>
  <si>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</si>
  <si>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</si>
  <si>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</si>
  <si>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</si>
  <si>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</si>
  <si>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</si>
  <si>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</si>
  <si>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</si>
  <si>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</si>
  <si>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</si>
  <si>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</si>
  <si>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</si>
  <si>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</si>
  <si>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</si>
  <si>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</si>
  <si>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</si>
  <si>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</si>
  <si>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</si>
  <si>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</si>
  <si>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</si>
  <si>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</si>
  <si>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</si>
  <si>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</si>
  <si>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</si>
  <si>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</si>
  <si>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</si>
  <si>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</si>
  <si>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</si>
  <si>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</si>
  <si>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</si>
  <si>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</si>
  <si>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</si>
  <si>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</si>
  <si>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</si>
  <si>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</si>
  <si>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</si>
  <si>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</si>
  <si>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</si>
  <si>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</si>
  <si>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</si>
  <si>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</si>
  <si>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</si>
  <si>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</si>
  <si>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</si>
  <si>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</si>
  <si>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</si>
  <si>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</si>
  <si>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</si>
  <si>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</si>
  <si>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</si>
  <si>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</si>
  <si>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</si>
  <si>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</si>
  <si>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</si>
  <si>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</si>
  <si>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</si>
  <si>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</si>
  <si>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</si>
  <si>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</si>
  <si>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</si>
  <si>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</si>
  <si>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</si>
  <si>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</si>
  <si>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</si>
  <si>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</si>
  <si>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</si>
  <si>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</si>
  <si>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</si>
  <si>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</si>
  <si>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</si>
  <si>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</si>
  <si>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</si>
  <si>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</si>
  <si>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</si>
  <si>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</si>
  <si>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</si>
  <si>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</si>
  <si>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</si>
  <si>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</si>
  <si>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</si>
  <si>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</si>
  <si>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</si>
  <si>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</si>
  <si>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</si>
  <si>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</si>
  <si>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</si>
  <si>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</si>
  <si>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</si>
  <si>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</si>
  <si>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</si>
  <si>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</si>
  <si>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</si>
  <si>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</si>
  <si>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</si>
  <si>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</si>
  <si>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</si>
  <si>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</si>
  <si>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</si>
  <si>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</si>
  <si>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</si>
  <si>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</si>
  <si>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</si>
  <si>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</si>
  <si>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</si>
  <si>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</si>
  <si>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</si>
  <si>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</si>
  <si>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</si>
  <si>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</si>
  <si>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</si>
  <si>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</si>
  <si>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</si>
  <si>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</si>
  <si>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</si>
  <si>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</si>
  <si>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</si>
  <si>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</si>
  <si>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</si>
  <si>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</si>
  <si>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</si>
  <si>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</si>
  <si>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</si>
  <si>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</si>
  <si>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</si>
  <si>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</si>
  <si>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</si>
  <si>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</si>
  <si>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</si>
  <si>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</si>
  <si>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</si>
  <si>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</si>
  <si>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</si>
  <si>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</si>
  <si>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</si>
  <si>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</si>
  <si>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</si>
  <si>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</si>
  <si>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</si>
  <si>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</si>
  <si>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</si>
  <si>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</si>
  <si>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</si>
  <si>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</si>
  <si>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</si>
  <si>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</si>
  <si>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</si>
  <si>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</si>
  <si>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</si>
  <si>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</si>
  <si>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</si>
  <si>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</si>
  <si>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</si>
  <si>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</si>
  <si>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</si>
  <si>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</si>
  <si>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</si>
  <si>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</si>
  <si>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</si>
  <si>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</si>
  <si>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</si>
  <si>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</si>
  <si>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</si>
  <si>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</si>
  <si>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</si>
  <si>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</si>
  <si>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</si>
  <si>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</si>
  <si>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</si>
  <si>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</si>
  <si>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</si>
  <si>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</si>
  <si>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</si>
  <si>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</si>
  <si>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</si>
  <si>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</si>
  <si>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</si>
  <si>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</si>
  <si>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</si>
  <si>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</si>
  <si>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</si>
  <si>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</si>
  <si>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</si>
  <si>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</si>
  <si>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</si>
  <si>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</si>
  <si>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</si>
  <si>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</si>
  <si>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</si>
  <si>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</si>
  <si>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</si>
  <si>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</si>
  <si>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</si>
  <si>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</si>
  <si>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</si>
  <si>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</si>
  <si>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</si>
  <si>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</si>
  <si>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</si>
  <si>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</si>
  <si>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</si>
  <si>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</si>
  <si>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</si>
  <si>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</si>
  <si>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</si>
  <si>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</si>
  <si>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</si>
  <si>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</si>
  <si>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</si>
  <si>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</si>
  <si>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</si>
  <si>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</si>
  <si>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</si>
  <si>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</si>
  <si>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</si>
  <si>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</si>
  <si>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</si>
  <si>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</si>
  <si>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</si>
  <si>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</si>
  <si>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</si>
  <si>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</si>
  <si>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</si>
  <si>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</si>
  <si>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</si>
  <si>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</si>
  <si>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</si>
  <si>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</si>
  <si>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</si>
  <si>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</si>
  <si>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</si>
  <si>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</si>
  <si>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</si>
  <si>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</si>
  <si>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</si>
  <si>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</si>
  <si>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</si>
  <si>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</si>
  <si>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</si>
  <si>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</si>
  <si>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</si>
  <si>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</si>
  <si>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</si>
  <si>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</si>
  <si>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</si>
  <si>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</si>
  <si>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</si>
  <si>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</si>
  <si>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</si>
  <si>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</si>
  <si>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</si>
  <si>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</si>
  <si>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</si>
  <si>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</si>
  <si>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</si>
  <si>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</si>
  <si>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</si>
  <si>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</si>
  <si>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</si>
  <si>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</si>
  <si>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</si>
  <si>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</si>
  <si>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</si>
  <si>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</si>
  <si>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</si>
  <si>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</si>
  <si>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</si>
  <si>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</si>
  <si>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</si>
  <si>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</si>
  <si>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</si>
  <si>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</si>
  <si>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</si>
  <si>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</si>
  <si>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</si>
  <si>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</si>
  <si>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</si>
  <si>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</si>
  <si>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</si>
  <si>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</si>
  <si>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</si>
  <si>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</si>
  <si>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</si>
  <si>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</si>
  <si>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</si>
  <si>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</si>
  <si>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</si>
  <si>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</si>
  <si>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</si>
  <si>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</si>
  <si>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</si>
  <si>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</si>
  <si>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</si>
  <si>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</si>
  <si>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</si>
  <si>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</si>
  <si>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</si>
  <si>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</si>
  <si>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</si>
  <si>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</si>
  <si>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</si>
  <si>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</si>
  <si>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</si>
  <si>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</si>
  <si>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</si>
  <si>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</si>
  <si>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</si>
  <si>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</si>
  <si>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</si>
  <si>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</si>
  <si>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</si>
  <si>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</si>
  <si>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</si>
  <si>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</si>
  <si>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</si>
  <si>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</si>
  <si>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</si>
  <si>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</si>
  <si>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</si>
  <si>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</si>
  <si>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</si>
  <si>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</si>
  <si>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</si>
  <si>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</si>
  <si>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</si>
  <si>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</si>
  <si>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</si>
  <si>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</si>
  <si>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</si>
  <si>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</si>
  <si>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</si>
  <si>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</si>
  <si>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</si>
  <si>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</si>
  <si>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</si>
  <si>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</si>
  <si>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</si>
  <si>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</si>
  <si>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</si>
  <si>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</si>
  <si>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</si>
  <si>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</si>
  <si>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</si>
  <si>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</si>
  <si>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</si>
  <si>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</si>
  <si>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</si>
  <si>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</si>
  <si>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</si>
  <si>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</si>
  <si>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</si>
  <si>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</si>
  <si>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</si>
  <si>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</si>
  <si>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</si>
  <si>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</si>
  <si>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</si>
  <si>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</si>
  <si>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</si>
  <si>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</si>
  <si>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</si>
  <si>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</si>
  <si>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</si>
  <si>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</si>
  <si>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</si>
  <si>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</si>
  <si>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</si>
  <si>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</si>
  <si>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</si>
  <si>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</si>
  <si>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</si>
  <si>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</si>
  <si>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</si>
  <si>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</si>
  <si>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</si>
  <si>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</si>
  <si>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</si>
  <si>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</si>
  <si>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</si>
  <si>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</si>
  <si>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</si>
  <si>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</si>
  <si>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</si>
  <si>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</si>
  <si>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</si>
  <si>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</si>
  <si>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</si>
  <si>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</si>
  <si>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</si>
  <si>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</si>
  <si>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</si>
  <si>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</si>
  <si>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</si>
  <si>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</si>
  <si>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</si>
  <si>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</si>
  <si>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</si>
  <si>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</si>
  <si>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</si>
  <si>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</si>
  <si>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</si>
  <si>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</si>
  <si>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</si>
  <si>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</si>
  <si>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</si>
  <si>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</si>
  <si>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</si>
  <si>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</si>
  <si>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</si>
  <si>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</si>
  <si>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</si>
  <si>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</si>
  <si>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</si>
  <si>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</si>
  <si>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</si>
  <si>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</si>
  <si>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</si>
  <si>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</si>
  <si>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</si>
  <si>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</si>
  <si>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</si>
  <si>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</si>
  <si>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</si>
  <si>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</si>
  <si>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</si>
  <si>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</si>
  <si>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</si>
  <si>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</si>
  <si>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</si>
  <si>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</si>
  <si>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</si>
  <si>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</si>
  <si>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</si>
  <si>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</si>
  <si>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</si>
  <si>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</si>
  <si>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</si>
  <si>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</si>
  <si>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</si>
  <si>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</si>
  <si>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</si>
  <si>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</si>
  <si>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</si>
  <si>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</si>
  <si>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</si>
  <si>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</si>
  <si>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</si>
  <si>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</si>
  <si>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</si>
  <si>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</si>
  <si>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</si>
  <si>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</si>
  <si>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</si>
  <si>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</si>
  <si>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</si>
  <si>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</si>
  <si>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</si>
  <si>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</si>
  <si>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</si>
  <si>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</si>
  <si>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</si>
  <si>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</si>
  <si>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</si>
  <si>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</si>
  <si>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</si>
  <si>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</si>
  <si>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</si>
  <si>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</si>
  <si>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</si>
  <si>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</si>
  <si>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</si>
  <si>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</si>
  <si>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</si>
  <si>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</si>
  <si>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</si>
  <si>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</si>
  <si>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</si>
  <si>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</si>
  <si>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</si>
  <si>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</si>
  <si>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</si>
  <si>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</si>
  <si>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</si>
  <si>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</si>
  <si>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</si>
  <si>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</si>
  <si>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</si>
  <si>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</si>
  <si>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</si>
  <si>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</si>
  <si>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</si>
  <si>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</si>
  <si>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</si>
  <si>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</si>
  <si>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</si>
  <si>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</si>
  <si>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</si>
  <si>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</si>
  <si>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</si>
  <si>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</si>
  <si>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</si>
  <si>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</si>
  <si>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</si>
  <si>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</si>
  <si>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</si>
  <si>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</si>
  <si>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</si>
  <si>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</si>
  <si>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</si>
  <si>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</si>
  <si>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</si>
  <si>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</si>
  <si>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</si>
  <si>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</si>
  <si>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</si>
  <si>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</si>
  <si>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</si>
  <si>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</si>
  <si>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</si>
  <si>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</si>
  <si>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</si>
  <si>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</si>
  <si>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</si>
  <si>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</si>
  <si>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</si>
  <si>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</si>
  <si>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</si>
  <si>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</si>
  <si>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</si>
  <si>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</si>
  <si>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</si>
  <si>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</si>
  <si>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</si>
  <si>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</si>
  <si>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</si>
  <si>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</si>
  <si>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</si>
  <si>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</si>
  <si>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</si>
  <si>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</si>
  <si>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</si>
  <si>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</si>
  <si>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</si>
  <si>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</si>
  <si>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</si>
  <si>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</si>
  <si>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</si>
  <si>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</si>
  <si>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</si>
  <si>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</si>
  <si>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</si>
  <si>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</si>
  <si>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</si>
  <si>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</si>
  <si>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</si>
  <si>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</si>
  <si>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</si>
  <si>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</si>
  <si>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</si>
  <si>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</si>
  <si>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</si>
  <si>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</si>
  <si>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</si>
  <si>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</si>
  <si>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</si>
  <si>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</si>
  <si>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</si>
  <si>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</si>
  <si>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</si>
  <si>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</si>
  <si>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</si>
  <si>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</si>
  <si>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</si>
  <si>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</si>
  <si>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</si>
  <si>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</si>
  <si>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</si>
  <si>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</si>
  <si>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</si>
  <si>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</si>
  <si>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</si>
  <si>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</si>
  <si>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</si>
  <si>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</si>
  <si>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</si>
  <si>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</si>
  <si>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</si>
  <si>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</si>
  <si>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</si>
  <si>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</si>
  <si>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</si>
  <si>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</si>
  <si>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</si>
  <si>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</si>
  <si>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</si>
  <si>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</si>
  <si>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</si>
  <si>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</si>
  <si>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</si>
  <si>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</si>
  <si>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</si>
  <si>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</si>
  <si>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</si>
  <si>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</si>
  <si>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</si>
  <si>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</si>
  <si>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</si>
  <si>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</si>
  <si>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</si>
  <si>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</si>
  <si>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</si>
  <si>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</si>
  <si>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</si>
  <si>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</si>
  <si>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</si>
  <si>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</si>
  <si>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</si>
  <si>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</si>
  <si>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</si>
  <si>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</si>
  <si>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</si>
  <si>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</si>
  <si>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</si>
  <si>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</si>
  <si>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</si>
  <si>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</si>
  <si>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</si>
  <si>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</si>
  <si>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</si>
  <si>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</si>
  <si>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</si>
  <si>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</si>
  <si>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</si>
  <si>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</si>
  <si>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</si>
  <si>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</si>
  <si>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</si>
  <si>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</si>
  <si>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</si>
  <si>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</si>
  <si>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</si>
  <si>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</si>
  <si>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</si>
  <si>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</si>
  <si>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</si>
  <si>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</si>
  <si>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</si>
  <si>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</si>
  <si>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</si>
  <si>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</si>
  <si>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</si>
  <si>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</si>
  <si>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</si>
  <si>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</si>
  <si>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</si>
  <si>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</si>
  <si>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</si>
  <si>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</si>
  <si>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</si>
  <si>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</si>
  <si>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</si>
  <si>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</si>
  <si>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</si>
  <si>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</si>
  <si>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</si>
  <si>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</si>
  <si>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</si>
  <si>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</si>
  <si>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</si>
  <si>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</si>
  <si>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</si>
  <si>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</si>
  <si>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</si>
  <si>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</si>
  <si>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</si>
  <si>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</si>
  <si>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</si>
  <si>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</si>
  <si>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</si>
  <si>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</si>
  <si>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</si>
  <si>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</si>
  <si>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</si>
  <si>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</si>
  <si>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</si>
  <si>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</si>
  <si>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</si>
  <si>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</si>
  <si>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</si>
  <si>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</si>
  <si>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</si>
  <si>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</si>
  <si>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</si>
  <si>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</si>
  <si>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</si>
  <si>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</si>
  <si>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</si>
  <si>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</si>
  <si>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</si>
  <si>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</si>
  <si>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</si>
  <si>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</si>
  <si>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</si>
  <si>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</si>
  <si>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</si>
  <si>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</si>
  <si>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</si>
  <si>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</si>
  <si>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</si>
  <si>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</si>
  <si>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</si>
  <si>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</si>
  <si>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</si>
  <si>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</si>
  <si>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</si>
  <si>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</si>
  <si>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</si>
  <si>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</si>
  <si>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</si>
  <si>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</si>
  <si>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</si>
  <si>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</si>
  <si>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</si>
  <si>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</si>
  <si>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</si>
  <si>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</si>
  <si>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</si>
  <si>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</si>
  <si>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</si>
  <si>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</si>
  <si>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</si>
  <si>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</si>
  <si>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</si>
  <si>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</si>
  <si>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</si>
  <si>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</si>
  <si>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</si>
  <si>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</si>
  <si>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</si>
  <si>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</si>
  <si>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</si>
  <si>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</si>
  <si>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</si>
  <si>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</si>
  <si>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</si>
  <si>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</si>
  <si>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</si>
  <si>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</si>
  <si>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</si>
  <si>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</si>
  <si>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</si>
  <si>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</si>
  <si>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</si>
  <si>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</si>
  <si>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</si>
  <si>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</si>
  <si>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</si>
  <si>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</si>
  <si>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</si>
  <si>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</si>
  <si>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</si>
  <si>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</si>
  <si>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</si>
  <si>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</si>
  <si>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</si>
  <si>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</si>
  <si>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</si>
  <si>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</si>
  <si>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</si>
  <si>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</si>
  <si>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</si>
  <si>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</si>
  <si>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</si>
  <si>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</si>
  <si>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</si>
  <si>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</si>
  <si>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</si>
  <si>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</si>
  <si>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</si>
  <si>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</si>
  <si>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</si>
  <si>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</si>
  <si>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</si>
  <si>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</si>
  <si>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</si>
  <si>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</si>
  <si>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</si>
  <si>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</si>
  <si>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</si>
  <si>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</si>
  <si>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</si>
  <si>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</si>
  <si>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</si>
  <si>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</si>
  <si>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</si>
  <si>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</si>
  <si>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</si>
  <si>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</si>
  <si>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</si>
  <si>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</si>
  <si>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</si>
  <si>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</si>
  <si>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</si>
  <si>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</si>
  <si>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</si>
  <si>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</si>
  <si>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</si>
  <si>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</si>
  <si>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</si>
  <si>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</si>
  <si>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</si>
  <si>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</si>
  <si>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</si>
  <si>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</si>
  <si>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</si>
  <si>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</si>
  <si>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</si>
  <si>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</si>
  <si>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</si>
  <si>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</si>
  <si>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</si>
  <si>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</si>
  <si>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</si>
  <si>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</si>
  <si>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</si>
  <si>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</si>
  <si>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</si>
  <si>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</si>
  <si>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</si>
  <si>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</si>
  <si>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</si>
  <si>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</si>
  <si>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</si>
  <si>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</si>
  <si>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</si>
  <si>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</si>
  <si>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</si>
  <si>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</si>
  <si>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</si>
  <si>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</si>
  <si>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</si>
  <si>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</si>
  <si>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</si>
  <si>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</si>
  <si>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</si>
  <si>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</si>
  <si>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</si>
  <si>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</si>
  <si>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</si>
  <si>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</si>
  <si>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</si>
  <si>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</si>
  <si>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</si>
  <si>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</si>
  <si>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</si>
  <si>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</si>
  <si>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</si>
  <si>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</si>
  <si>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</si>
  <si>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</si>
  <si>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</si>
  <si>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</si>
  <si>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</si>
  <si>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</si>
  <si>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</si>
  <si>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</si>
  <si>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</si>
  <si>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</si>
  <si>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</si>
  <si>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</si>
  <si>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</si>
  <si>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</si>
  <si>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</si>
  <si>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</si>
  <si>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</si>
  <si>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</si>
  <si>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</si>
  <si>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</si>
  <si>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</si>
  <si>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</si>
  <si>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</si>
  <si>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</si>
  <si>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</si>
  <si>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</si>
  <si>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</si>
  <si>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</si>
  <si>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</si>
  <si>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</si>
  <si>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</si>
  <si>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</si>
  <si>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</si>
  <si>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</si>
  <si>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</si>
  <si>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</si>
  <si>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</si>
  <si>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</si>
  <si>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</si>
  <si>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</si>
  <si>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</si>
  <si>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</si>
  <si>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</si>
  <si>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</si>
  <si>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</si>
  <si>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</si>
  <si>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</si>
  <si>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</si>
  <si>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</si>
  <si>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</si>
  <si>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</si>
  <si>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</si>
  <si>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</si>
  <si>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</si>
  <si>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</si>
  <si>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</si>
  <si>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</si>
  <si>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</si>
  <si>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</si>
  <si>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</si>
  <si>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</si>
  <si>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</si>
  <si>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</si>
  <si>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</si>
  <si>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</si>
  <si>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</si>
  <si>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</si>
  <si>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</si>
  <si>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</si>
  <si>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</si>
  <si>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</si>
  <si>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</si>
  <si>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</si>
  <si>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</si>
  <si>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</si>
  <si>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</si>
  <si>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</si>
  <si>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</si>
  <si>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</si>
  <si>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</si>
  <si>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</si>
  <si>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</si>
  <si>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</si>
  <si>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</si>
  <si>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</si>
  <si>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</si>
  <si>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</si>
  <si>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</si>
  <si>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</si>
  <si>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</si>
  <si>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</si>
  <si>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</si>
  <si>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</si>
  <si>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</si>
  <si>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</si>
  <si>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</si>
  <si>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</si>
  <si>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</si>
  <si>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</si>
  <si>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</si>
  <si>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</si>
  <si>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</si>
  <si>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</si>
  <si>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</si>
  <si>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</si>
  <si>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</si>
  <si>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</si>
  <si>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</si>
  <si>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</si>
  <si>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</si>
  <si>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</si>
  <si>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</si>
  <si>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</si>
  <si>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</si>
  <si>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</si>
  <si>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</si>
  <si>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</si>
  <si>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</si>
  <si>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</si>
  <si>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</si>
  <si>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</si>
  <si>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</si>
  <si>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</si>
  <si>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</si>
  <si>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</si>
  <si>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</si>
  <si>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</si>
  <si>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</si>
  <si>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</si>
  <si>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</si>
  <si>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</si>
  <si>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</si>
  <si>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</si>
  <si>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</si>
  <si>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</si>
  <si>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</si>
  <si>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</si>
  <si>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</si>
  <si>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</si>
  <si>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</si>
  <si>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</si>
  <si>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</si>
  <si>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</si>
  <si>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</si>
  <si>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</si>
  <si>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</si>
  <si>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</si>
  <si>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</si>
  <si>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</si>
  <si>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</si>
  <si>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</si>
  <si>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</si>
  <si>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</si>
  <si>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</si>
  <si>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</si>
  <si>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</si>
  <si>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</si>
  <si>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</si>
  <si>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</si>
  <si>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</si>
  <si>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</si>
  <si>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</si>
  <si>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</si>
  <si>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</si>
  <si>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</si>
  <si>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</si>
  <si>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</si>
  <si>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</si>
  <si>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</si>
  <si>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</si>
  <si>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</si>
  <si>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</si>
  <si>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</si>
  <si>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</si>
  <si>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</si>
  <si>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</si>
  <si>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</si>
  <si>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</si>
  <si>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</si>
  <si>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</si>
  <si>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</si>
  <si>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</si>
  <si>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</si>
  <si>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</si>
  <si>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</si>
  <si>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</si>
  <si>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</si>
  <si>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</si>
  <si>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</si>
  <si>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</si>
  <si>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</si>
  <si>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</si>
  <si>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</si>
  <si>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</si>
  <si>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</si>
  <si>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</si>
  <si>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</si>
  <si>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</si>
  <si>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</si>
  <si>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</si>
  <si>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</si>
  <si>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</si>
  <si>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</si>
  <si>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</si>
  <si>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</si>
  <si>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</si>
  <si>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</si>
  <si>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</si>
  <si>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</si>
  <si>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</si>
  <si>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</si>
  <si>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</si>
  <si>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</si>
  <si>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</si>
  <si>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</si>
  <si>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</si>
  <si>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</si>
  <si>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</si>
  <si>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</si>
  <si>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</si>
  <si>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</si>
  <si>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</si>
  <si>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</si>
  <si>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</si>
  <si>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</si>
  <si>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</si>
  <si>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</si>
  <si>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</si>
  <si>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</si>
  <si>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</si>
  <si>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</si>
  <si>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</si>
  <si>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</si>
  <si>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</si>
  <si>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</si>
  <si>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</si>
  <si>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</si>
  <si>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</si>
  <si>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</si>
  <si>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</si>
  <si>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</si>
  <si>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</si>
  <si>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</si>
  <si>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</si>
  <si>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</si>
  <si>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</si>
  <si>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</si>
  <si>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</si>
  <si>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</si>
  <si>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</si>
  <si>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</si>
  <si>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</si>
  <si>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</si>
  <si>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</si>
  <si>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</si>
  <si>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</si>
  <si>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</si>
  <si>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</si>
  <si>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</si>
  <si>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</si>
  <si>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</si>
  <si>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</si>
  <si>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</si>
  <si>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</si>
  <si>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</si>
  <si>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</si>
  <si>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</si>
  <si>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</si>
  <si>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</si>
  <si>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</si>
  <si>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</si>
  <si>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</si>
  <si>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</si>
  <si>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</si>
  <si>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</si>
  <si>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</si>
  <si>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</si>
  <si>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</si>
  <si>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</si>
  <si>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</si>
  <si>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</si>
  <si>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</si>
  <si>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</si>
  <si>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</si>
  <si>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</si>
  <si>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</si>
  <si>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</si>
  <si>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</si>
  <si>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</si>
  <si>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</si>
  <si>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</si>
  <si>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</si>
  <si>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</si>
  <si>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</si>
  <si>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</si>
  <si>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</si>
  <si>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</si>
  <si>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</si>
  <si>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</si>
  <si>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</si>
  <si>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</si>
  <si>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</si>
  <si>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</si>
  <si>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</si>
  <si>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</si>
  <si>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</si>
  <si>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</si>
  <si>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</si>
  <si>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</si>
  <si>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</si>
  <si>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</si>
  <si>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</si>
  <si>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</si>
  <si>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</si>
  <si>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</si>
  <si>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</si>
  <si>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</si>
  <si>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</si>
  <si>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</si>
  <si>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</si>
  <si>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</si>
  <si>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</si>
  <si>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</si>
  <si>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</si>
  <si>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</si>
  <si>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</si>
  <si>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</si>
  <si>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</si>
  <si>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</si>
  <si>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</si>
  <si>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</si>
  <si>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</si>
  <si>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</si>
  <si>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</si>
  <si>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</si>
  <si>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</si>
  <si>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</si>
  <si>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</si>
  <si>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</si>
  <si>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</si>
  <si>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</si>
  <si>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</si>
  <si>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</si>
  <si>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</si>
  <si>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</si>
  <si>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</si>
  <si>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</si>
  <si>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</si>
  <si>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</si>
  <si>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</si>
  <si>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</si>
  <si>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</si>
  <si>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</si>
  <si>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</si>
  <si>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</si>
  <si>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</si>
  <si>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</si>
  <si>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</si>
  <si>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</si>
  <si>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</si>
  <si>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</si>
  <si>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</si>
  <si>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</si>
  <si>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</si>
  <si>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</si>
  <si>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</si>
  <si>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</si>
  <si>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</si>
  <si>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</si>
  <si>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</si>
  <si>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</si>
  <si>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</si>
  <si>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</si>
  <si>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</si>
  <si>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</si>
  <si>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</si>
  <si>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</si>
  <si>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</si>
  <si>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</si>
  <si>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</si>
  <si>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</si>
  <si>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</si>
  <si>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</si>
  <si>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</si>
  <si>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</si>
  <si>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</si>
  <si>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</si>
  <si>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</si>
  <si>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</si>
  <si>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</si>
  <si>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</si>
  <si>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</si>
  <si>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</si>
  <si>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</si>
  <si>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</si>
  <si>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</si>
  <si>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</si>
  <si>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</si>
  <si>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</si>
  <si>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</si>
  <si>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</si>
  <si>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</si>
  <si>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</si>
  <si>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</si>
  <si>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</si>
  <si>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</si>
  <si>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</si>
  <si>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</si>
  <si>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</si>
  <si>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</si>
  <si>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</si>
  <si>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</si>
  <si>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</si>
  <si>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</si>
  <si>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</si>
  <si>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</si>
  <si>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</si>
  <si>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</si>
  <si>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</si>
  <si>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</si>
  <si>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</si>
  <si>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</si>
  <si>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</si>
  <si>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</si>
  <si>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</si>
  <si>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</si>
  <si>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</si>
  <si>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</si>
  <si>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</si>
  <si>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</si>
  <si>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</si>
  <si>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</si>
  <si>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</si>
  <si>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</si>
  <si>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</si>
  <si>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</si>
  <si>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</si>
  <si>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</si>
  <si>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</si>
  <si>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</si>
  <si>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</si>
  <si>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</si>
  <si>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</si>
  <si>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</si>
  <si>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</si>
  <si>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</si>
  <si>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</si>
  <si>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</si>
  <si>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</si>
  <si>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</si>
  <si>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</si>
  <si>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</si>
  <si>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</si>
  <si>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</si>
  <si>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</si>
  <si>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</si>
  <si>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</si>
  <si>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</si>
  <si>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</si>
  <si>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</si>
  <si>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</si>
  <si>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</si>
  <si>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</si>
  <si>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</si>
  <si>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</si>
  <si>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</si>
  <si>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</si>
  <si>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</si>
  <si>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</si>
  <si>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</si>
  <si>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</si>
  <si>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</si>
  <si>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</si>
  <si>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</si>
  <si>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</si>
  <si>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</si>
  <si>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</si>
  <si>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</si>
  <si>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</si>
  <si>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</si>
  <si>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</si>
  <si>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</si>
  <si>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</si>
  <si>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</si>
  <si>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</si>
  <si>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</si>
  <si>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L000012590</t>
  </si>
  <si>
    <t>L000012591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</si>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</sst>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7.893274652779" createdVersion="7" refreshedVersion="7" minRefreshableVersion="3" recordCount="3432" xr:uid="{11839AE3-6158-4318-87AD-2C711D0BF451}">
  <cacheSource type="worksheet">
    <worksheetSource name="Proc"/>
  </cacheSource>
  <cacheFields count="19">
    <cacheField name="App" numFmtId="0">
      <sharedItems containsBlank="1" count="14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1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9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8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8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7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7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4"/>
    <x v="1"/>
    <x v="5"/>
    <s v="CNOW_7210$$$0000010322 PS Active &amp; Formulations Patent Fee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AD6500 SAC Patents Merck&amp;Cie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400763883 SAC Patent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6 PS - US&amp;SU Patent Fees"/>
    <s v="G000001283"/>
    <s v="L000006605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9 PS - BioP Patent Fees"/>
    <s v="G000001283"/>
    <s v="L00000660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NOW_7210$$$0000021318 Process Sol Cell Culture Patent Fees"/>
    <s v="G000001283"/>
    <s v="L000006607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0 Patent Costs Chromatography-Process S"/>
    <s v="G000001283"/>
    <s v="L000012590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1 Patent Costs Cell Culture Media"/>
    <s v="G000001283"/>
    <s v="L000012591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RD1108 PFM Patents M&amp;Cie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01 Patent Costs Sorbitol-Mannitol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6"/>
    <s v="CLFF_7210$$$1937R09209 PS - BioP Patent Fees"/>
    <s v="G000001283"/>
    <s v="L000006604"/>
    <s v="LFF (MDG-F)"/>
    <s v="1937R09209"/>
    <m/>
    <b v="0"/>
    <x v="2"/>
    <x v="3"/>
    <d v="2025-08-05T00:00:00"/>
    <m/>
    <m/>
    <x v="0"/>
    <n v="3"/>
    <s v="Ruby Grace Garcia"/>
    <m/>
  </r>
  <r>
    <x v="315"/>
    <x v="1"/>
    <x v="5"/>
    <s v="CITR_1000$$$HU161025"/>
    <s v="G000000726"/>
    <s v="ITR_1000$$$HU16102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ZA50GIT10E"/>
    <s v="L000013397"/>
    <s v="L000013396"/>
    <s v="LFF (MDG-F)"/>
    <s v="ZA50GIT10E"/>
    <m/>
    <b v="0"/>
    <x v="0"/>
    <x v="3"/>
    <d v="2025-08-05T00:00:00"/>
    <m/>
    <m/>
    <x v="0"/>
    <n v="3"/>
    <s v="Jay-R Lizardo"/>
    <m/>
  </r>
  <r>
    <x v="315"/>
    <x v="1"/>
    <x v="5"/>
    <s v="CEMERAL_70007001993006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90GIT301"/>
    <s v="G000000253"/>
    <s v="G000000255"/>
    <s v="LFF (MDG-F)"/>
    <s v="CN90GIT301"/>
    <m/>
    <b v="0"/>
    <x v="0"/>
    <x v="3"/>
    <d v="2025-08-05T00:00:00"/>
    <m/>
    <m/>
    <x v="0"/>
    <n v="3"/>
    <s v="Jay-R Lizardo"/>
    <m/>
  </r>
  <r>
    <x v="315"/>
    <x v="1"/>
    <x v="6"/>
    <s v="CLFF_1000$$$CN90GIT306"/>
    <s v="G000001399"/>
    <s v="G000001121"/>
    <s v="LFF (MDG-F)"/>
    <s v="CN90GIT306"/>
    <m/>
    <b v="0"/>
    <x v="0"/>
    <x v="3"/>
    <d v="2025-08-05T00:00:00"/>
    <m/>
    <m/>
    <x v="0"/>
    <n v="3"/>
    <s v="Jay-R Lizardo"/>
    <m/>
  </r>
  <r>
    <x v="315"/>
    <x v="1"/>
    <x v="6"/>
    <s v="CLFF_1000$$$CN90GIT120"/>
    <s v="L000013389"/>
    <s v="L000013395"/>
    <s v="LFF (MDG-F)"/>
    <s v="CN90GIT120"/>
    <m/>
    <b v="0"/>
    <x v="0"/>
    <x v="3"/>
    <d v="2025-08-05T00:00:00"/>
    <m/>
    <m/>
    <x v="0"/>
    <n v="3"/>
    <s v="Jay-R Lizardo"/>
    <m/>
  </r>
  <r>
    <x v="315"/>
    <x v="1"/>
    <x v="6"/>
    <s v="CLFF_1000$$$CN90GM4004"/>
    <s v="G000001420"/>
    <s v="G000000243"/>
    <s v="LFF (MDG-F)"/>
    <s v="CN90GM4004"/>
    <m/>
    <b v="0"/>
    <x v="0"/>
    <x v="3"/>
    <d v="2025-08-05T00:00:00"/>
    <m/>
    <m/>
    <x v="0"/>
    <n v="3"/>
    <s v="Jay-R Lizardo"/>
    <m/>
  </r>
  <r>
    <x v="315"/>
    <x v="1"/>
    <x v="6"/>
    <s v="CLFF_1000$$$CN01GIT01B"/>
    <s v="G000000277"/>
    <s v="P000000041"/>
    <s v="LFF (MDG-F)"/>
    <s v="CN01GIT01B"/>
    <m/>
    <b v="0"/>
    <x v="0"/>
    <x v="3"/>
    <d v="2025-08-05T00:00:00"/>
    <m/>
    <m/>
    <x v="0"/>
    <n v="3"/>
    <s v="Jay-R Lizardo"/>
    <m/>
  </r>
  <r>
    <x v="315"/>
    <x v="1"/>
    <x v="6"/>
    <s v="CLFF_1000$$$DE04GIT01B"/>
    <s v="G000000277"/>
    <s v="P000000041"/>
    <s v="LFF (MDG-F)"/>
    <s v="DE04GIT01B"/>
    <m/>
    <b v="0"/>
    <x v="0"/>
    <x v="3"/>
    <d v="2025-08-05T00:00:00"/>
    <m/>
    <m/>
    <x v="0"/>
    <n v="3"/>
    <s v="Jay-R Lizardo"/>
    <m/>
  </r>
  <r>
    <x v="315"/>
    <x v="1"/>
    <x v="5"/>
    <s v="CTEMPEU_1000GB10GMP070"/>
    <s v="G000001381"/>
    <s v="G000001184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57"/>
    <s v="G00000140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920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45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S50GIT208"/>
    <s v="G000001398"/>
    <s v="G000001121"/>
    <s v="LFF (MDG-F)"/>
    <s v="ES50GIT208"/>
    <m/>
    <b v="0"/>
    <x v="0"/>
    <x v="3"/>
    <d v="2025-08-05T00:00:00"/>
    <m/>
    <m/>
    <x v="0"/>
    <n v="3"/>
    <s v="Jay-R Lizardo"/>
    <m/>
  </r>
  <r>
    <x v="315"/>
    <x v="1"/>
    <x v="6"/>
    <s v="CLFF_1000$$$ES50GIT220"/>
    <s v="G000001398"/>
    <s v="G000001121"/>
    <s v="LFF (MDG-F)"/>
    <s v="ES50GIT220"/>
    <m/>
    <b v="0"/>
    <x v="0"/>
    <x v="3"/>
    <d v="2025-08-05T00:00:00"/>
    <m/>
    <m/>
    <x v="0"/>
    <n v="3"/>
    <s v="Jay-R Lizardo"/>
    <m/>
  </r>
  <r>
    <x v="315"/>
    <x v="1"/>
    <x v="6"/>
    <s v="CLFF_1000$$$ES50GIT60L"/>
    <s v="G000001411"/>
    <s v="G000001120"/>
    <s v="LFF (MDG-F)"/>
    <s v="ES50GIT60L"/>
    <m/>
    <b v="0"/>
    <x v="0"/>
    <x v="3"/>
    <d v="2025-08-05T00:00:00"/>
    <m/>
    <m/>
    <x v="0"/>
    <n v="3"/>
    <s v="Jay-R Lizardo"/>
    <m/>
  </r>
  <r>
    <x v="315"/>
    <x v="1"/>
    <x v="6"/>
    <s v="CLFF_1000$$$NL50GMS010"/>
    <s v="G000001381"/>
    <s v="G000001184"/>
    <s v="LFF (MDG-F)"/>
    <s v="NL50GMS010"/>
    <m/>
    <b v="0"/>
    <x v="0"/>
    <x v="3"/>
    <d v="2025-08-05T00:00:00"/>
    <m/>
    <m/>
    <x v="0"/>
    <n v="3"/>
    <s v="Jay-R Lizardo"/>
    <m/>
  </r>
  <r>
    <x v="315"/>
    <x v="1"/>
    <x v="5"/>
    <s v="CTEMPLA_1000BR1050116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BR1050115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L13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45"/>
    <s v="G000001420"/>
    <s v="TEMPEU_1000PL80GFO04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5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3"/>
    <s v="G000001421"/>
    <s v="TEMPEU_1000PL80GFO02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1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E05"/>
    <s v="P000000765"/>
    <s v="G00000083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MS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3"/>
    <s v="G000001388"/>
    <s v="G00000126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2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A"/>
    <s v="G000001393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7"/>
    <s v="G000001421"/>
    <s v="G00000118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YIT002"/>
    <s v="G000001395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5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PH80YI"/>
    <s v="G000001394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BTL55"/>
    <s v="G000000243"/>
    <s v="G00000063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3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3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36"/>
    <s v="G00000141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87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65GIT032"/>
    <s v="G000000256"/>
    <s v="DFLTPGCOH_BF-C2_001242"/>
    <s v="LFF (MDG-F)"/>
    <s v="DE65GIT032"/>
    <m/>
    <b v="0"/>
    <x v="0"/>
    <x v="3"/>
    <d v="2025-08-05T00:00:00"/>
    <m/>
    <m/>
    <x v="0"/>
    <n v="3"/>
    <s v="Jay-R Lizardo"/>
    <m/>
  </r>
  <r>
    <x v="315"/>
    <x v="1"/>
    <x v="6"/>
    <s v="CLFF_1000$$$DE65GIT033"/>
    <s v="G000001396"/>
    <s v="G000001121"/>
    <s v="LFF (MDG-F)"/>
    <s v="DE65GIT033"/>
    <m/>
    <b v="0"/>
    <x v="0"/>
    <x v="3"/>
    <d v="2025-08-05T00:00:00"/>
    <m/>
    <m/>
    <x v="0"/>
    <n v="3"/>
    <s v="Jay-R Lizardo"/>
    <m/>
  </r>
  <r>
    <x v="315"/>
    <x v="1"/>
    <x v="5"/>
    <s v="CEMERAL_70006502ID6502"/>
    <s v="G000001387"/>
    <s v="G00000134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IT50GIT01C"/>
    <s v="G000001396"/>
    <s v="G000001121"/>
    <s v="LFF (MDG-F)"/>
    <s v="IT50GIT01C"/>
    <m/>
    <b v="0"/>
    <x v="0"/>
    <x v="3"/>
    <d v="2025-08-05T00:00:00"/>
    <m/>
    <m/>
    <x v="0"/>
    <n v="3"/>
    <s v="Jay-R Lizardo"/>
    <m/>
  </r>
  <r>
    <x v="315"/>
    <x v="1"/>
    <x v="6"/>
    <s v="CLFF_1000$$$IT50GM9100"/>
    <s v="G000001387"/>
    <s v="G000000247"/>
    <s v="LFF (MDG-F)"/>
    <s v="IT50GM9100"/>
    <m/>
    <b v="0"/>
    <x v="0"/>
    <x v="3"/>
    <d v="2025-08-05T00:00:00"/>
    <m/>
    <m/>
    <x v="0"/>
    <n v="3"/>
    <s v="Jay-R Lizardo"/>
    <m/>
  </r>
  <r>
    <x v="315"/>
    <x v="1"/>
    <x v="5"/>
    <s v="CEMERAL_70007102318366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US01GIT01B"/>
    <s v="G000000277"/>
    <s v="P000000041"/>
    <s v="LFF (MDG-F)"/>
    <s v="US01GIT01B"/>
    <m/>
    <b v="0"/>
    <x v="0"/>
    <x v="3"/>
    <d v="2025-08-05T00:00:00"/>
    <m/>
    <m/>
    <x v="0"/>
    <n v="3"/>
    <s v="Jay-R Lizardo"/>
    <m/>
  </r>
  <r>
    <x v="315"/>
    <x v="1"/>
    <x v="6"/>
    <s v="CLFF_1000$$$DE10518000"/>
    <s v="G000001118"/>
    <s v="G000001121"/>
    <s v="LFF (MDG-F)"/>
    <s v="DE10518000"/>
    <m/>
    <b v="0"/>
    <x v="0"/>
    <x v="3"/>
    <d v="2025-08-05T00:00:00"/>
    <m/>
    <m/>
    <x v="0"/>
    <n v="3"/>
    <s v="Jay-R Lizardo"/>
    <m/>
  </r>
  <r>
    <x v="315"/>
    <x v="1"/>
    <x v="6"/>
    <s v="CLFF_1000$$$DE10519000"/>
    <s v="G000001118"/>
    <s v="G000001121"/>
    <s v="LFF (MDG-F)"/>
    <s v="DE10519000"/>
    <m/>
    <b v="0"/>
    <x v="0"/>
    <x v="3"/>
    <d v="2025-08-05T00:00:00"/>
    <m/>
    <m/>
    <x v="0"/>
    <n v="3"/>
    <s v="Jay-R Lizardo"/>
    <m/>
  </r>
  <r>
    <x v="315"/>
    <x v="1"/>
    <x v="6"/>
    <s v="CLFF_1000$$$DE10643112"/>
    <s v="G000000726"/>
    <s v="G000000727"/>
    <s v="LFF (MDG-F)"/>
    <s v="DE10643112"/>
    <m/>
    <b v="0"/>
    <x v="0"/>
    <x v="3"/>
    <d v="2025-08-05T00:00:00"/>
    <m/>
    <m/>
    <x v="0"/>
    <n v="3"/>
    <s v="Jay-R Lizardo"/>
    <m/>
  </r>
  <r>
    <x v="315"/>
    <x v="1"/>
    <x v="6"/>
    <s v="CLFF_1000$$$DE10677003"/>
    <s v="L000013397"/>
    <s v="L000013396"/>
    <s v="LFF (MDG-F)"/>
    <s v="DE10677003"/>
    <m/>
    <b v="0"/>
    <x v="0"/>
    <x v="3"/>
    <d v="2025-08-05T00:00:00"/>
    <m/>
    <m/>
    <x v="0"/>
    <n v="3"/>
    <s v="Jay-R Lizardo"/>
    <m/>
  </r>
  <r>
    <x v="315"/>
    <x v="1"/>
    <x v="6"/>
    <s v="CLFF_1000$$$DE10517000"/>
    <s v="G000001118"/>
    <s v="G000001121"/>
    <s v="LFF (MDG-F)"/>
    <s v="DE10517000"/>
    <m/>
    <b v="0"/>
    <x v="0"/>
    <x v="3"/>
    <d v="2025-08-05T00:00:00"/>
    <m/>
    <m/>
    <x v="0"/>
    <n v="3"/>
    <s v="Jay-R Lizardo"/>
    <m/>
  </r>
  <r>
    <x v="315"/>
    <x v="1"/>
    <x v="6"/>
    <s v="CLFF_1000$$$DE10574000"/>
    <s v="G000000253"/>
    <s v="G000000255"/>
    <s v="LFF (MDG-F)"/>
    <s v="DE10574000"/>
    <m/>
    <b v="0"/>
    <x v="0"/>
    <x v="3"/>
    <d v="2025-08-05T00:00:00"/>
    <m/>
    <m/>
    <x v="0"/>
    <n v="3"/>
    <s v="Jay-R Lizardo"/>
    <m/>
  </r>
  <r>
    <x v="315"/>
    <x v="1"/>
    <x v="6"/>
    <s v="CLFF_1000$$$DE10679600"/>
    <s v="G000001396"/>
    <s v="G000001121"/>
    <s v="LFF (MDG-F)"/>
    <s v="DE10679600"/>
    <m/>
    <b v="0"/>
    <x v="0"/>
    <x v="3"/>
    <d v="2025-08-05T00:00:00"/>
    <m/>
    <m/>
    <x v="0"/>
    <n v="3"/>
    <s v="Jay-R Lizardo"/>
    <m/>
  </r>
  <r>
    <x v="315"/>
    <x v="1"/>
    <x v="6"/>
    <s v="CLFF_1000$$$DE10512500"/>
    <s v="G000001118"/>
    <s v="G000001121"/>
    <s v="LFF (MDG-F)"/>
    <s v="DE10512500"/>
    <m/>
    <b v="0"/>
    <x v="0"/>
    <x v="3"/>
    <d v="2025-08-05T00:00:00"/>
    <m/>
    <m/>
    <x v="0"/>
    <n v="3"/>
    <s v="Jay-R Lizardo"/>
    <m/>
  </r>
  <r>
    <x v="315"/>
    <x v="1"/>
    <x v="6"/>
    <s v="CLFF_1000$$$DE10656400"/>
    <s v="G000000726"/>
    <s v="G000000727"/>
    <s v="LFF (MDG-F)"/>
    <s v="DE10656400"/>
    <m/>
    <b v="0"/>
    <x v="0"/>
    <x v="3"/>
    <d v="2025-08-05T00:00:00"/>
    <m/>
    <m/>
    <x v="0"/>
    <n v="3"/>
    <s v="Jay-R Lizardo"/>
    <m/>
  </r>
  <r>
    <x v="315"/>
    <x v="1"/>
    <x v="6"/>
    <s v="CLFF_1000$$$DE10677200"/>
    <s v="G000001396"/>
    <s v="G000001121"/>
    <s v="LFF (MDG-F)"/>
    <s v="DE10677200"/>
    <m/>
    <b v="0"/>
    <x v="0"/>
    <x v="3"/>
    <d v="2025-08-05T00:00:00"/>
    <m/>
    <m/>
    <x v="0"/>
    <n v="3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3"/>
    <s v="Jay-R Lizardo"/>
    <m/>
  </r>
  <r>
    <x v="315"/>
    <x v="1"/>
    <x v="6"/>
    <s v="CLFF_1000$$$DE10643100"/>
    <s v="G000000726"/>
    <s v="G000000727"/>
    <s v="LFF (MDG-F)"/>
    <s v="DE10643100"/>
    <m/>
    <b v="0"/>
    <x v="0"/>
    <x v="3"/>
    <d v="2025-08-05T00:00:00"/>
    <m/>
    <m/>
    <x v="0"/>
    <n v="3"/>
    <s v="Jay-R Lizardo"/>
    <m/>
  </r>
  <r>
    <x v="315"/>
    <x v="1"/>
    <x v="6"/>
    <s v="CLFF_1000$$$DE10669636"/>
    <s v="G000001387"/>
    <s v="G000000247"/>
    <s v="LFF (MDG-F)"/>
    <s v="DE10669636"/>
    <m/>
    <b v="0"/>
    <x v="0"/>
    <x v="3"/>
    <d v="2025-08-05T00:00:00"/>
    <m/>
    <m/>
    <x v="0"/>
    <n v="3"/>
    <s v="Jay-R Lizardo"/>
    <m/>
  </r>
  <r>
    <x v="315"/>
    <x v="1"/>
    <x v="6"/>
    <s v="CLFF_1000$$$DE10635800"/>
    <s v="G000001118"/>
    <s v="LFF_1000$$$DE10635800"/>
    <s v="LFF (MDG-F)"/>
    <s v="DE10635800"/>
    <m/>
    <b v="0"/>
    <x v="0"/>
    <x v="3"/>
    <d v="2025-08-05T00:00:00"/>
    <m/>
    <m/>
    <x v="0"/>
    <n v="3"/>
    <s v="Jay-R Lizardo"/>
    <m/>
  </r>
  <r>
    <x v="315"/>
    <x v="1"/>
    <x v="6"/>
    <s v="CLFF_1000$$$DE10561800"/>
    <s v="G000001118"/>
    <s v="G000001120"/>
    <s v="LFF (MDG-F)"/>
    <s v="DE10561800"/>
    <m/>
    <b v="0"/>
    <x v="0"/>
    <x v="3"/>
    <d v="2025-08-05T00:00:00"/>
    <m/>
    <m/>
    <x v="0"/>
    <n v="3"/>
    <s v="Jay-R Lizardo"/>
    <m/>
  </r>
  <r>
    <x v="315"/>
    <x v="1"/>
    <x v="6"/>
    <s v="CLFF_1000$$$DE10GIT706"/>
    <s v="L000013397"/>
    <s v="L000013396"/>
    <s v="LFF (MDG-F)"/>
    <s v="DE10GIT706"/>
    <m/>
    <b v="0"/>
    <x v="0"/>
    <x v="3"/>
    <d v="2025-08-05T00:00:00"/>
    <m/>
    <m/>
    <x v="0"/>
    <n v="3"/>
    <s v="Jay-R Lizardo"/>
    <m/>
  </r>
  <r>
    <x v="315"/>
    <x v="1"/>
    <x v="6"/>
    <s v="CLFF_1000$$$DE10669635"/>
    <s v="G000001421"/>
    <s v="G000000243"/>
    <s v="LFF (MDG-F)"/>
    <s v="DE10669635"/>
    <m/>
    <b v="0"/>
    <x v="0"/>
    <x v="3"/>
    <d v="2025-08-05T00:00:00"/>
    <m/>
    <m/>
    <x v="0"/>
    <n v="3"/>
    <s v="Jay-R Lizardo"/>
    <m/>
  </r>
  <r>
    <x v="315"/>
    <x v="1"/>
    <x v="6"/>
    <s v="CLFF_1000$$$DE10GIT06A"/>
    <s v="G000000726"/>
    <s v="G000000727"/>
    <s v="LFF (MDG-F)"/>
    <s v="DE10GIT06A"/>
    <m/>
    <b v="0"/>
    <x v="0"/>
    <x v="3"/>
    <d v="2025-08-05T00:00:00"/>
    <m/>
    <m/>
    <x v="0"/>
    <n v="3"/>
    <s v="Jay-R Lizardo"/>
    <m/>
  </r>
  <r>
    <x v="315"/>
    <x v="1"/>
    <x v="6"/>
    <s v="CLFF_1000$$$DE10GIT05A"/>
    <s v="G000000726"/>
    <s v="G000000727"/>
    <s v="LFF (MDG-F)"/>
    <s v="DE10GIT05A"/>
    <m/>
    <b v="0"/>
    <x v="0"/>
    <x v="3"/>
    <d v="2025-08-05T00:00:00"/>
    <m/>
    <m/>
    <x v="0"/>
    <n v="3"/>
    <s v="Jay-R Lizardo"/>
    <m/>
  </r>
  <r>
    <x v="315"/>
    <x v="1"/>
    <x v="6"/>
    <s v="CLFF_1000$$$DE10YIT009"/>
    <s v="G000001233"/>
    <s v="G000000627"/>
    <s v="LFF (MDG-F)"/>
    <s v="DE10YIT009"/>
    <m/>
    <b v="0"/>
    <x v="0"/>
    <x v="3"/>
    <d v="2025-08-05T00:00:00"/>
    <m/>
    <m/>
    <x v="0"/>
    <n v="3"/>
    <s v="Jay-R Lizardo"/>
    <m/>
  </r>
  <r>
    <x v="315"/>
    <x v="1"/>
    <x v="6"/>
    <s v="CLFF_1000$$$DE10YIT008"/>
    <s v="G000001235"/>
    <s v="G000000627"/>
    <s v="LFF (MDG-F)"/>
    <s v="DE10YIT008"/>
    <m/>
    <b v="0"/>
    <x v="0"/>
    <x v="3"/>
    <d v="2025-08-05T00:00:00"/>
    <m/>
    <m/>
    <x v="0"/>
    <n v="3"/>
    <s v="Jay-R Lizardo"/>
    <m/>
  </r>
  <r>
    <x v="315"/>
    <x v="1"/>
    <x v="6"/>
    <s v="CLFF_1000$$$DE10YIT012"/>
    <s v="G000000247"/>
    <s v="G000000627"/>
    <s v="LFF (MDG-F)"/>
    <s v="DE10YIT012"/>
    <m/>
    <b v="0"/>
    <x v="0"/>
    <x v="3"/>
    <d v="2025-08-05T00:00:00"/>
    <m/>
    <m/>
    <x v="0"/>
    <n v="3"/>
    <s v="Jay-R Lizardo"/>
    <m/>
  </r>
  <r>
    <x v="315"/>
    <x v="1"/>
    <x v="6"/>
    <s v="CLFF_1000$$$DE10YIT011"/>
    <s v="G000000273"/>
    <s v="G000000627"/>
    <s v="LFF (MDG-F)"/>
    <s v="DE10YIT011"/>
    <m/>
    <b v="0"/>
    <x v="0"/>
    <x v="3"/>
    <d v="2025-08-05T00:00:00"/>
    <m/>
    <m/>
    <x v="0"/>
    <n v="3"/>
    <s v="Jay-R Lizardo"/>
    <m/>
  </r>
  <r>
    <x v="315"/>
    <x v="1"/>
    <x v="6"/>
    <s v="CLFF_1000$$$DE10669632"/>
    <s v="G000001420"/>
    <s v="G000000243"/>
    <s v="LFF (MDG-F)"/>
    <s v="DE10669632"/>
    <m/>
    <b v="0"/>
    <x v="0"/>
    <x v="3"/>
    <d v="2025-08-05T00:00:00"/>
    <m/>
    <m/>
    <x v="0"/>
    <n v="3"/>
    <s v="Jay-R Lizardo"/>
    <m/>
  </r>
  <r>
    <x v="315"/>
    <x v="1"/>
    <x v="6"/>
    <s v="CLFF_1000$$$DE10669646"/>
    <s v="G000001388"/>
    <s v="G000000341"/>
    <s v="LFF (MDG-F)"/>
    <s v="DE10669646"/>
    <m/>
    <b v="0"/>
    <x v="0"/>
    <x v="3"/>
    <d v="2025-08-05T00:00:00"/>
    <m/>
    <m/>
    <x v="0"/>
    <n v="3"/>
    <s v="Jay-R Lizardo"/>
    <m/>
  </r>
  <r>
    <x v="315"/>
    <x v="1"/>
    <x v="6"/>
    <s v="CLFF_1000$$$DE10669656"/>
    <s v="G000001393"/>
    <s v="G000001118"/>
    <s v="LFF (MDG-F)"/>
    <s v="DE10669656"/>
    <m/>
    <b v="0"/>
    <x v="0"/>
    <x v="3"/>
    <d v="2025-08-05T00:00:00"/>
    <m/>
    <m/>
    <x v="0"/>
    <n v="3"/>
    <s v="Jay-R Lizardo"/>
    <m/>
  </r>
  <r>
    <x v="315"/>
    <x v="1"/>
    <x v="6"/>
    <s v="CLFF_1000$$$DE10YIT013"/>
    <s v="G000001395"/>
    <s v="G000001118"/>
    <s v="LFF (MDG-F)"/>
    <s v="DE10YIT013"/>
    <m/>
    <b v="0"/>
    <x v="0"/>
    <x v="3"/>
    <d v="2025-08-05T00:00:00"/>
    <m/>
    <m/>
    <x v="0"/>
    <n v="3"/>
    <s v="Jay-R Lizardo"/>
    <m/>
  </r>
  <r>
    <x v="315"/>
    <x v="1"/>
    <x v="6"/>
    <s v="CLFF_1000$$$DE10638480"/>
    <s v="G000001118"/>
    <s v="G000001121"/>
    <s v="LFF (MDG-F)"/>
    <s v="DE10638480"/>
    <m/>
    <b v="0"/>
    <x v="0"/>
    <x v="3"/>
    <d v="2025-08-05T00:00:00"/>
    <m/>
    <m/>
    <x v="0"/>
    <n v="3"/>
    <s v="Jay-R Lizardo"/>
    <m/>
  </r>
  <r>
    <x v="315"/>
    <x v="1"/>
    <x v="6"/>
    <s v="CLFF_1000$$$DE10638470"/>
    <s v="G000001118"/>
    <s v="G000001121"/>
    <s v="LFF (MDG-F)"/>
    <s v="DE10638470"/>
    <m/>
    <b v="0"/>
    <x v="0"/>
    <x v="3"/>
    <d v="2025-08-05T00:00:00"/>
    <m/>
    <m/>
    <x v="0"/>
    <n v="3"/>
    <s v="Jay-R Lizardo"/>
    <m/>
  </r>
  <r>
    <x v="315"/>
    <x v="1"/>
    <x v="6"/>
    <s v="CLFF_1000$$$DE10512503"/>
    <s v="G000001118"/>
    <s v="G000001121"/>
    <s v="LFF (MDG-F)"/>
    <s v="DE10512503"/>
    <m/>
    <b v="0"/>
    <x v="0"/>
    <x v="3"/>
    <d v="2025-08-05T00:00:00"/>
    <m/>
    <m/>
    <x v="0"/>
    <n v="3"/>
    <s v="Jay-R Lizardo"/>
    <m/>
  </r>
  <r>
    <x v="315"/>
    <x v="1"/>
    <x v="6"/>
    <s v="CLFF_1000$$$DE10638460"/>
    <s v="G000001118"/>
    <s v="G000001121"/>
    <s v="LFF (MDG-F)"/>
    <s v="DE10638460"/>
    <m/>
    <b v="0"/>
    <x v="0"/>
    <x v="3"/>
    <d v="2025-08-05T00:00:00"/>
    <m/>
    <m/>
    <x v="0"/>
    <n v="3"/>
    <s v="Jay-R Lizardo"/>
    <m/>
  </r>
  <r>
    <x v="315"/>
    <x v="1"/>
    <x v="6"/>
    <s v="CLFF_1000$$$DE10512502"/>
    <s v="G000001118"/>
    <s v="G000001121"/>
    <s v="LFF (MDG-F)"/>
    <s v="DE10512502"/>
    <m/>
    <b v="0"/>
    <x v="0"/>
    <x v="3"/>
    <d v="2025-08-05T00:00:00"/>
    <m/>
    <m/>
    <x v="0"/>
    <n v="3"/>
    <s v="Jay-R Lizardo"/>
    <m/>
  </r>
  <r>
    <x v="315"/>
    <x v="1"/>
    <x v="6"/>
    <s v="CLFF_1000$$$DE10512501"/>
    <s v="G000001118"/>
    <s v="G000001121"/>
    <s v="LFF (MDG-F)"/>
    <s v="DE10512501"/>
    <m/>
    <b v="0"/>
    <x v="0"/>
    <x v="3"/>
    <d v="2025-08-05T00:00:00"/>
    <m/>
    <m/>
    <x v="0"/>
    <n v="3"/>
    <s v="Jay-R Lizardo"/>
    <m/>
  </r>
  <r>
    <x v="315"/>
    <x v="1"/>
    <x v="6"/>
    <s v="CLFF_1000$$$DE10638450"/>
    <s v="G000001118"/>
    <s v="G000001121"/>
    <s v="LFF (MDG-F)"/>
    <s v="DE10638450"/>
    <m/>
    <b v="0"/>
    <x v="0"/>
    <x v="3"/>
    <d v="2025-08-05T00:00:00"/>
    <m/>
    <m/>
    <x v="0"/>
    <n v="3"/>
    <s v="Jay-R Lizardo"/>
    <m/>
  </r>
  <r>
    <x v="315"/>
    <x v="1"/>
    <x v="6"/>
    <s v="CLFF_1000$$$DE10GMS020"/>
    <s v="G000001381"/>
    <s v="G000000243"/>
    <s v="LFF (MDG-F)"/>
    <s v="DE10GMS020"/>
    <m/>
    <b v="0"/>
    <x v="0"/>
    <x v="3"/>
    <d v="2025-08-05T00:00:00"/>
    <m/>
    <m/>
    <x v="0"/>
    <n v="3"/>
    <s v="Jay-R Lizardo"/>
    <m/>
  </r>
  <r>
    <x v="315"/>
    <x v="1"/>
    <x v="6"/>
    <s v="CLFF_1000$$$DE10GMS041"/>
    <s v="G000001420"/>
    <s v="G000000243"/>
    <s v="LFF (MDG-F)"/>
    <s v="DE10GMS041"/>
    <m/>
    <b v="0"/>
    <x v="0"/>
    <x v="3"/>
    <d v="2025-08-05T00:00:00"/>
    <m/>
    <m/>
    <x v="0"/>
    <n v="3"/>
    <s v="Jay-R Lizardo"/>
    <m/>
  </r>
  <r>
    <x v="315"/>
    <x v="1"/>
    <x v="6"/>
    <s v="CLFF_1000$$$DE10698300"/>
    <s v="G000001381"/>
    <s v="G000001184"/>
    <s v="LFF (MDG-F)"/>
    <s v="DE10698300"/>
    <m/>
    <b v="0"/>
    <x v="0"/>
    <x v="3"/>
    <d v="2025-08-05T00:00:00"/>
    <m/>
    <m/>
    <x v="0"/>
    <n v="3"/>
    <s v="Jay-R Lizardo"/>
    <m/>
  </r>
  <r>
    <x v="315"/>
    <x v="1"/>
    <x v="6"/>
    <s v="CLFF_1000$$$DE10669630"/>
    <s v="G000001381"/>
    <s v="G000001189"/>
    <s v="LFF (MDG-F)"/>
    <s v="DE10669630"/>
    <m/>
    <b v="0"/>
    <x v="0"/>
    <x v="3"/>
    <d v="2025-08-05T00:00:00"/>
    <m/>
    <m/>
    <x v="0"/>
    <n v="3"/>
    <s v="Jay-R Lizardo"/>
    <m/>
  </r>
  <r>
    <x v="315"/>
    <x v="1"/>
    <x v="6"/>
    <s v="CLFF_1000$$$DE10669642"/>
    <s v="G000001381"/>
    <s v="G000001193"/>
    <s v="LFF (MDG-F)"/>
    <s v="DE10669642"/>
    <m/>
    <b v="0"/>
    <x v="0"/>
    <x v="3"/>
    <d v="2025-08-05T00:00:00"/>
    <m/>
    <m/>
    <x v="0"/>
    <n v="3"/>
    <s v="Jay-R Lizardo"/>
    <m/>
  </r>
  <r>
    <x v="315"/>
    <x v="1"/>
    <x v="6"/>
    <s v="CLFF_1000$$$DE10Y00008"/>
    <s v="G000001381"/>
    <s v="G000001185"/>
    <s v="LFF (MDG-F)"/>
    <s v="DE10Y00008"/>
    <m/>
    <b v="0"/>
    <x v="0"/>
    <x v="3"/>
    <d v="2025-08-05T00:00:00"/>
    <m/>
    <m/>
    <x v="0"/>
    <n v="3"/>
    <s v="Jay-R Lizardo"/>
    <m/>
  </r>
  <r>
    <x v="315"/>
    <x v="1"/>
    <x v="5"/>
    <s v="CEMERAL_70006101AD1L16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70GIT301"/>
    <s v="G000000253"/>
    <s v="G000000255"/>
    <s v="LFF (MDG-F)"/>
    <s v="CN70GIT301"/>
    <m/>
    <b v="0"/>
    <x v="0"/>
    <x v="3"/>
    <d v="2025-08-05T00:00:00"/>
    <m/>
    <m/>
    <x v="0"/>
    <n v="3"/>
    <s v="Jay-R Lizardo"/>
    <m/>
  </r>
  <r>
    <x v="315"/>
    <x v="1"/>
    <x v="5"/>
    <s v="CITR_1000$$$IT17711152"/>
    <s v="G000001118"/>
    <s v="ITR_1000$$$IT1771115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G50GIT051"/>
    <s v="G000001401"/>
    <s v="G000001121"/>
    <s v="LFF (MDG-F)"/>
    <s v="EG50GIT051"/>
    <m/>
    <b v="0"/>
    <x v="0"/>
    <x v="3"/>
    <d v="2025-08-05T00:00:00"/>
    <m/>
    <m/>
    <x v="0"/>
    <n v="3"/>
    <s v="Jay-R Lizardo"/>
    <m/>
  </r>
  <r>
    <x v="315"/>
    <x v="1"/>
    <x v="6"/>
    <s v="CLFF_1000$$$EG50GIT030"/>
    <s v="G000001415"/>
    <s v="G000001121"/>
    <s v="LFF (MDG-F)"/>
    <s v="EG50GIT030"/>
    <m/>
    <b v="0"/>
    <x v="0"/>
    <x v="3"/>
    <d v="2025-08-05T00:00:00"/>
    <m/>
    <m/>
    <x v="0"/>
    <n v="3"/>
    <s v="Jay-R Lizardo"/>
    <m/>
  </r>
  <r>
    <x v="315"/>
    <x v="1"/>
    <x v="5"/>
    <s v="CTEMPLA_1000UY10120022"/>
    <s v="L000013397"/>
    <s v="TEMPLA_1000UY1012002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37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21"/>
    <s v="G000001421"/>
    <s v="TEMPLA_1000UY101000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25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40"/>
    <s v="G000001397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40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F87G7C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65YIT001"/>
    <s v="G000001235"/>
    <s v="G000000627"/>
    <s v="LFF (MDG-F)"/>
    <s v="CH65YIT001"/>
    <m/>
    <b v="0"/>
    <x v="0"/>
    <x v="3"/>
    <d v="2025-08-05T00:00:00"/>
    <m/>
    <m/>
    <x v="0"/>
    <n v="3"/>
    <s v="Jay-R Lizardo"/>
    <m/>
  </r>
  <r>
    <x v="315"/>
    <x v="1"/>
    <x v="6"/>
    <s v="CLFF_1000$$$CH65GIT011"/>
    <s v="G000000726"/>
    <s v="G000000727"/>
    <s v="LFF (MDG-F)"/>
    <s v="CH65GIT011"/>
    <m/>
    <b v="0"/>
    <x v="0"/>
    <x v="3"/>
    <d v="2025-08-05T00:00:00"/>
    <m/>
    <m/>
    <x v="0"/>
    <n v="3"/>
    <s v="Jay-R Lizardo"/>
    <m/>
  </r>
  <r>
    <x v="315"/>
    <x v="1"/>
    <x v="5"/>
    <s v="CTEMPEU_1000NL40AD009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45.957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50GIT032"/>
    <s v="G000001398"/>
    <s v="G000001121"/>
    <s v="LFF (MDG-F)"/>
    <s v="CH50GIT032"/>
    <m/>
    <b v="0"/>
    <x v="0"/>
    <x v="3"/>
    <d v="2025-08-05T00:00:00"/>
    <m/>
    <m/>
    <x v="0"/>
    <n v="3"/>
    <s v="Jay-R Lizardo"/>
    <m/>
  </r>
  <r>
    <x v="315"/>
    <x v="1"/>
    <x v="6"/>
    <s v="CLFF_KR00$$$KR03GIT01B"/>
    <s v="G000000277"/>
    <s v="P000000041"/>
    <s v="LFF (MDG-F)"/>
    <s v="KR03GIT01B"/>
    <m/>
    <b v="0"/>
    <x v="0"/>
    <x v="3"/>
    <d v="2025-08-05T00:00:00"/>
    <m/>
    <m/>
    <x v="0"/>
    <n v="3"/>
    <s v="Jay-R Lizardo"/>
    <m/>
  </r>
  <r>
    <x v="315"/>
    <x v="1"/>
    <x v="5"/>
    <s v="CORAERP_MMOR1975.9579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10"/>
    <s v="G000001405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33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2"/>
    <s v="G000001396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49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5061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63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57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93"/>
    <s v="L000013389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029GIT120"/>
    <s v="L000013393"/>
    <s v="LFF_7210$$$2029GIT120"/>
    <s v="LFF (MDG-F)"/>
    <s v="2029GIT120"/>
    <m/>
    <b v="0"/>
    <x v="0"/>
    <x v="3"/>
    <d v="2025-08-05T00:00:00"/>
    <m/>
    <m/>
    <x v="0"/>
    <n v="3"/>
    <s v="Jay-R Lizardo"/>
    <m/>
  </r>
  <r>
    <x v="315"/>
    <x v="1"/>
    <x v="6"/>
    <s v="CLFF_7210$$$2034GIT120"/>
    <s v="L000013397"/>
    <s v="L000013396"/>
    <s v="LFF (MDG-F)"/>
    <s v="2034GIT120"/>
    <m/>
    <b v="0"/>
    <x v="0"/>
    <x v="3"/>
    <d v="2025-08-05T00:00:00"/>
    <m/>
    <m/>
    <x v="0"/>
    <n v="3"/>
    <s v="Jay-R Lizardo"/>
    <m/>
  </r>
  <r>
    <x v="315"/>
    <x v="1"/>
    <x v="5"/>
    <s v="CNOW_7210$$$0000057801"/>
    <s v="G000001235"/>
    <s v="G00000025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7184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6669"/>
    <s v="G000001409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2182"/>
    <s v="G000001407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1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3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2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4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8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6"/>
    <s v="G00000111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5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12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09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172"/>
    <s v="L000013389"/>
    <s v="L00001339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31698"/>
    <s v="L000013389"/>
    <s v="L00001339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TQJZ94"/>
    <s v="G000001387"/>
    <s v="G000001343"/>
    <s v="LFF (MDG-F)"/>
    <s v="2123TQJZ94"/>
    <m/>
    <b v="0"/>
    <x v="0"/>
    <x v="3"/>
    <d v="2025-08-05T00:00:00"/>
    <m/>
    <m/>
    <x v="0"/>
    <n v="3"/>
    <s v="Jay-R Lizardo"/>
    <m/>
  </r>
  <r>
    <x v="315"/>
    <x v="1"/>
    <x v="6"/>
    <s v="CLFF_7210$$$2123GIT126"/>
    <s v="G000001396"/>
    <s v="G000001121"/>
    <s v="LFF (MDG-F)"/>
    <s v="2123GIT126"/>
    <m/>
    <b v="0"/>
    <x v="0"/>
    <x v="3"/>
    <d v="2025-08-05T00:00:00"/>
    <m/>
    <m/>
    <x v="0"/>
    <n v="3"/>
    <s v="Jay-R Lizardo"/>
    <m/>
  </r>
  <r>
    <x v="315"/>
    <x v="1"/>
    <x v="6"/>
    <s v="CLFF_7210$$$2123GMI020"/>
    <s v="G000001387"/>
    <s v="G000000247"/>
    <s v="LFF (MDG-F)"/>
    <s v="2123GMI020"/>
    <m/>
    <b v="0"/>
    <x v="0"/>
    <x v="3"/>
    <d v="2025-08-05T00:00:00"/>
    <m/>
    <m/>
    <x v="0"/>
    <n v="3"/>
    <s v="Jay-R Lizardo"/>
    <m/>
  </r>
  <r>
    <x v="315"/>
    <x v="1"/>
    <x v="6"/>
    <s v="CLFF_7210$$$2123OF0033"/>
    <s v="G000001391"/>
    <s v="G000001118"/>
    <s v="LFF (MDG-F)"/>
    <s v="2123OF0033"/>
    <m/>
    <b v="0"/>
    <x v="0"/>
    <x v="3"/>
    <d v="2025-08-05T00:00:00"/>
    <m/>
    <m/>
    <x v="0"/>
    <n v="3"/>
    <s v="Jay-R Lizardo"/>
    <m/>
  </r>
  <r>
    <x v="315"/>
    <x v="1"/>
    <x v="6"/>
    <s v="CLFF_7210$$$2123OF0027"/>
    <s v="G000001391"/>
    <s v="G000001118"/>
    <s v="LFF (MDG-F)"/>
    <s v="2123OF0027"/>
    <m/>
    <b v="0"/>
    <x v="0"/>
    <x v="3"/>
    <d v="2025-08-05T00:00:00"/>
    <m/>
    <m/>
    <x v="0"/>
    <n v="3"/>
    <s v="Jay-R Lizardo"/>
    <m/>
  </r>
  <r>
    <x v="315"/>
    <x v="1"/>
    <x v="6"/>
    <s v="CLFF_7210$$$2123GMS040"/>
    <s v="G000001420"/>
    <s v="G000001187"/>
    <s v="LFF (MDG-F)"/>
    <s v="2123GMS040"/>
    <m/>
    <b v="0"/>
    <x v="0"/>
    <x v="3"/>
    <d v="2025-08-05T00:00:00"/>
    <m/>
    <m/>
    <x v="0"/>
    <n v="3"/>
    <s v="Jay-R Lizardo"/>
    <m/>
  </r>
  <r>
    <x v="315"/>
    <x v="1"/>
    <x v="6"/>
    <s v="CLFF_7210$$$2123GMS030"/>
    <s v="G000001421"/>
    <s v="G000000243"/>
    <s v="LFF (MDG-F)"/>
    <s v="2123GMS030"/>
    <m/>
    <b v="0"/>
    <x v="0"/>
    <x v="3"/>
    <d v="2025-08-05T00:00:00"/>
    <m/>
    <m/>
    <x v="0"/>
    <n v="3"/>
    <s v="Jay-R Lizardo"/>
    <m/>
  </r>
  <r>
    <x v="315"/>
    <x v="1"/>
    <x v="6"/>
    <s v="CLFF_7210$$$2123C00009"/>
    <s v="G000001391"/>
    <s v="G000001118"/>
    <s v="LFF (MDG-F)"/>
    <s v="2123C00009"/>
    <m/>
    <b v="0"/>
    <x v="0"/>
    <x v="3"/>
    <d v="2025-08-05T00:00:00"/>
    <m/>
    <m/>
    <x v="0"/>
    <n v="3"/>
    <s v="Jay-R Lizardo"/>
    <m/>
  </r>
  <r>
    <x v="315"/>
    <x v="1"/>
    <x v="6"/>
    <s v="CLFF_7210$$$2123GIT127"/>
    <s v="L000013393"/>
    <s v="L000013396"/>
    <s v="LFF (MDG-F)"/>
    <s v="2123GIT127"/>
    <m/>
    <b v="0"/>
    <x v="0"/>
    <x v="3"/>
    <d v="2025-08-05T00:00:00"/>
    <m/>
    <m/>
    <x v="0"/>
    <n v="3"/>
    <s v="Jay-R Lizardo"/>
    <m/>
  </r>
  <r>
    <x v="315"/>
    <x v="1"/>
    <x v="6"/>
    <s v="CLFF_7210$$$2123GMB010"/>
    <s v="G000001381"/>
    <s v="G000000243"/>
    <s v="LFF (MDG-F)"/>
    <s v="2123GMB010"/>
    <m/>
    <b v="0"/>
    <x v="0"/>
    <x v="3"/>
    <d v="2025-08-05T00:00:00"/>
    <m/>
    <m/>
    <x v="0"/>
    <n v="3"/>
    <s v="Jay-R Lizardo"/>
    <m/>
  </r>
  <r>
    <x v="315"/>
    <x v="1"/>
    <x v="6"/>
    <s v="CLFF_7210$$$2123OF0010"/>
    <s v="G000001387"/>
    <s v="G000000247"/>
    <s v="LFF (MDG-F)"/>
    <s v="2123OF0010"/>
    <m/>
    <b v="0"/>
    <x v="0"/>
    <x v="3"/>
    <d v="2025-08-05T00:00:00"/>
    <m/>
    <m/>
    <x v="0"/>
    <n v="3"/>
    <s v="Jay-R Lizardo"/>
    <m/>
  </r>
  <r>
    <x v="315"/>
    <x v="1"/>
    <x v="6"/>
    <s v="CLFF_7210$$$2123GM1110"/>
    <s v="G000001387"/>
    <s v="G000000247"/>
    <s v="LFF (MDG-F)"/>
    <s v="2123GM1110"/>
    <m/>
    <b v="0"/>
    <x v="0"/>
    <x v="3"/>
    <d v="2025-08-05T00:00:00"/>
    <m/>
    <m/>
    <x v="0"/>
    <n v="3"/>
    <s v="Jay-R Lizardo"/>
    <m/>
  </r>
  <r>
    <x v="315"/>
    <x v="1"/>
    <x v="6"/>
    <s v="CLFF_7210$$$2123GMI021"/>
    <s v="G000001389"/>
    <s v="G000001118"/>
    <s v="LFF (MDG-F)"/>
    <s v="2123GMI021"/>
    <m/>
    <b v="0"/>
    <x v="0"/>
    <x v="3"/>
    <d v="2025-08-05T00:00:00"/>
    <m/>
    <m/>
    <x v="0"/>
    <n v="3"/>
    <s v="Jay-R Lizardo"/>
    <m/>
  </r>
  <r>
    <x v="315"/>
    <x v="1"/>
    <x v="6"/>
    <s v="CLFF_7210$$$2123L50005"/>
    <s v="G000001387"/>
    <s v="G000000247"/>
    <s v="LFF (MDG-F)"/>
    <s v="2123L50005"/>
    <m/>
    <b v="0"/>
    <x v="0"/>
    <x v="3"/>
    <d v="2025-08-05T00:00:00"/>
    <m/>
    <m/>
    <x v="0"/>
    <n v="3"/>
    <s v="Jay-R Lizardo"/>
    <m/>
  </r>
  <r>
    <x v="315"/>
    <x v="1"/>
    <x v="6"/>
    <s v="CLFF_7210$$$2123YIT005"/>
    <s v="G000001387"/>
    <s v="G000000246"/>
    <s v="LFF (MDG-F)"/>
    <s v="2123YIT005"/>
    <m/>
    <b v="0"/>
    <x v="0"/>
    <x v="3"/>
    <d v="2025-08-05T00:00:00"/>
    <m/>
    <m/>
    <x v="0"/>
    <n v="3"/>
    <s v="Jay-R Lizardo"/>
    <m/>
  </r>
  <r>
    <x v="315"/>
    <x v="1"/>
    <x v="6"/>
    <s v="CLFF_7210$$$2123YIT004"/>
    <s v="G000001387"/>
    <s v="G000000246"/>
    <s v="LFF (MDG-F)"/>
    <s v="2123YIT004"/>
    <m/>
    <b v="0"/>
    <x v="0"/>
    <x v="3"/>
    <d v="2025-08-05T00:00:00"/>
    <m/>
    <m/>
    <x v="0"/>
    <n v="3"/>
    <s v="Jay-R Lizardo"/>
    <m/>
  </r>
  <r>
    <x v="315"/>
    <x v="1"/>
    <x v="6"/>
    <s v="CLFF_7210$$$2123C00028"/>
    <s v="G000001390"/>
    <s v="G000001118"/>
    <s v="LFF (MDG-F)"/>
    <s v="2123C00028"/>
    <m/>
    <b v="0"/>
    <x v="0"/>
    <x v="3"/>
    <d v="2025-08-05T00:00:00"/>
    <m/>
    <m/>
    <x v="0"/>
    <n v="3"/>
    <s v="Jay-R Lizardo"/>
    <m/>
  </r>
  <r>
    <x v="315"/>
    <x v="1"/>
    <x v="6"/>
    <s v="CLFF_7210$$$2123TPSZ93"/>
    <s v="G000001387"/>
    <s v="G000001341"/>
    <s v="LFF (MDG-F)"/>
    <s v="2123TPSZ93"/>
    <m/>
    <b v="0"/>
    <x v="0"/>
    <x v="3"/>
    <d v="2025-08-05T00:00:00"/>
    <m/>
    <m/>
    <x v="0"/>
    <n v="3"/>
    <s v="Jay-R Lizardo"/>
    <m/>
  </r>
  <r>
    <x v="315"/>
    <x v="1"/>
    <x v="6"/>
    <s v="CLFF_7210$$$2123C00103"/>
    <s v="G000001387"/>
    <s v="G000000247"/>
    <s v="LFF (MDG-F)"/>
    <s v="2123C00103"/>
    <m/>
    <b v="0"/>
    <x v="0"/>
    <x v="3"/>
    <d v="2025-08-05T00:00:00"/>
    <m/>
    <m/>
    <x v="0"/>
    <n v="3"/>
    <s v="Jay-R Lizardo"/>
    <m/>
  </r>
  <r>
    <x v="315"/>
    <x v="1"/>
    <x v="6"/>
    <s v="CLFF_7210$$$2123GIT129"/>
    <s v="L000013389"/>
    <s v="L000013395"/>
    <s v="LFF (MDG-F)"/>
    <s v="2123GIT129"/>
    <m/>
    <b v="0"/>
    <x v="0"/>
    <x v="3"/>
    <d v="2025-08-05T00:00:00"/>
    <m/>
    <m/>
    <x v="0"/>
    <n v="3"/>
    <s v="Jay-R Lizardo"/>
    <m/>
  </r>
  <r>
    <x v="315"/>
    <x v="1"/>
    <x v="6"/>
    <s v="CLFF_7210$$$2123GIT027"/>
    <s v="G000001396"/>
    <s v="G000001121"/>
    <s v="LFF (MDG-F)"/>
    <s v="2123GIT027"/>
    <m/>
    <b v="0"/>
    <x v="0"/>
    <x v="3"/>
    <d v="2025-08-05T00:00:00"/>
    <m/>
    <m/>
    <x v="0"/>
    <n v="3"/>
    <s v="Jay-R Lizardo"/>
    <m/>
  </r>
  <r>
    <x v="315"/>
    <x v="1"/>
    <x v="6"/>
    <s v="CLFF_7210$$$2123GIT212"/>
    <s v="G000001399"/>
    <s v="G000001121"/>
    <s v="LFF (MDG-F)"/>
    <s v="2123GIT212"/>
    <m/>
    <b v="0"/>
    <x v="0"/>
    <x v="3"/>
    <d v="2025-08-05T00:00:00"/>
    <m/>
    <m/>
    <x v="0"/>
    <n v="3"/>
    <s v="Jay-R Lizardo"/>
    <m/>
  </r>
  <r>
    <x v="315"/>
    <x v="1"/>
    <x v="6"/>
    <s v="CLFF_7210$$$2123GIT448"/>
    <s v="G000001396"/>
    <s v="G000001121"/>
    <s v="LFF (MDG-F)"/>
    <s v="2123GIT448"/>
    <m/>
    <b v="0"/>
    <x v="0"/>
    <x v="3"/>
    <d v="2025-08-05T00:00:00"/>
    <m/>
    <m/>
    <x v="0"/>
    <n v="3"/>
    <s v="Jay-R Lizardo"/>
    <m/>
  </r>
  <r>
    <x v="315"/>
    <x v="1"/>
    <x v="6"/>
    <s v="CLFF_7210$$$2123GIT520"/>
    <s v="G000000253"/>
    <s v="G000000255"/>
    <s v="LFF (MDG-F)"/>
    <s v="2123GIT520"/>
    <m/>
    <b v="0"/>
    <x v="0"/>
    <x v="3"/>
    <d v="2025-08-05T00:00:00"/>
    <m/>
    <m/>
    <x v="0"/>
    <n v="3"/>
    <s v="Jay-R Lizardo"/>
    <m/>
  </r>
  <r>
    <x v="315"/>
    <x v="1"/>
    <x v="6"/>
    <s v="CLFF_7210$$$2123GST008"/>
    <s v="G000001401"/>
    <s v="G000001120"/>
    <s v="LFF (MDG-F)"/>
    <s v="2123GST008"/>
    <m/>
    <b v="0"/>
    <x v="0"/>
    <x v="3"/>
    <d v="2025-08-05T00:00:00"/>
    <m/>
    <m/>
    <x v="0"/>
    <n v="3"/>
    <s v="Jay-R Lizardo"/>
    <m/>
  </r>
  <r>
    <x v="315"/>
    <x v="1"/>
    <x v="6"/>
    <s v="CLFF_7210$$$2123GIT098"/>
    <s v="L000013397"/>
    <s v="L000013396"/>
    <s v="LFF (MDG-F)"/>
    <s v="2123GIT098"/>
    <m/>
    <b v="0"/>
    <x v="0"/>
    <x v="3"/>
    <d v="2025-08-05T00:00:00"/>
    <m/>
    <m/>
    <x v="0"/>
    <n v="3"/>
    <s v="Jay-R Lizardo"/>
    <m/>
  </r>
  <r>
    <x v="315"/>
    <x v="1"/>
    <x v="6"/>
    <s v="CLFF_7210$$$2123GIT096"/>
    <s v="G000001396"/>
    <s v="G000001121"/>
    <s v="LFF (MDG-F)"/>
    <s v="2123GIT096"/>
    <m/>
    <b v="0"/>
    <x v="0"/>
    <x v="3"/>
    <d v="2025-08-05T00:00:00"/>
    <m/>
    <m/>
    <x v="0"/>
    <n v="3"/>
    <s v="Jay-R Lizardo"/>
    <m/>
  </r>
  <r>
    <x v="315"/>
    <x v="1"/>
    <x v="6"/>
    <s v="CLFF_7210$$$2123C00079"/>
    <s v="G000001391"/>
    <s v="G000001118"/>
    <s v="LFF (MDG-F)"/>
    <s v="2123C00079"/>
    <m/>
    <b v="0"/>
    <x v="0"/>
    <x v="3"/>
    <d v="2025-08-05T00:00:00"/>
    <m/>
    <m/>
    <x v="0"/>
    <n v="3"/>
    <s v="Jay-R Lizardo"/>
    <m/>
  </r>
  <r>
    <x v="315"/>
    <x v="1"/>
    <x v="6"/>
    <s v="CLFF_7210$$$2123GIT135"/>
    <s v="G000000253"/>
    <s v="G000000255"/>
    <s v="LFF (MDG-F)"/>
    <s v="2123GIT135"/>
    <m/>
    <b v="0"/>
    <x v="0"/>
    <x v="3"/>
    <d v="2025-08-05T00:00:00"/>
    <m/>
    <m/>
    <x v="0"/>
    <n v="3"/>
    <s v="Jay-R Lizardo"/>
    <m/>
  </r>
  <r>
    <x v="315"/>
    <x v="1"/>
    <x v="6"/>
    <s v="CLFF_7210$$$2123GIT085"/>
    <s v="G000001398"/>
    <s v="G000001121"/>
    <s v="LFF (MDG-F)"/>
    <s v="2123GIT085"/>
    <m/>
    <b v="0"/>
    <x v="0"/>
    <x v="3"/>
    <d v="2025-08-05T00:00:00"/>
    <m/>
    <m/>
    <x v="0"/>
    <n v="3"/>
    <s v="Jay-R Lizardo"/>
    <m/>
  </r>
  <r>
    <x v="315"/>
    <x v="1"/>
    <x v="6"/>
    <s v="CLFF_7210$$$2123GIT097"/>
    <s v="G000001398"/>
    <s v="G000001121"/>
    <s v="LFF (MDG-F)"/>
    <s v="2123GIT097"/>
    <m/>
    <b v="0"/>
    <x v="0"/>
    <x v="3"/>
    <d v="2025-08-05T00:00:00"/>
    <m/>
    <m/>
    <x v="0"/>
    <n v="3"/>
    <s v="Jay-R Lizardo"/>
    <m/>
  </r>
  <r>
    <x v="315"/>
    <x v="1"/>
    <x v="6"/>
    <s v="CLFF_7210$$$2123GIT025"/>
    <s v="G000001396"/>
    <s v="G000001121"/>
    <s v="LFF (MDG-F)"/>
    <s v="2123GIT025"/>
    <m/>
    <b v="0"/>
    <x v="0"/>
    <x v="3"/>
    <d v="2025-08-05T00:00:00"/>
    <m/>
    <m/>
    <x v="0"/>
    <n v="3"/>
    <s v="Jay-R Lizardo"/>
    <m/>
  </r>
  <r>
    <x v="315"/>
    <x v="1"/>
    <x v="6"/>
    <s v="CLFF_7210$$$2123GIT311"/>
    <s v="G000001398"/>
    <s v="G000001121"/>
    <s v="LFF (MDG-F)"/>
    <s v="2123GIT311"/>
    <m/>
    <b v="0"/>
    <x v="0"/>
    <x v="3"/>
    <d v="2025-08-05T00:00:00"/>
    <m/>
    <m/>
    <x v="0"/>
    <n v="3"/>
    <s v="Jay-R Lizardo"/>
    <m/>
  </r>
  <r>
    <x v="315"/>
    <x v="1"/>
    <x v="6"/>
    <s v="CLFF_7210$$$2123GIT312"/>
    <s v="G000001399"/>
    <s v="G000001121"/>
    <s v="LFF (MDG-F)"/>
    <s v="2123GIT312"/>
    <m/>
    <b v="0"/>
    <x v="0"/>
    <x v="3"/>
    <d v="2025-08-05T00:00:00"/>
    <m/>
    <m/>
    <x v="0"/>
    <n v="3"/>
    <s v="Jay-R Lizardo"/>
    <m/>
  </r>
  <r>
    <x v="315"/>
    <x v="1"/>
    <x v="6"/>
    <s v="CLFF_7210$$$2123GIT313"/>
    <s v="G000001399"/>
    <s v="G000001121"/>
    <s v="LFF (MDG-F)"/>
    <s v="2123GIT313"/>
    <m/>
    <b v="0"/>
    <x v="0"/>
    <x v="3"/>
    <d v="2025-08-05T00:00:00"/>
    <m/>
    <m/>
    <x v="0"/>
    <n v="3"/>
    <s v="Jay-R Lizardo"/>
    <m/>
  </r>
  <r>
    <x v="315"/>
    <x v="1"/>
    <x v="5"/>
    <s v="CNOW_AUS0$$$0000092051"/>
    <s v="G000000279"/>
    <s v="G00000123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FLTFLE_2245000000272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10669638"/>
    <s v="G000001416"/>
    <s v="G000000243"/>
    <s v="LFF (MDG-F)"/>
    <s v="DE10669638"/>
    <m/>
    <b v="0"/>
    <x v="0"/>
    <x v="3"/>
    <d v="2025-08-05T00:00:00"/>
    <m/>
    <m/>
    <x v="0"/>
    <n v="3"/>
    <s v="Jay-R Lizardo"/>
    <m/>
  </r>
  <r>
    <x v="315"/>
    <x v="1"/>
    <x v="6"/>
    <s v="CLFF_1000$$$DE10YIT014"/>
    <s v="G000001392"/>
    <s v="G000001118"/>
    <s v="LFF (MDG-F)"/>
    <s v="DE10YIT014"/>
    <m/>
    <b v="0"/>
    <x v="0"/>
    <x v="3"/>
    <d v="2025-08-05T00:00:00"/>
    <m/>
    <m/>
    <x v="0"/>
    <n v="3"/>
    <s v="Jay-R Lizardo"/>
    <m/>
  </r>
  <r>
    <x v="315"/>
    <x v="1"/>
    <x v="6"/>
    <s v="CLFF_1000$$$DE10GMS070"/>
    <s v="G000001416"/>
    <s v="G000000243"/>
    <s v="LFF (MDG-F)"/>
    <s v="DE10GMS070"/>
    <m/>
    <b v="0"/>
    <x v="0"/>
    <x v="3"/>
    <d v="2025-08-05T00:00:00"/>
    <m/>
    <m/>
    <x v="0"/>
    <n v="3"/>
    <s v="Jay-R Lizardo"/>
    <m/>
  </r>
  <r>
    <x v="315"/>
    <x v="1"/>
    <x v="5"/>
    <s v="CTEMPNA_1000PH80GFO003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6"/>
    <s v="G000001416"/>
    <s v="G00000119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16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GMS050"/>
    <s v="G000001416"/>
    <s v="G000000243"/>
    <s v="LFF (MDG-F)"/>
    <s v="2123GMS050"/>
    <m/>
    <b v="0"/>
    <x v="0"/>
    <x v="3"/>
    <d v="2025-08-05T00:00:00"/>
    <m/>
    <m/>
    <x v="0"/>
    <n v="3"/>
    <s v="Jay-R Lizardo"/>
    <m/>
  </r>
  <r>
    <x v="315"/>
    <x v="1"/>
    <x v="6"/>
    <s v="CLFF_7210$$$2123GMS080"/>
    <s v="G000001416"/>
    <s v="G000001191"/>
    <s v="LFF (MDG-F)"/>
    <s v="2123GMS080"/>
    <m/>
    <b v="0"/>
    <x v="0"/>
    <x v="3"/>
    <d v="2025-08-05T00:00:00"/>
    <m/>
    <m/>
    <x v="0"/>
    <n v="3"/>
    <s v="Jay-R Lizardo"/>
    <m/>
  </r>
  <r>
    <x v="316"/>
    <x v="1"/>
    <x v="5"/>
    <s v="PLEAN_X310201CH6802051 ESHRE global F55 costs ISS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59 ESHRE global FD0 costs ISS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60 ESHRE global FD1 costs ISS"/>
    <s v="H000000948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DE6513299 FD COM PROM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TEMPLA_001520001137 Conceivable Project Fertilidad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33 ECTRIMS Global Costs ISS F55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45 ECTRIMS Global Costs ISS FD0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20 Pimicotinib Marketing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30 Pimicotinib CI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EMERAL_000009101181 7001IC1881SI3110250000"/>
    <s v="H000000161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CEMERAL_70006403A4SS99 Marketing FE -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6"/>
    <s v="CLFF_1000$$$NL50C06884 VP Strategic Marketing Fertility"/>
    <s v="H000000176"/>
    <m/>
    <s v="LFF (MDG-F)"/>
    <s v="NL50C06884"/>
    <m/>
    <b v="0"/>
    <x v="1"/>
    <x v="3"/>
    <d v="2025-08-05T00:00:00"/>
    <m/>
    <m/>
    <x v="0"/>
    <n v="3"/>
    <s v="Rayneil Reas"/>
    <m/>
  </r>
  <r>
    <x v="316"/>
    <x v="1"/>
    <x v="5"/>
    <s v="PLEAN_X310281CN5013010 PI COM C&amp;E Pimi info &amp; IQVIA proposal (F"/>
    <s v="H000001056"/>
    <m/>
    <s v="Non-LFF"/>
    <s v=""/>
    <m/>
    <b v="0"/>
    <x v="1"/>
    <x v="3"/>
    <d v="2025-08-05T00:00:00"/>
    <m/>
    <m/>
    <x v="0"/>
    <n v="3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499">
        <item m="1" x="883"/>
        <item x="0"/>
        <item m="1" x="953"/>
        <item m="1" x="1374"/>
        <item m="1" x="536"/>
        <item m="1" x="1391"/>
        <item m="1" x="913"/>
        <item m="1" x="1003"/>
        <item m="1" x="1424"/>
        <item m="1" x="1218"/>
        <item m="1" x="906"/>
        <item m="1" x="1490"/>
        <item m="1" x="1236"/>
        <item m="1" x="1480"/>
        <item m="1" x="854"/>
        <item m="1" x="755"/>
        <item m="1" x="459"/>
        <item m="1" x="720"/>
        <item m="1" x="1444"/>
        <item m="1" x="512"/>
        <item m="1" x="820"/>
        <item m="1" x="1188"/>
        <item m="1" x="903"/>
        <item m="1" x="996"/>
        <item m="1" x="1292"/>
        <item m="1" x="1477"/>
        <item m="1" x="938"/>
        <item m="1" x="960"/>
        <item m="1" x="725"/>
        <item m="1" x="1126"/>
        <item m="1" x="885"/>
        <item m="1" x="1431"/>
        <item m="1" x="1088"/>
        <item m="1" x="521"/>
        <item m="1" x="629"/>
        <item m="1" x="1416"/>
        <item m="1" x="1180"/>
        <item m="1" x="434"/>
        <item m="1" x="1266"/>
        <item m="1" x="932"/>
        <item m="1" x="1227"/>
        <item m="1" x="813"/>
        <item m="1" x="1165"/>
        <item m="1" x="424"/>
        <item m="1" x="454"/>
        <item m="1" x="1493"/>
        <item m="1" x="1172"/>
        <item m="1" x="1240"/>
        <item m="1" x="1347"/>
        <item m="1" x="1116"/>
        <item m="1" x="1214"/>
        <item m="1" x="1053"/>
        <item m="1" x="508"/>
        <item m="1" x="699"/>
        <item m="1" x="1475"/>
        <item m="1" x="1043"/>
        <item m="1" x="1183"/>
        <item m="1" x="711"/>
        <item m="1" x="672"/>
        <item m="1" x="964"/>
        <item m="1" x="856"/>
        <item m="1" x="889"/>
        <item m="1" x="448"/>
        <item m="1" x="587"/>
        <item m="1" x="1249"/>
        <item m="1" x="1466"/>
        <item m="1" x="652"/>
        <item m="1" x="1057"/>
        <item m="1" x="1067"/>
        <item m="1" x="1244"/>
        <item m="1" x="1354"/>
        <item m="1" x="1232"/>
        <item m="1" x="527"/>
        <item m="1" x="1375"/>
        <item m="1" x="1105"/>
        <item m="1" x="1092"/>
        <item m="1" x="627"/>
        <item m="1" x="980"/>
        <item m="1" x="1327"/>
        <item m="1" x="445"/>
        <item m="1" x="1024"/>
        <item m="1" x="1377"/>
        <item m="1" x="1215"/>
        <item m="1" x="950"/>
        <item m="1" x="992"/>
        <item m="1" x="873"/>
        <item m="1" x="1108"/>
        <item m="1" x="920"/>
        <item m="1" x="1152"/>
        <item m="1" x="636"/>
        <item m="1" x="1465"/>
        <item m="1" x="990"/>
        <item m="1" x="1276"/>
        <item m="1" x="353"/>
        <item m="1" x="1481"/>
        <item m="1" x="1017"/>
        <item m="1" x="1306"/>
        <item m="1" x="1219"/>
        <item m="1" x="997"/>
        <item m="1" x="507"/>
        <item m="1" x="514"/>
        <item m="1" x="554"/>
        <item m="1" x="736"/>
        <item m="1" x="1160"/>
        <item m="1" x="921"/>
        <item m="1" x="1037"/>
        <item m="1" x="1100"/>
        <item m="1" x="1247"/>
        <item m="1" x="1330"/>
        <item m="1" x="892"/>
        <item m="1" x="613"/>
        <item m="1" x="456"/>
        <item m="1" x="599"/>
        <item m="1" x="1474"/>
        <item m="1" x="631"/>
        <item m="1" x="1312"/>
        <item m="1" x="1241"/>
        <item m="1" x="859"/>
        <item m="1" x="931"/>
        <item m="1" x="797"/>
        <item m="1" x="1054"/>
        <item m="1" x="1429"/>
        <item m="1" x="605"/>
        <item m="1" x="553"/>
        <item m="1" x="488"/>
        <item m="1" x="1154"/>
        <item m="1" x="1414"/>
        <item m="1" x="1342"/>
        <item m="1" x="999"/>
        <item m="1" x="523"/>
        <item m="1" x="1248"/>
        <item m="1" x="700"/>
        <item m="1" x="954"/>
        <item m="1" x="1129"/>
        <item m="1" x="1237"/>
        <item m="1" x="357"/>
        <item m="1" x="1186"/>
        <item m="1" x="1149"/>
        <item m="1" x="590"/>
        <item m="1" x="1038"/>
        <item m="1" x="926"/>
        <item m="1" x="879"/>
        <item m="1" x="612"/>
        <item m="1" x="548"/>
        <item m="1" x="788"/>
        <item m="1" x="975"/>
        <item m="1" x="382"/>
        <item m="1" x="721"/>
        <item m="1" x="580"/>
        <item m="1" x="322"/>
        <item m="1" x="832"/>
        <item m="1" x="1033"/>
        <item m="1" x="915"/>
        <item m="1" x="961"/>
        <item m="1" x="1280"/>
        <item m="1" x="862"/>
        <item m="1" x="1388"/>
        <item m="1" x="1112"/>
        <item m="1" x="1051"/>
        <item m="1" x="565"/>
        <item m="1" x="1198"/>
        <item m="1" x="1476"/>
        <item m="1" x="1164"/>
        <item m="1" x="1148"/>
        <item m="1" x="435"/>
        <item m="1" x="483"/>
        <item m="1" x="1018"/>
        <item m="1" x="524"/>
        <item m="1" x="1461"/>
        <item m="1" x="1127"/>
        <item m="1" x="1052"/>
        <item m="1" x="1004"/>
        <item m="1" x="805"/>
        <item m="1" x="433"/>
        <item m="1" x="533"/>
        <item m="1" x="639"/>
        <item m="1" x="1372"/>
        <item m="1" x="1404"/>
        <item m="1" x="1103"/>
        <item m="1" x="830"/>
        <item m="1" x="918"/>
        <item m="1" x="428"/>
        <item m="1" x="468"/>
        <item m="1" x="807"/>
        <item m="1" x="1032"/>
        <item m="1" x="945"/>
        <item m="1" x="603"/>
        <item m="1" x="836"/>
        <item m="1" x="550"/>
        <item m="1" x="745"/>
        <item m="1" x="667"/>
        <item m="1" x="502"/>
        <item m="1" x="638"/>
        <item m="1" x="1008"/>
        <item m="1" x="418"/>
        <item m="1" x="657"/>
        <item m="1" x="449"/>
        <item m="1" x="1142"/>
        <item m="1" x="1331"/>
        <item m="1" x="941"/>
        <item m="1" x="585"/>
        <item m="1" x="1235"/>
        <item m="1" x="1080"/>
        <item m="1" x="597"/>
        <item m="1" x="598"/>
        <item m="1" x="783"/>
        <item m="1" x="473"/>
        <item m="1" x="662"/>
        <item m="1" x="457"/>
        <item m="1" x="643"/>
        <item m="1" x="1211"/>
        <item m="1" x="722"/>
        <item m="1" x="1089"/>
        <item m="1" x="1139"/>
        <item m="1" x="1273"/>
        <item m="1" x="1277"/>
        <item m="1" x="994"/>
        <item m="1" x="835"/>
        <item m="1" x="874"/>
        <item m="1" x="1441"/>
        <item m="1" x="734"/>
        <item m="1" x="546"/>
        <item m="1" x="924"/>
        <item m="1" x="381"/>
        <item m="1" x="1445"/>
        <item m="1" x="908"/>
        <item m="1" x="342"/>
        <item m="1" x="1363"/>
        <item m="1" x="1406"/>
        <item m="1" x="1243"/>
        <item m="1" x="620"/>
        <item m="1" x="359"/>
        <item m="1" x="1293"/>
        <item m="1" x="684"/>
        <item m="1" x="320"/>
        <item m="1" x="1464"/>
        <item m="1" x="708"/>
        <item m="1" x="863"/>
        <item m="1" x="1308"/>
        <item m="1" x="395"/>
        <item m="1" x="1220"/>
        <item m="1" x="1028"/>
        <item m="1" x="893"/>
        <item m="1" x="763"/>
        <item m="1" x="510"/>
        <item m="1" x="1011"/>
        <item m="1" x="713"/>
        <item m="1" x="1251"/>
        <item m="1" x="573"/>
        <item m="1" x="1321"/>
        <item m="1" x="1328"/>
        <item m="1" x="1012"/>
        <item m="1" x="1202"/>
        <item m="1" x="619"/>
        <item m="1" x="916"/>
        <item m="1" x="1205"/>
        <item m="1" x="789"/>
        <item m="1" x="1079"/>
        <item m="1" x="718"/>
        <item m="1" x="503"/>
        <item m="1" x="707"/>
        <item m="1" x="1473"/>
        <item m="1" x="1415"/>
        <item m="1" x="560"/>
        <item m="1" x="1361"/>
        <item m="1" x="367"/>
        <item m="1" x="1383"/>
        <item m="1" x="402"/>
        <item m="1" x="704"/>
        <item m="1" x="802"/>
        <item m="1" x="749"/>
        <item m="1" x="1356"/>
        <item m="1" x="1259"/>
        <item m="1" x="500"/>
        <item m="1" x="1070"/>
        <item m="1" x="1278"/>
        <item m="1" x="1412"/>
        <item m="1" x="1319"/>
        <item m="1" x="405"/>
        <item m="1" x="1485"/>
        <item m="1" x="556"/>
        <item m="1" x="837"/>
        <item m="1" x="1281"/>
        <item m="1" x="404"/>
        <item m="1" x="1340"/>
        <item m="1" x="569"/>
        <item m="1" x="1213"/>
        <item m="1" x="1077"/>
        <item m="1" x="1055"/>
        <item m="1" x="634"/>
        <item m="1" x="596"/>
        <item m="1" x="1408"/>
        <item m="1" x="349"/>
        <item m="1" x="531"/>
        <item m="1" x="1190"/>
        <item m="1" x="1301"/>
        <item m="1" x="1228"/>
        <item m="1" x="1432"/>
        <item m="1" x="936"/>
        <item m="1" x="563"/>
        <item m="1" x="683"/>
        <item m="1" x="1002"/>
        <item m="1" x="744"/>
        <item m="1" x="1072"/>
        <item m="1" x="685"/>
        <item m="1" x="487"/>
        <item m="1" x="1140"/>
        <item m="1" x="542"/>
        <item m="1" x="422"/>
        <item m="1" x="1274"/>
        <item m="1" x="1421"/>
        <item m="1" x="1122"/>
        <item m="1" x="387"/>
        <item m="1" x="1313"/>
        <item m="1" x="1111"/>
        <item m="1" x="1221"/>
        <item m="1" x="1360"/>
        <item m="1" x="588"/>
        <item m="1" x="780"/>
        <item m="1" x="618"/>
        <item m="1" x="886"/>
        <item m="1" x="810"/>
        <item m="1" x="840"/>
        <item m="1" x="1376"/>
        <item m="1" x="822"/>
        <item m="1" x="1025"/>
        <item m="1" x="557"/>
        <item m="1" x="756"/>
        <item m="1" x="730"/>
        <item m="1" x="1073"/>
        <item m="1" x="976"/>
        <item m="1" x="1204"/>
        <item m="1" x="726"/>
        <item m="1" x="1362"/>
        <item m="1" x="564"/>
        <item m="1" x="490"/>
        <item m="1" x="746"/>
        <item m="1" x="1287"/>
        <item m="1" x="397"/>
        <item m="1" x="398"/>
        <item m="1" x="694"/>
        <item m="1" x="1367"/>
        <item m="1" x="761"/>
        <item m="1" x="406"/>
        <item m="1" x="566"/>
        <item m="1" x="808"/>
        <item m="1" x="1119"/>
        <item m="1" x="1091"/>
        <item m="1" x="762"/>
        <item m="1" x="343"/>
        <item m="1" x="481"/>
        <item m="1" x="693"/>
        <item m="1" x="581"/>
        <item m="1" x="338"/>
        <item m="1" x="1291"/>
        <item m="1" x="1420"/>
        <item m="1" x="890"/>
        <item m="1" x="1320"/>
        <item m="1" x="1380"/>
        <item m="1" x="403"/>
        <item m="1" x="1418"/>
        <item m="1" x="1156"/>
        <item m="1" x="579"/>
        <item m="1" x="765"/>
        <item m="1" x="669"/>
        <item m="1" x="1031"/>
        <item m="1" x="602"/>
        <item m="1" x="818"/>
        <item m="1" x="1113"/>
        <item m="1" x="1238"/>
        <item m="1" x="741"/>
        <item m="1" x="869"/>
        <item m="1" x="681"/>
        <item m="1" x="607"/>
        <item m="1" x="1118"/>
        <item m="1" x="1233"/>
        <item m="1" x="1395"/>
        <item m="1" x="437"/>
        <item m="1" x="641"/>
        <item m="1" x="1081"/>
        <item m="1" x="482"/>
        <item m="1" x="769"/>
        <item m="1" x="1150"/>
        <item m="1" x="415"/>
        <item m="1" x="625"/>
        <item m="1" x="735"/>
        <item m="1" x="1341"/>
        <item m="1" x="574"/>
        <item m="1" x="844"/>
        <item m="1" x="1397"/>
        <item m="1" x="525"/>
        <item m="1" x="714"/>
        <item m="1" x="902"/>
        <item m="1" x="1239"/>
        <item m="1" x="537"/>
        <item m="1" x="793"/>
        <item m="1" x="635"/>
        <item m="1" x="1131"/>
        <item m="1" x="1317"/>
        <item m="1" x="443"/>
        <item m="1" x="663"/>
        <item m="1" x="1399"/>
        <item m="1" x="1364"/>
        <item m="1" x="464"/>
        <item m="1" x="781"/>
        <item m="1" x="1305"/>
        <item m="1" x="1436"/>
        <item m="1" x="1307"/>
        <item m="1" x="1282"/>
        <item m="1" x="413"/>
        <item m="1" x="589"/>
        <item m="1" x="671"/>
        <item m="1" x="660"/>
        <item m="1" x="887"/>
        <item m="1" x="375"/>
        <item m="1" x="1074"/>
        <item m="1" x="1145"/>
        <item m="1" x="327"/>
        <item m="1" x="1405"/>
        <item m="1" x="1267"/>
        <item m="1" x="1396"/>
        <item m="1" x="1426"/>
        <item m="1" x="1462"/>
        <item m="1" x="1400"/>
        <item m="1" x="764"/>
        <item m="1" x="1124"/>
        <item m="1" x="731"/>
        <item m="1" x="1137"/>
        <item m="1" x="1102"/>
        <item m="1" x="540"/>
        <item m="1" x="578"/>
        <item m="1" x="716"/>
        <item m="1" x="1181"/>
        <item m="1" x="701"/>
        <item m="1" x="447"/>
        <item m="1" x="1446"/>
        <item m="1" x="1196"/>
        <item m="1" x="1029"/>
        <item m="1" x="1061"/>
        <item m="1" x="1110"/>
        <item m="1" x="535"/>
        <item m="1" x="877"/>
        <item m="1" x="1222"/>
        <item m="1" x="373"/>
        <item m="1" x="616"/>
        <item m="1" x="516"/>
        <item m="1" x="513"/>
        <item m="1" x="517"/>
        <item m="1" x="318"/>
        <item m="1" x="539"/>
        <item m="1" x="1336"/>
        <item m="1" x="340"/>
        <item m="1" x="986"/>
        <item m="1" x="1423"/>
        <item m="1" x="1234"/>
        <item m="1" x="494"/>
        <item m="1" x="1494"/>
        <item m="1" x="423"/>
        <item m="1" x="790"/>
        <item m="1" x="1013"/>
        <item m="1" x="469"/>
        <item m="1" x="922"/>
        <item m="1" x="1082"/>
        <item m="1" x="1350"/>
        <item m="1" x="1252"/>
        <item m="1" x="331"/>
        <item m="1" x="1014"/>
        <item m="1" x="414"/>
        <item m="1" x="650"/>
        <item m="1" x="622"/>
        <item m="1" x="384"/>
        <item m="1" x="977"/>
        <item m="1" x="984"/>
        <item m="1" x="1084"/>
        <item m="1" x="833"/>
        <item m="1" x="1333"/>
        <item m="1" x="742"/>
        <item m="1" x="1452"/>
        <item m="1" x="1087"/>
        <item m="1" x="978"/>
        <item m="1" x="642"/>
        <item m="1" x="1050"/>
        <item m="1" x="1348"/>
        <item m="1" x="1413"/>
        <item m="1" x="1392"/>
        <item m="1" x="1322"/>
        <item m="1" x="1071"/>
        <item m="1" x="1184"/>
        <item m="1" x="697"/>
        <item m="1" x="1146"/>
        <item m="1" x="971"/>
        <item m="1" x="930"/>
        <item m="1" x="928"/>
        <item m="1" x="929"/>
        <item m="1" x="626"/>
        <item m="1" x="670"/>
        <item m="1" x="1283"/>
        <item m="1" x="848"/>
        <item m="1" x="690"/>
        <item m="1" x="732"/>
        <item m="1" x="778"/>
        <item m="1" x="1030"/>
        <item m="1" x="1368"/>
        <item m="1" x="1457"/>
        <item m="1" x="575"/>
        <item m="1" x="526"/>
        <item m="1" x="363"/>
        <item m="1" x="385"/>
        <item m="1" x="682"/>
        <item m="1" x="470"/>
        <item m="1" x="798"/>
        <item m="1" x="1334"/>
        <item m="1" x="675"/>
        <item m="1" x="467"/>
        <item m="1" x="1226"/>
        <item m="1" x="344"/>
        <item m="1" x="1352"/>
        <item m="1" x="1427"/>
        <item m="1" x="1491"/>
        <item m="1" x="1366"/>
        <item m="1" x="609"/>
        <item m="1" x="386"/>
        <item m="1" x="850"/>
        <item m="1" x="934"/>
        <item m="1" x="1130"/>
        <item m="1" x="1098"/>
        <item m="1" x="1134"/>
        <item m="1" x="911"/>
        <item m="1" x="949"/>
        <item m="1" x="1390"/>
        <item m="1" x="1153"/>
        <item m="1" x="1123"/>
        <item m="1" x="1062"/>
        <item m="1" x="1135"/>
        <item m="1" x="336"/>
        <item m="1" x="341"/>
        <item m="1" x="944"/>
        <item m="1" x="1329"/>
        <item m="1" x="899"/>
        <item m="1" x="1469"/>
        <item m="1" x="868"/>
        <item m="1" x="1044"/>
        <item m="1" x="1115"/>
        <item m="1" x="729"/>
        <item m="1" x="561"/>
        <item m="1" x="937"/>
        <item m="1" x="623"/>
        <item m="1" x="1478"/>
        <item m="1" x="1393"/>
        <item m="1" x="1206"/>
        <item m="1" x="463"/>
        <item m="1" x="390"/>
        <item m="1" x="963"/>
        <item m="1" x="1207"/>
        <item m="1" x="1496"/>
        <item m="1" x="842"/>
        <item m="1" x="1443"/>
        <item m="1" x="377"/>
        <item m="1" x="491"/>
        <item m="1" x="803"/>
        <item m="1" x="894"/>
        <item m="1" x="1323"/>
        <item m="1" x="647"/>
        <item m="1" x="1326"/>
        <item m="1" x="743"/>
        <item m="1" x="1315"/>
        <item m="1" x="1479"/>
        <item m="1" x="407"/>
        <item m="1" x="1463"/>
        <item m="1" x="354"/>
        <item m="1" x="1216"/>
        <item m="1" x="834"/>
        <item m="1" x="665"/>
        <item m="1" x="628"/>
        <item m="1" x="772"/>
        <item m="1" x="371"/>
        <item m="1" x="1456"/>
        <item m="1" x="455"/>
        <item m="1" x="476"/>
        <item m="1" x="1349"/>
        <item m="1" x="1428"/>
        <item m="1" x="942"/>
        <item m="1" x="1083"/>
        <item m="1" x="784"/>
        <item m="1" x="897"/>
        <item m="1" x="1046"/>
        <item m="1" x="1163"/>
        <item m="1" x="750"/>
        <item m="1" x="1026"/>
        <item m="1" x="845"/>
        <item m="1" x="1482"/>
        <item m="1" x="335"/>
        <item m="1" x="774"/>
        <item m="1" x="715"/>
        <item m="1" x="676"/>
        <item m="1" x="1470"/>
        <item m="1" x="1288"/>
        <item m="1" x="1419"/>
        <item m="1" x="432"/>
        <item m="1" x="1430"/>
        <item m="1" x="1417"/>
        <item m="1" x="1294"/>
        <item m="1" x="529"/>
        <item m="1" x="898"/>
        <item m="1" x="991"/>
        <item m="1" x="737"/>
        <item m="1" x="1335"/>
        <item m="1" x="1121"/>
        <item m="1" x="1141"/>
        <item m="1" x="1035"/>
        <item m="1" x="378"/>
        <item m="1" x="1208"/>
        <item m="1" x="1370"/>
        <item m="1" x="775"/>
        <item m="1" x="1489"/>
        <item m="1" x="983"/>
        <item m="1" x="570"/>
        <item m="1" x="703"/>
        <item m="1" x="739"/>
        <item m="1" x="1398"/>
        <item m="1" x="1382"/>
        <item m="1" x="442"/>
        <item m="1" x="444"/>
        <item m="1" x="358"/>
        <item m="1" x="1318"/>
        <item m="1" x="360"/>
        <item m="1" x="777"/>
        <item m="1" x="677"/>
        <item m="1" x="1133"/>
        <item m="1" x="1076"/>
        <item m="1" x="1425"/>
        <item m="1" x="1357"/>
        <item m="1" x="849"/>
        <item m="1" x="1063"/>
        <item m="1" x="1298"/>
        <item m="1" x="411"/>
        <item m="1" x="843"/>
        <item m="1" x="773"/>
        <item m="1" x="1467"/>
        <item m="1" x="1434"/>
        <item m="1" x="865"/>
        <item m="1" x="471"/>
        <item m="1" x="766"/>
        <item m="1" x="939"/>
        <item m="1" x="393"/>
        <item m="1" x="1229"/>
        <item m="1" x="823"/>
        <item m="1" x="633"/>
        <item m="1" x="727"/>
        <item m="1" x="1173"/>
        <item m="1" x="1472"/>
        <item m="1" x="551"/>
        <item m="1" x="1324"/>
        <item m="1" x="545"/>
        <item m="1" x="1109"/>
        <item m="1" x="881"/>
        <item m="1" x="812"/>
        <item m="1" x="534"/>
        <item m="1" x="601"/>
        <item m="1" x="389"/>
        <item m="1" x="1189"/>
        <item m="1" x="702"/>
        <item m="1" x="426"/>
        <item m="1" x="1040"/>
        <item m="1" x="1355"/>
        <item m="1" x="895"/>
        <item m="1" x="853"/>
        <item m="1" x="324"/>
        <item m="1" x="1460"/>
        <item m="1" x="710"/>
        <item m="1" x="770"/>
        <item m="1" x="1177"/>
        <item m="1" x="1454"/>
        <item m="1" x="1379"/>
        <item m="1" x="1230"/>
        <item m="1" x="1345"/>
        <item m="1" x="506"/>
        <item m="1" x="705"/>
        <item m="1" x="538"/>
        <item m="1" x="330"/>
        <item m="1" x="943"/>
        <item m="1" x="392"/>
        <item m="1" x="614"/>
        <item m="1" x="558"/>
        <item m="1" x="504"/>
        <item m="1" x="1459"/>
        <item m="1" x="555"/>
        <item m="1" x="1157"/>
        <item m="1" x="1369"/>
        <item m="1" x="495"/>
        <item m="1" x="399"/>
        <item m="1" x="1192"/>
        <item m="1" x="1168"/>
        <item m="1" x="1209"/>
        <item m="1" x="1128"/>
        <item m="1" x="472"/>
        <item m="1" x="828"/>
        <item m="1" x="1096"/>
        <item m="1" x="1346"/>
        <item m="1" x="940"/>
        <item m="1" x="1058"/>
        <item m="1" x="1402"/>
        <item m="1" x="814"/>
        <item m="1" x="658"/>
        <item m="1" x="891"/>
        <item m="1" x="838"/>
        <item m="1" x="768"/>
        <item m="1" x="1285"/>
        <item m="1" x="972"/>
        <item m="1" x="1068"/>
        <item m="1" x="319"/>
        <item m="1" x="864"/>
        <item m="1" x="466"/>
        <item m="1" x="733"/>
        <item m="1" x="871"/>
        <item m="1" x="401"/>
        <item m="1" x="518"/>
        <item m="1" x="973"/>
        <item m="1" x="1170"/>
        <item m="1" x="1440"/>
        <item m="1" x="1483"/>
        <item m="1" x="1093"/>
        <item m="1" x="441"/>
        <item m="1" x="369"/>
        <item m="1" x="955"/>
        <item m="1" x="577"/>
        <item m="1" x="851"/>
        <item m="1" x="479"/>
        <item m="1" x="582"/>
        <item m="1" x="1009"/>
        <item m="1" x="1365"/>
        <item m="1" x="1296"/>
        <item m="1" x="712"/>
        <item m="1" x="747"/>
        <item m="1" x="1023"/>
        <item m="1" x="1453"/>
        <item m="1" x="1179"/>
        <item m="1" x="345"/>
        <item m="1" x="1407"/>
        <item m="1" x="453"/>
        <item m="1" x="1099"/>
        <item m="1" x="1144"/>
        <item m="1" x="1147"/>
        <item m="1" x="1487"/>
        <item m="1" x="380"/>
        <item m="1" x="1158"/>
        <item m="1" x="1255"/>
        <item m="1" x="1027"/>
        <item m="1" x="1197"/>
        <item m="1" x="439"/>
        <item m="1" x="831"/>
        <item m="1" x="678"/>
        <item m="1" x="1290"/>
        <item m="1" x="1385"/>
        <item m="1" x="914"/>
        <item m="1" x="1353"/>
        <item m="1" x="1401"/>
        <item m="1" x="754"/>
        <item m="1" x="1257"/>
        <item m="1" x="1120"/>
        <item m="1" x="1403"/>
        <item m="1" x="1447"/>
        <item m="1" x="1185"/>
        <item m="1" x="795"/>
        <item m="1" x="600"/>
        <item m="1" x="1435"/>
        <item m="1" x="982"/>
        <item m="1" x="956"/>
        <item m="1" x="965"/>
        <item m="1" x="1486"/>
        <item m="1" x="1210"/>
        <item m="1" x="905"/>
        <item m="1" x="1174"/>
        <item m="1" x="1151"/>
        <item m="1" x="767"/>
        <item m="1" x="668"/>
        <item m="1" x="1167"/>
        <item m="1" x="562"/>
        <item m="1" x="519"/>
        <item m="1" x="461"/>
        <item m="1" x="1448"/>
        <item m="1" x="1064"/>
        <item m="1" x="799"/>
        <item m="1" x="880"/>
        <item m="1" x="361"/>
        <item m="1" x="1437"/>
        <item m="1" x="988"/>
        <item m="1" x="1136"/>
        <item m="1" x="584"/>
        <item m="1" x="1268"/>
        <item m="1" x="771"/>
        <item m="1" x="664"/>
        <item m="1" x="1492"/>
        <item m="1" x="794"/>
        <item m="1" x="1433"/>
        <item m="1" x="1019"/>
        <item m="1" x="695"/>
        <item m="1" x="486"/>
        <item m="1" x="429"/>
        <item m="1" x="723"/>
        <item m="1" x="420"/>
        <item m="1" x="391"/>
        <item m="1" x="408"/>
        <item m="1" x="687"/>
        <item m="1" x="532"/>
        <item m="1" x="839"/>
        <item m="1" x="896"/>
        <item m="1" x="995"/>
        <item m="1" x="866"/>
        <item m="1" x="1199"/>
        <item m="1" x="1263"/>
        <item m="1" x="475"/>
        <item m="1" x="485"/>
        <item m="1" x="674"/>
        <item m="1" x="816"/>
        <item m="1" x="606"/>
        <item m="1" x="1159"/>
        <item m="1" x="909"/>
        <item m="1" x="826"/>
        <item m="1" x="959"/>
        <item m="1" x="1265"/>
        <item m="1" x="1203"/>
        <item m="1" x="1289"/>
        <item m="1" x="1045"/>
        <item m="1" x="465"/>
        <item m="1" x="1471"/>
        <item m="1" x="884"/>
        <item m="1" x="499"/>
        <item m="1" x="323"/>
        <item m="1" x="1468"/>
        <item m="1" x="952"/>
        <item m="1" x="919"/>
        <item m="1" x="691"/>
        <item m="1" x="571"/>
        <item m="1" x="655"/>
        <item m="1" x="809"/>
        <item m="1" x="1384"/>
        <item m="1" x="1303"/>
        <item m="1" x="679"/>
        <item m="1" x="752"/>
        <item m="1" x="759"/>
        <item m="1" x="1297"/>
        <item m="1" x="900"/>
        <item m="1" x="372"/>
        <item m="1" x="933"/>
        <item m="1" x="1212"/>
        <item m="1" x="1338"/>
        <item m="1" x="1231"/>
        <item m="1" x="1039"/>
        <item m="1" x="1337"/>
        <item m="1" x="351"/>
        <item m="1" x="1254"/>
        <item m="1" x="333"/>
        <item m="1" x="673"/>
        <item m="1" x="337"/>
        <item m="1" x="496"/>
        <item m="1" x="586"/>
        <item m="1" x="592"/>
        <item m="1" x="1010"/>
        <item m="1" x="1264"/>
        <item m="1" x="791"/>
        <item m="1" x="362"/>
        <item m="1" x="568"/>
        <item m="1" x="356"/>
        <item m="1" x="1351"/>
        <item m="1" x="576"/>
        <item m="1" x="912"/>
        <item m="1" x="1371"/>
        <item m="1" x="698"/>
        <item m="1" x="640"/>
        <item m="1" x="1036"/>
        <item m="1" x="593"/>
        <item m="1" x="901"/>
        <item m="1" x="1195"/>
        <item m="1" x="334"/>
        <item m="1" x="847"/>
        <item m="1" x="966"/>
        <item m="1" x="458"/>
        <item m="1" x="800"/>
        <item m="1" x="935"/>
        <item m="1" x="686"/>
        <item m="1" x="724"/>
        <item m="1" x="451"/>
        <item m="1" x="857"/>
        <item m="1" x="321"/>
        <item m="1" x="993"/>
        <item m="1" x="1386"/>
        <item m="1" x="1107"/>
        <item m="1" x="1101"/>
        <item m="1" x="1000"/>
        <item m="1" x="326"/>
        <item m="1" x="1132"/>
        <item m="1" x="1175"/>
        <item m="1" x="981"/>
        <item m="1" x="325"/>
        <item m="1" x="1332"/>
        <item m="1" x="1299"/>
        <item m="1" x="329"/>
        <item m="1" x="608"/>
        <item m="1" x="998"/>
        <item m="1" x="1253"/>
        <item m="1" x="450"/>
        <item m="1" x="346"/>
        <item m="1" x="505"/>
        <item m="1" x="396"/>
        <item m="1" x="804"/>
        <item m="1" x="617"/>
        <item m="1" x="615"/>
        <item m="1" x="786"/>
        <item m="1" x="888"/>
        <item m="1" x="792"/>
        <item m="1" x="989"/>
        <item m="1" x="841"/>
        <item m="1" x="706"/>
        <item m="1" x="821"/>
        <item m="1" x="1314"/>
        <item m="1" x="1409"/>
        <item m="1" x="666"/>
        <item m="1" x="1389"/>
        <item m="1" x="431"/>
        <item m="1" x="1378"/>
        <item m="1" x="1075"/>
        <item m="1" x="1246"/>
        <item m="1" x="1325"/>
        <item m="1" x="1005"/>
        <item m="1" x="1217"/>
        <item m="1" x="509"/>
        <item m="1" x="492"/>
        <item m="1" x="1114"/>
        <item m="1" x="1086"/>
        <item m="1" x="648"/>
        <item m="1" x="1484"/>
        <item m="1" x="1056"/>
        <item m="1" x="796"/>
        <item m="1" x="870"/>
        <item m="1" x="829"/>
        <item m="1" x="1339"/>
        <item m="1" x="1343"/>
        <item m="1" x="339"/>
        <item m="1" x="1223"/>
        <item m="1" x="1269"/>
        <item m="1" x="388"/>
        <item m="1" x="760"/>
        <item m="1" x="751"/>
        <item m="1" x="1258"/>
        <item m="1" x="957"/>
        <item m="1" x="1161"/>
        <item m="1" x="827"/>
        <item m="1" x="1178"/>
        <item m="1" x="366"/>
        <item m="1" x="489"/>
        <item m="1" x="1458"/>
        <item m="1" x="1078"/>
        <item m="1" x="1450"/>
        <item m="1" x="370"/>
        <item m="1" x="630"/>
        <item m="1" x="446"/>
        <item m="1" x="379"/>
        <item m="1" x="394"/>
        <item m="1" x="946"/>
        <item m="1" x="979"/>
        <item m="1" x="651"/>
        <item m="1" x="1069"/>
        <item m="1" x="1387"/>
        <item m="1" x="738"/>
        <item m="1" x="817"/>
        <item m="1" x="967"/>
        <item m="1" x="1455"/>
        <item m="1" x="632"/>
        <item m="1" x="644"/>
        <item m="1" x="654"/>
        <item m="1" x="1275"/>
        <item m="1" x="1411"/>
        <item m="1" x="328"/>
        <item m="1" x="1155"/>
        <item m="1" x="1451"/>
        <item m="1" x="552"/>
        <item m="1" x="867"/>
        <item m="1" x="1488"/>
        <item m="1" x="1394"/>
        <item m="1" x="541"/>
        <item m="1" x="653"/>
        <item m="1" x="740"/>
        <item m="1" x="1065"/>
        <item m="1" x="1262"/>
        <item m="1" x="497"/>
        <item m="1" x="968"/>
        <item m="1" x="493"/>
        <item m="1" x="462"/>
        <item m="1" x="410"/>
        <item m="1" x="1381"/>
        <item m="1" x="974"/>
        <item m="1" x="1422"/>
        <item m="1" x="815"/>
        <item m="1" x="1439"/>
        <item m="1" x="1191"/>
        <item m="1" x="480"/>
        <item m="1" x="1295"/>
        <item m="1" x="1309"/>
        <item m="1" x="969"/>
        <item m="1" x="1344"/>
        <item m="1" x="1182"/>
        <item m="1" x="1047"/>
        <item m="1" x="364"/>
        <item m="1" x="1193"/>
        <item m="1" x="925"/>
        <item m="1" x="858"/>
        <item m="1" x="1201"/>
        <item m="1" x="785"/>
        <item m="1" x="419"/>
        <item m="1" x="591"/>
        <item m="1" x="368"/>
        <item m="1" x="717"/>
        <item m="1" x="1095"/>
        <item m="1" x="680"/>
        <item m="1" x="543"/>
        <item m="1" x="758"/>
        <item m="1" x="436"/>
        <item m="1" x="688"/>
        <item m="1" x="559"/>
        <item m="1" x="910"/>
        <item m="1" x="1497"/>
        <item m="1" x="951"/>
        <item m="1" x="547"/>
        <item m="1" x="824"/>
        <item m="1" x="530"/>
        <item m="1" x="583"/>
        <item m="1" x="875"/>
        <item m="1" x="1143"/>
        <item m="1" x="860"/>
        <item m="1" x="1310"/>
        <item m="1" x="872"/>
        <item m="1" x="1106"/>
        <item m="1" x="421"/>
        <item m="1" x="904"/>
        <item m="1" x="544"/>
        <item m="1" x="474"/>
        <item m="1" x="1200"/>
        <item m="1" x="515"/>
        <item m="1" x="1224"/>
        <item m="1" x="416"/>
        <item m="1" x="1041"/>
        <item m="1" x="1048"/>
        <item m="1" x="452"/>
        <item m="1" x="970"/>
        <item m="1" x="348"/>
        <item m="1" x="1171"/>
        <item m="1" x="876"/>
        <item m="1" x="1097"/>
        <item m="1" x="1066"/>
        <item m="1" x="1286"/>
        <item m="1" x="1059"/>
        <item m="1" x="637"/>
        <item m="1" x="1138"/>
        <item m="1" x="1272"/>
        <item m="1" x="962"/>
        <item m="1" x="1094"/>
        <item m="1" x="427"/>
        <item m="1" x="1260"/>
        <item m="1" x="917"/>
        <item m="1" x="782"/>
        <item m="1" x="1166"/>
        <item m="1" x="692"/>
        <item m="1" x="1015"/>
        <item m="1" x="549"/>
        <item m="1" x="645"/>
        <item m="1" x="1042"/>
        <item m="1" x="811"/>
        <item m="1" x="355"/>
        <item m="1" x="689"/>
        <item m="1" x="1169"/>
        <item m="1" x="1271"/>
        <item m="1" x="374"/>
        <item m="1" x="659"/>
        <item m="1" x="594"/>
        <item m="1" x="927"/>
        <item m="1" x="1020"/>
        <item m="1" x="460"/>
        <item m="1" x="1442"/>
        <item m="1" x="425"/>
        <item m="1" x="498"/>
        <item m="1" x="1279"/>
        <item m="1" x="787"/>
        <item m="1" x="801"/>
        <item m="1" x="855"/>
        <item m="1" x="430"/>
        <item m="1" x="709"/>
        <item m="1" x="1104"/>
        <item m="1" x="1016"/>
        <item m="1" x="806"/>
        <item m="1" x="753"/>
        <item m="1" x="383"/>
        <item m="1" x="621"/>
        <item m="1" x="1085"/>
        <item m="1" x="719"/>
        <item m="1" x="882"/>
        <item m="1" x="819"/>
        <item m="1" x="1001"/>
        <item m="1" x="365"/>
        <item m="1" x="846"/>
        <item m="1" x="520"/>
        <item m="1" x="923"/>
        <item m="1" x="1049"/>
        <item m="1" x="1125"/>
        <item m="1" x="1060"/>
        <item m="1" x="1021"/>
        <item m="1" x="947"/>
        <item m="1" x="1358"/>
        <item m="1" x="1250"/>
        <item m="1" x="501"/>
        <item m="1" x="1242"/>
        <item m="1" x="696"/>
        <item m="1" x="1006"/>
        <item m="1" x="412"/>
        <item m="1" x="985"/>
        <item m="1" x="852"/>
        <item m="1" x="1284"/>
        <item m="1" x="438"/>
        <item m="1" x="1495"/>
        <item m="1" x="477"/>
        <item m="1" x="417"/>
        <item m="1" x="987"/>
        <item m="1" x="1187"/>
        <item m="1" x="1090"/>
        <item m="1" x="376"/>
        <item m="1" x="528"/>
        <item m="1" x="1316"/>
        <item m="1" x="1256"/>
        <item m="1" x="511"/>
        <item m="1" x="484"/>
        <item m="1" x="779"/>
        <item m="1" x="400"/>
        <item m="1" x="1007"/>
        <item m="1" x="440"/>
        <item m="1" x="610"/>
        <item m="1" x="907"/>
        <item m="1" x="1438"/>
        <item m="1" x="478"/>
        <item m="1" x="748"/>
        <item m="1" x="595"/>
        <item m="1" x="757"/>
        <item m="1" x="1311"/>
        <item m="1" x="1194"/>
        <item m="1" x="656"/>
        <item m="1" x="409"/>
        <item m="1" x="1359"/>
        <item m="1" x="522"/>
        <item m="1" x="1304"/>
        <item m="1" x="861"/>
        <item m="1" x="1245"/>
        <item m="1" x="604"/>
        <item m="1" x="776"/>
        <item m="1" x="1261"/>
        <item m="1" x="1449"/>
        <item m="1" x="1225"/>
        <item m="1" x="624"/>
        <item m="1" x="567"/>
        <item m="1" x="1270"/>
        <item m="1" x="1034"/>
        <item m="1" x="878"/>
        <item m="1" x="1302"/>
        <item m="1" x="350"/>
        <item m="1" x="347"/>
        <item m="1" x="1022"/>
        <item m="1" x="1162"/>
        <item m="1" x="1117"/>
        <item m="1" x="1300"/>
        <item m="1" x="825"/>
        <item m="1" x="572"/>
        <item m="1" x="646"/>
        <item m="1" x="1176"/>
        <item m="1" x="728"/>
        <item m="1" x="958"/>
        <item m="1" x="1373"/>
        <item m="1" x="611"/>
        <item m="1" x="948"/>
        <item m="1" x="332"/>
        <item m="1" x="6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m="1" x="649"/>
        <item m="1" x="1410"/>
        <item m="1" x="352"/>
        <item m="1" x="3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491"/>
    </i>
    <i r="2">
      <x v="8"/>
    </i>
    <i r="2">
      <x v="11"/>
    </i>
    <i r="1">
      <x v="1492"/>
    </i>
    <i r="2">
      <x v="4"/>
    </i>
    <i r="2">
      <x v="8"/>
    </i>
    <i r="2">
      <x v="11"/>
    </i>
    <i r="1">
      <x v="1493"/>
    </i>
    <i r="2">
      <x v="8"/>
    </i>
    <i r="2">
      <x v="11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34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33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27">
  <autoFilter ref="A1:C1237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33" totalsRowShown="0">
  <autoFilter ref="A1:S3433" xr:uid="{678037D6-A574-4B81-B392-ED766472D9FE}">
    <filterColumn colId="0">
      <filters>
        <filter val="FR7558422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1195</v>
      </c>
    </row>
    <row r="5" spans="1:2">
      <c r="A5" s="111" t="s">
        <v>369</v>
      </c>
      <c r="B5" s="125">
        <v>979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>
        <v>74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104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843</v>
      </c>
    </row>
    <row r="15" spans="1:2">
      <c r="A15" s="111" t="s">
        <v>369</v>
      </c>
      <c r="B15" s="125">
        <v>810</v>
      </c>
    </row>
    <row r="16" spans="1:2">
      <c r="A16" s="111" t="s">
        <v>370</v>
      </c>
      <c r="B16" s="125">
        <v>10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11" t="s">
        <v>375</v>
      </c>
      <c r="B19" s="125">
        <v>1</v>
      </c>
    </row>
    <row r="20" spans="1:2">
      <c r="A20" s="17" t="s">
        <v>569</v>
      </c>
      <c r="B20" s="125">
        <v>1247</v>
      </c>
    </row>
    <row r="21" spans="1:2">
      <c r="A21" s="111" t="s">
        <v>369</v>
      </c>
      <c r="B21" s="125">
        <v>1219</v>
      </c>
    </row>
    <row r="22" spans="1:2">
      <c r="A22" s="111" t="s">
        <v>370</v>
      </c>
      <c r="B22" s="125">
        <v>12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11" t="s">
        <v>375</v>
      </c>
      <c r="B25" s="125">
        <v>1</v>
      </c>
    </row>
    <row r="26" spans="1:2">
      <c r="A26" s="17" t="s">
        <v>570</v>
      </c>
      <c r="B26" s="125">
        <v>138</v>
      </c>
    </row>
    <row r="27" spans="1:2">
      <c r="A27" s="111" t="s">
        <v>369</v>
      </c>
      <c r="B27" s="125">
        <v>136</v>
      </c>
    </row>
    <row r="28" spans="1:2">
      <c r="A28" s="111" t="s">
        <v>377</v>
      </c>
      <c r="B28" s="125">
        <v>2</v>
      </c>
    </row>
    <row r="29" spans="1:2">
      <c r="A29" s="17" t="s">
        <v>381</v>
      </c>
      <c r="B29" s="125">
        <v>3423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5587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5588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B13" sqref="B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202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370</v>
      </c>
      <c r="B7" s="125">
        <v>10</v>
      </c>
      <c r="C7"/>
      <c r="D7"/>
      <c r="E7"/>
    </row>
    <row r="8" spans="1:6">
      <c r="A8" s="112" t="s">
        <v>375</v>
      </c>
      <c r="B8" s="125">
        <v>1</v>
      </c>
      <c r="C8" s="56"/>
      <c r="D8" s="124"/>
      <c r="E8" s="124"/>
    </row>
    <row r="9" spans="1:6">
      <c r="A9" s="111" t="s">
        <v>5520</v>
      </c>
      <c r="B9" s="125">
        <v>178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73</v>
      </c>
      <c r="C11"/>
      <c r="D11"/>
    </row>
    <row r="12" spans="1:6">
      <c r="A12" s="112" t="s">
        <v>375</v>
      </c>
      <c r="B12" s="125">
        <v>104</v>
      </c>
      <c r="C12"/>
      <c r="D12"/>
    </row>
    <row r="13" spans="1:6">
      <c r="A13" s="111" t="s">
        <v>5581</v>
      </c>
      <c r="B13" s="125">
        <v>13</v>
      </c>
      <c r="C13"/>
      <c r="D13"/>
    </row>
    <row r="14" spans="1:6">
      <c r="A14" s="112" t="s">
        <v>370</v>
      </c>
      <c r="B14" s="125">
        <v>12</v>
      </c>
      <c r="C14" s="53"/>
      <c r="D14"/>
    </row>
    <row r="15" spans="1:6">
      <c r="A15" s="112" t="s">
        <v>375</v>
      </c>
      <c r="B15" s="125">
        <v>1</v>
      </c>
      <c r="C15"/>
      <c r="D15" s="124"/>
      <c r="E15" s="124"/>
    </row>
    <row r="16" spans="1:6">
      <c r="A16" s="17" t="s">
        <v>4328</v>
      </c>
      <c r="B16" s="125">
        <v>11</v>
      </c>
      <c r="C16"/>
      <c r="D16"/>
    </row>
    <row r="17" spans="1:5">
      <c r="A17" s="111" t="s">
        <v>4415</v>
      </c>
      <c r="B17" s="125">
        <v>11</v>
      </c>
      <c r="C17"/>
      <c r="D17" s="124"/>
      <c r="E17" s="124"/>
    </row>
    <row r="18" spans="1:5">
      <c r="A18" s="112" t="s">
        <v>369</v>
      </c>
      <c r="B18" s="125">
        <v>10</v>
      </c>
      <c r="C18"/>
      <c r="D18"/>
    </row>
    <row r="19" spans="1:5">
      <c r="A19" s="112" t="s">
        <v>370</v>
      </c>
      <c r="B19" s="125">
        <v>1</v>
      </c>
      <c r="C19" s="47"/>
      <c r="D19"/>
    </row>
    <row r="20" spans="1:5">
      <c r="A20" s="17" t="s">
        <v>381</v>
      </c>
      <c r="B20" s="125">
        <v>213</v>
      </c>
    </row>
    <row r="21" spans="1:5" ht="17.25" customHeight="1"/>
    <row r="25" spans="1:5">
      <c r="D25" s="124"/>
      <c r="E25" s="124"/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33"/>
  <sheetViews>
    <sheetView tabSelected="1" topLeftCell="A3378" zoomScale="85" zoomScaleNormal="85" workbookViewId="0">
      <selection activeCell="E3436" sqref="E343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35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35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35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36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33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33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28</v>
      </c>
      <c r="R2488" s="110" t="s">
        <v>1459</v>
      </c>
      <c r="S2488" s="94"/>
    </row>
    <row r="2489" spans="1:19" hidden="1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28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28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28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28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28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28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28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28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28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28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26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26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26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26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26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26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26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26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26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26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26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26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26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26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26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26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26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26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26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26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26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26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26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26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26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26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26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26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26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26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26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26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26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26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26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26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26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26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26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26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26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26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26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26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26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26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26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26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26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26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26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26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26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26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26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26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26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26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26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26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26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26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26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26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26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26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26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26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26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26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26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26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26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26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26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26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26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26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26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26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26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26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26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26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26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26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26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26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26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26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26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26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26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26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26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26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26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26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26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26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26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26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26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26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26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26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26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26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26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26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26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26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26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26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26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26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26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26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26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26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26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26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26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26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26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26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26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26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26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26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26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26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26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26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26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26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26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26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26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26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26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26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26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26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26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26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26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26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26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26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26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26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26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26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26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26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26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26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26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26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26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26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26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26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26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26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26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26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26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26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26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26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26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26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26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26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26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26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26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26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26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26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26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26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26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26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26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26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26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26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26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26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26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26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26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26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26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26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26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26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26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26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26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26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26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26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26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26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26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26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26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26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26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26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26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26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26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26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26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26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26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26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26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26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26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26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26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26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26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26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26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26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26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26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26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26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26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26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26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26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26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26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26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26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26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26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26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26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26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26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26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26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26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26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26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26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26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26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26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26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26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26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26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26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26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26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26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26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26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26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26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26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26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26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26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26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26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26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26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26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26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26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26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26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26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26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26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26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26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26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26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26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26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26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26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26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26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26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26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26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26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26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26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26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26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26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26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26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26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26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26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26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26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26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26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26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26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26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26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26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26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26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26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26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26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26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26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26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26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26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26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26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26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26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26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24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24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24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24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24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24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24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24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24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24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23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23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23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22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22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22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22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22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22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21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21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19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18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18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18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17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17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17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4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4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4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4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4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4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4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4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4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4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4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4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4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4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4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4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4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4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4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4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4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4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4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4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4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4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4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4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4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4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4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4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4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4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4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4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4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4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4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4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4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4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4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4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4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4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4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4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4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4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4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4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4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4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4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4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4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4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4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4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4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4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4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4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4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4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4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4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4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4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4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4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4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4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4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4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4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4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4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4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4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4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4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4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4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4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4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4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4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4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4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4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4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4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4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4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4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4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4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4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4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4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4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4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4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4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4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4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4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4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4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4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4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4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4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4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4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4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4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4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4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4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4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4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4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4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4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4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4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4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4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4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4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4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4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4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4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4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4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4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4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4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4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4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4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4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4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4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4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4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4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4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4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4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4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4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4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4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4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4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4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4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4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4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4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4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4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4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4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4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4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4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4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4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4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4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4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4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4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4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4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4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4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4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4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4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4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4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4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4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4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4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4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4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4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4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4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4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4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4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4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4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4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4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4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4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4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4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4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4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4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4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4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4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4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4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4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4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4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4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4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4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4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4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4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4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4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4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4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4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4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4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4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4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4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4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4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4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4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4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4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4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4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4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4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4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4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4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4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4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4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4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4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4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4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4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4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4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4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4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4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4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4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4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4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4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4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4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4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4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4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4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4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4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4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4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4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4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4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4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4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4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4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4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4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4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4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4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4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4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4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4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4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4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4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open</v>
      </c>
      <c r="C3232" t="s">
        <v>370</v>
      </c>
      <c r="D3232" t="s">
        <v>5301</v>
      </c>
      <c r="E3232" t="s">
        <v>5312</v>
      </c>
      <c r="F3232" s="125" t="s">
        <v>5524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0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3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open</v>
      </c>
      <c r="C3233" s="124" t="s">
        <v>370</v>
      </c>
      <c r="D3233" t="s">
        <v>5302</v>
      </c>
      <c r="E3233" t="s">
        <v>5312</v>
      </c>
      <c r="F3233" s="125" t="s">
        <v>5524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0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3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open</v>
      </c>
      <c r="C3234" s="124" t="s">
        <v>370</v>
      </c>
      <c r="D3234" t="s">
        <v>5303</v>
      </c>
      <c r="E3234" t="s">
        <v>5312</v>
      </c>
      <c r="F3234" s="125" t="s">
        <v>5524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0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3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open</v>
      </c>
      <c r="C3235" s="124" t="s">
        <v>370</v>
      </c>
      <c r="D3235" t="s">
        <v>5304</v>
      </c>
      <c r="E3235" t="s">
        <v>5312</v>
      </c>
      <c r="F3235" s="125" t="s">
        <v>5526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0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3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open</v>
      </c>
      <c r="C3236" s="124" t="s">
        <v>370</v>
      </c>
      <c r="D3236" t="s">
        <v>5305</v>
      </c>
      <c r="E3236" t="s">
        <v>5312</v>
      </c>
      <c r="F3236" s="125" t="s">
        <v>5527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0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3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open</v>
      </c>
      <c r="C3237" s="124" t="s">
        <v>370</v>
      </c>
      <c r="D3237" t="s">
        <v>5306</v>
      </c>
      <c r="E3237" t="s">
        <v>5312</v>
      </c>
      <c r="F3237" s="125" t="s">
        <v>5528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0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3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open</v>
      </c>
      <c r="C3238" s="124" t="s">
        <v>370</v>
      </c>
      <c r="D3238" t="s">
        <v>5307</v>
      </c>
      <c r="E3238" t="s">
        <v>5312</v>
      </c>
      <c r="F3238" s="125" t="s">
        <v>5566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0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3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open</v>
      </c>
      <c r="C3239" s="124" t="s">
        <v>370</v>
      </c>
      <c r="D3239" t="s">
        <v>5308</v>
      </c>
      <c r="E3239" t="s">
        <v>5312</v>
      </c>
      <c r="F3239" s="125" t="s">
        <v>5567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0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3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open</v>
      </c>
      <c r="C3240" s="124" t="s">
        <v>370</v>
      </c>
      <c r="D3240" t="s">
        <v>5309</v>
      </c>
      <c r="E3240" t="s">
        <v>5312</v>
      </c>
      <c r="F3240" s="125" t="s">
        <v>5531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0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3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open</v>
      </c>
      <c r="C3241" s="124" t="s">
        <v>370</v>
      </c>
      <c r="D3241" t="s">
        <v>5310</v>
      </c>
      <c r="E3241" t="s">
        <v>5312</v>
      </c>
      <c r="F3241" s="125" t="s">
        <v>5531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0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3</v>
      </c>
      <c r="R3241" s="115" t="s">
        <v>489</v>
      </c>
      <c r="S3241" s="125"/>
    </row>
    <row r="3242" spans="1:19" hidden="1">
      <c r="A3242" s="124" t="s">
        <v>5313</v>
      </c>
      <c r="B3242" s="125" t="str">
        <f>IFERROR(VLOOKUP(Proc[[#This Row],[App]],Table2[],3,0),"open")</f>
        <v>open</v>
      </c>
      <c r="C3242" s="124" t="s">
        <v>375</v>
      </c>
      <c r="D3242" t="s">
        <v>5311</v>
      </c>
      <c r="E3242" t="s">
        <v>5312</v>
      </c>
      <c r="F3242" s="125" t="s">
        <v>5533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0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3</v>
      </c>
      <c r="R3242" s="115" t="s">
        <v>489</v>
      </c>
      <c r="S3242" s="125"/>
    </row>
    <row r="3243" spans="1:19">
      <c r="A3243" t="s">
        <v>5520</v>
      </c>
      <c r="B3243" s="125" t="str">
        <f>IFERROR(VLOOKUP(Proc[[#This Row],[App]],Table2[],3,0),"open")</f>
        <v>open</v>
      </c>
      <c r="C3243" s="124" t="s">
        <v>370</v>
      </c>
      <c r="D3243" t="s">
        <v>5314</v>
      </c>
      <c r="E3243" t="s">
        <v>5486</v>
      </c>
      <c r="F3243" s="125" t="s">
        <v>5534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0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3</v>
      </c>
      <c r="R3243" s="115" t="s">
        <v>1459</v>
      </c>
      <c r="S3243" s="125"/>
    </row>
    <row r="3244" spans="1:19">
      <c r="A3244" s="124" t="s">
        <v>5520</v>
      </c>
      <c r="B3244" s="125" t="str">
        <f>IFERROR(VLOOKUP(Proc[[#This Row],[App]],Table2[],3,0),"open")</f>
        <v>open</v>
      </c>
      <c r="C3244" s="124" t="s">
        <v>375</v>
      </c>
      <c r="D3244" t="s">
        <v>5315</v>
      </c>
      <c r="E3244" t="s">
        <v>5487</v>
      </c>
      <c r="F3244" s="125" t="s">
        <v>5535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0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3</v>
      </c>
      <c r="R3244" s="115" t="s">
        <v>1459</v>
      </c>
      <c r="S3244" s="125"/>
    </row>
    <row r="3245" spans="1:19">
      <c r="A3245" s="124" t="s">
        <v>5520</v>
      </c>
      <c r="B3245" s="125" t="str">
        <f>IFERROR(VLOOKUP(Proc[[#This Row],[App]],Table2[],3,0),"open")</f>
        <v>open</v>
      </c>
      <c r="C3245" s="124" t="s">
        <v>370</v>
      </c>
      <c r="D3245" t="s">
        <v>5316</v>
      </c>
      <c r="E3245" t="s">
        <v>5486</v>
      </c>
      <c r="F3245" s="125" t="s">
        <v>859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0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3</v>
      </c>
      <c r="R3245" s="115" t="s">
        <v>1459</v>
      </c>
      <c r="S3245" s="125"/>
    </row>
    <row r="3246" spans="1:19">
      <c r="A3246" s="124" t="s">
        <v>5520</v>
      </c>
      <c r="B3246" s="125" t="str">
        <f>IFERROR(VLOOKUP(Proc[[#This Row],[App]],Table2[],3,0),"open")</f>
        <v>open</v>
      </c>
      <c r="C3246" s="124" t="s">
        <v>375</v>
      </c>
      <c r="D3246" t="s">
        <v>5317</v>
      </c>
      <c r="E3246" t="s">
        <v>5488</v>
      </c>
      <c r="F3246" s="125" t="s">
        <v>5536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0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3</v>
      </c>
      <c r="R3246" s="115" t="s">
        <v>1459</v>
      </c>
      <c r="S3246" s="125"/>
    </row>
    <row r="3247" spans="1:19">
      <c r="A3247" s="124" t="s">
        <v>5520</v>
      </c>
      <c r="B3247" s="125" t="str">
        <f>IFERROR(VLOOKUP(Proc[[#This Row],[App]],Table2[],3,0),"open")</f>
        <v>open</v>
      </c>
      <c r="C3247" s="124" t="s">
        <v>375</v>
      </c>
      <c r="D3247" t="s">
        <v>5318</v>
      </c>
      <c r="E3247" t="s">
        <v>5489</v>
      </c>
      <c r="F3247" s="125" t="s">
        <v>2570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0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3</v>
      </c>
      <c r="R3247" s="115" t="s">
        <v>1459</v>
      </c>
      <c r="S3247" s="125"/>
    </row>
    <row r="3248" spans="1:19">
      <c r="A3248" s="124" t="s">
        <v>5520</v>
      </c>
      <c r="B3248" s="125" t="str">
        <f>IFERROR(VLOOKUP(Proc[[#This Row],[App]],Table2[],3,0),"open")</f>
        <v>open</v>
      </c>
      <c r="C3248" s="124" t="s">
        <v>375</v>
      </c>
      <c r="D3248" t="s">
        <v>5319</v>
      </c>
      <c r="E3248" t="s">
        <v>5490</v>
      </c>
      <c r="F3248" s="125" t="s">
        <v>5537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0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3</v>
      </c>
      <c r="R3248" s="115" t="s">
        <v>1459</v>
      </c>
      <c r="S3248" s="125"/>
    </row>
    <row r="3249" spans="1:19">
      <c r="A3249" s="124" t="s">
        <v>5520</v>
      </c>
      <c r="B3249" s="125" t="str">
        <f>IFERROR(VLOOKUP(Proc[[#This Row],[App]],Table2[],3,0),"open")</f>
        <v>open</v>
      </c>
      <c r="C3249" s="124" t="s">
        <v>375</v>
      </c>
      <c r="D3249" t="s">
        <v>5320</v>
      </c>
      <c r="E3249" t="s">
        <v>5491</v>
      </c>
      <c r="F3249" s="125" t="s">
        <v>5504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0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3</v>
      </c>
      <c r="R3249" s="115" t="s">
        <v>1459</v>
      </c>
      <c r="S3249" s="125"/>
    </row>
    <row r="3250" spans="1:19">
      <c r="A3250" s="124" t="s">
        <v>5520</v>
      </c>
      <c r="B3250" s="125" t="str">
        <f>IFERROR(VLOOKUP(Proc[[#This Row],[App]],Table2[],3,0),"open")</f>
        <v>open</v>
      </c>
      <c r="C3250" s="124" t="s">
        <v>375</v>
      </c>
      <c r="D3250" t="s">
        <v>5321</v>
      </c>
      <c r="E3250" t="s">
        <v>424</v>
      </c>
      <c r="F3250" s="125" t="s">
        <v>5538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0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3</v>
      </c>
      <c r="R3250" s="115" t="s">
        <v>1459</v>
      </c>
      <c r="S3250" s="125"/>
    </row>
    <row r="3251" spans="1:19">
      <c r="A3251" s="124" t="s">
        <v>5520</v>
      </c>
      <c r="B3251" s="125" t="str">
        <f>IFERROR(VLOOKUP(Proc[[#This Row],[App]],Table2[],3,0),"open")</f>
        <v>open</v>
      </c>
      <c r="C3251" s="124" t="s">
        <v>375</v>
      </c>
      <c r="D3251" t="s">
        <v>5322</v>
      </c>
      <c r="E3251" t="s">
        <v>424</v>
      </c>
      <c r="F3251" s="125" t="s">
        <v>5538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0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3</v>
      </c>
      <c r="R3251" s="115" t="s">
        <v>1459</v>
      </c>
      <c r="S3251" s="125"/>
    </row>
    <row r="3252" spans="1:19">
      <c r="A3252" s="124" t="s">
        <v>5520</v>
      </c>
      <c r="B3252" s="125" t="str">
        <f>IFERROR(VLOOKUP(Proc[[#This Row],[App]],Table2[],3,0),"open")</f>
        <v>open</v>
      </c>
      <c r="C3252" s="124" t="s">
        <v>370</v>
      </c>
      <c r="D3252" t="s">
        <v>5323</v>
      </c>
      <c r="E3252" t="s">
        <v>5492</v>
      </c>
      <c r="F3252" s="125" t="s">
        <v>5539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0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3</v>
      </c>
      <c r="R3252" s="115" t="s">
        <v>1459</v>
      </c>
      <c r="S3252" s="125"/>
    </row>
    <row r="3253" spans="1:19">
      <c r="A3253" s="124" t="s">
        <v>5520</v>
      </c>
      <c r="B3253" s="125" t="str">
        <f>IFERROR(VLOOKUP(Proc[[#This Row],[App]],Table2[],3,0),"open")</f>
        <v>open</v>
      </c>
      <c r="C3253" s="124" t="s">
        <v>370</v>
      </c>
      <c r="D3253" t="s">
        <v>5324</v>
      </c>
      <c r="E3253" t="s">
        <v>5493</v>
      </c>
      <c r="F3253" s="125" t="s">
        <v>2570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0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3</v>
      </c>
      <c r="R3253" s="115" t="s">
        <v>1459</v>
      </c>
      <c r="S3253" s="125"/>
    </row>
    <row r="3254" spans="1:19">
      <c r="A3254" s="124" t="s">
        <v>5520</v>
      </c>
      <c r="B3254" s="125" t="str">
        <f>IFERROR(VLOOKUP(Proc[[#This Row],[App]],Table2[],3,0),"open")</f>
        <v>open</v>
      </c>
      <c r="C3254" s="124" t="s">
        <v>370</v>
      </c>
      <c r="D3254" t="s">
        <v>5325</v>
      </c>
      <c r="E3254" t="s">
        <v>5494</v>
      </c>
      <c r="F3254" s="125" t="s">
        <v>5540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0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3</v>
      </c>
      <c r="R3254" s="115" t="s">
        <v>1459</v>
      </c>
      <c r="S3254" s="125"/>
    </row>
    <row r="3255" spans="1:19">
      <c r="A3255" s="124" t="s">
        <v>5520</v>
      </c>
      <c r="B3255" s="125" t="str">
        <f>IFERROR(VLOOKUP(Proc[[#This Row],[App]],Table2[],3,0),"open")</f>
        <v>open</v>
      </c>
      <c r="C3255" s="124" t="s">
        <v>370</v>
      </c>
      <c r="D3255" t="s">
        <v>5326</v>
      </c>
      <c r="E3255" t="s">
        <v>5495</v>
      </c>
      <c r="F3255" s="125" t="s">
        <v>2570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0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3</v>
      </c>
      <c r="R3255" s="115" t="s">
        <v>1459</v>
      </c>
      <c r="S3255" s="125"/>
    </row>
    <row r="3256" spans="1:19">
      <c r="A3256" s="124" t="s">
        <v>5520</v>
      </c>
      <c r="B3256" s="125" t="str">
        <f>IFERROR(VLOOKUP(Proc[[#This Row],[App]],Table2[],3,0),"open")</f>
        <v>open</v>
      </c>
      <c r="C3256" s="124" t="s">
        <v>375</v>
      </c>
      <c r="D3256" t="s">
        <v>5327</v>
      </c>
      <c r="E3256" t="s">
        <v>5495</v>
      </c>
      <c r="F3256" s="125" t="s">
        <v>2570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0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3</v>
      </c>
      <c r="R3256" s="115" t="s">
        <v>1459</v>
      </c>
      <c r="S3256" s="125"/>
    </row>
    <row r="3257" spans="1:19">
      <c r="A3257" s="124" t="s">
        <v>5520</v>
      </c>
      <c r="B3257" s="125" t="str">
        <f>IFERROR(VLOOKUP(Proc[[#This Row],[App]],Table2[],3,0),"open")</f>
        <v>open</v>
      </c>
      <c r="C3257" s="124" t="s">
        <v>375</v>
      </c>
      <c r="D3257" t="s">
        <v>5328</v>
      </c>
      <c r="E3257" t="s">
        <v>5495</v>
      </c>
      <c r="F3257" s="125" t="s">
        <v>2570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0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3</v>
      </c>
      <c r="R3257" s="115" t="s">
        <v>1459</v>
      </c>
      <c r="S3257" s="125"/>
    </row>
    <row r="3258" spans="1:19">
      <c r="A3258" s="124" t="s">
        <v>5520</v>
      </c>
      <c r="B3258" s="125" t="str">
        <f>IFERROR(VLOOKUP(Proc[[#This Row],[App]],Table2[],3,0),"open")</f>
        <v>open</v>
      </c>
      <c r="C3258" s="124" t="s">
        <v>375</v>
      </c>
      <c r="D3258" t="s">
        <v>5329</v>
      </c>
      <c r="E3258" t="s">
        <v>5496</v>
      </c>
      <c r="F3258" s="125" t="s">
        <v>5540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0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3</v>
      </c>
      <c r="R3258" s="115" t="s">
        <v>1459</v>
      </c>
      <c r="S3258" s="125"/>
    </row>
    <row r="3259" spans="1:19">
      <c r="A3259" s="124" t="s">
        <v>5520</v>
      </c>
      <c r="B3259" s="125" t="str">
        <f>IFERROR(VLOOKUP(Proc[[#This Row],[App]],Table2[],3,0),"open")</f>
        <v>open</v>
      </c>
      <c r="C3259" s="124" t="s">
        <v>375</v>
      </c>
      <c r="D3259" t="s">
        <v>5330</v>
      </c>
      <c r="E3259" t="s">
        <v>5492</v>
      </c>
      <c r="F3259" s="125" t="s">
        <v>5539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0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3</v>
      </c>
      <c r="R3259" s="115" t="s">
        <v>1459</v>
      </c>
      <c r="S3259" s="125"/>
    </row>
    <row r="3260" spans="1:19">
      <c r="A3260" s="124" t="s">
        <v>5520</v>
      </c>
      <c r="B3260" s="125" t="str">
        <f>IFERROR(VLOOKUP(Proc[[#This Row],[App]],Table2[],3,0),"open")</f>
        <v>open</v>
      </c>
      <c r="C3260" s="124" t="s">
        <v>370</v>
      </c>
      <c r="D3260" t="s">
        <v>5331</v>
      </c>
      <c r="E3260" t="s">
        <v>5497</v>
      </c>
      <c r="F3260" s="125" t="s">
        <v>5535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0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3</v>
      </c>
      <c r="R3260" s="115" t="s">
        <v>1459</v>
      </c>
      <c r="S3260" s="125"/>
    </row>
    <row r="3261" spans="1:19">
      <c r="A3261" s="124" t="s">
        <v>5520</v>
      </c>
      <c r="B3261" s="125" t="str">
        <f>IFERROR(VLOOKUP(Proc[[#This Row],[App]],Table2[],3,0),"open")</f>
        <v>open</v>
      </c>
      <c r="C3261" s="124" t="s">
        <v>370</v>
      </c>
      <c r="D3261" t="s">
        <v>5332</v>
      </c>
      <c r="E3261" t="s">
        <v>5497</v>
      </c>
      <c r="F3261" s="125" t="s">
        <v>5535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0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3</v>
      </c>
      <c r="R3261" s="115" t="s">
        <v>1459</v>
      </c>
      <c r="S3261" s="125"/>
    </row>
    <row r="3262" spans="1:19">
      <c r="A3262" s="124" t="s">
        <v>5520</v>
      </c>
      <c r="B3262" s="125" t="str">
        <f>IFERROR(VLOOKUP(Proc[[#This Row],[App]],Table2[],3,0),"open")</f>
        <v>open</v>
      </c>
      <c r="C3262" s="124" t="s">
        <v>370</v>
      </c>
      <c r="D3262" t="s">
        <v>5333</v>
      </c>
      <c r="E3262" t="s">
        <v>5495</v>
      </c>
      <c r="F3262" s="125" t="s">
        <v>2570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0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3</v>
      </c>
      <c r="R3262" s="115" t="s">
        <v>1459</v>
      </c>
      <c r="S3262" s="125"/>
    </row>
    <row r="3263" spans="1:19">
      <c r="A3263" s="124" t="s">
        <v>5520</v>
      </c>
      <c r="B3263" s="125" t="str">
        <f>IFERROR(VLOOKUP(Proc[[#This Row],[App]],Table2[],3,0),"open")</f>
        <v>open</v>
      </c>
      <c r="C3263" s="124" t="s">
        <v>370</v>
      </c>
      <c r="D3263" t="s">
        <v>5334</v>
      </c>
      <c r="E3263" t="s">
        <v>5498</v>
      </c>
      <c r="F3263" s="125" t="s">
        <v>3187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0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3</v>
      </c>
      <c r="R3263" s="115" t="s">
        <v>1459</v>
      </c>
      <c r="S3263" s="125"/>
    </row>
    <row r="3264" spans="1:19">
      <c r="A3264" s="124" t="s">
        <v>5520</v>
      </c>
      <c r="B3264" s="125" t="str">
        <f>IFERROR(VLOOKUP(Proc[[#This Row],[App]],Table2[],3,0),"open")</f>
        <v>open</v>
      </c>
      <c r="C3264" s="124" t="s">
        <v>370</v>
      </c>
      <c r="D3264" t="s">
        <v>5335</v>
      </c>
      <c r="E3264" t="s">
        <v>5491</v>
      </c>
      <c r="F3264" s="125" t="s">
        <v>5541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0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3</v>
      </c>
      <c r="R3264" s="115" t="s">
        <v>1459</v>
      </c>
      <c r="S3264" s="125"/>
    </row>
    <row r="3265" spans="1:19">
      <c r="A3265" s="124" t="s">
        <v>5520</v>
      </c>
      <c r="B3265" s="125" t="str">
        <f>IFERROR(VLOOKUP(Proc[[#This Row],[App]],Table2[],3,0),"open")</f>
        <v>open</v>
      </c>
      <c r="C3265" s="124" t="s">
        <v>370</v>
      </c>
      <c r="D3265" t="s">
        <v>5336</v>
      </c>
      <c r="E3265" t="s">
        <v>5498</v>
      </c>
      <c r="F3265" s="125" t="s">
        <v>5542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0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3</v>
      </c>
      <c r="R3265" s="115" t="s">
        <v>1459</v>
      </c>
      <c r="S3265" s="125"/>
    </row>
    <row r="3266" spans="1:19">
      <c r="A3266" s="124" t="s">
        <v>5520</v>
      </c>
      <c r="B3266" s="125" t="str">
        <f>IFERROR(VLOOKUP(Proc[[#This Row],[App]],Table2[],3,0),"open")</f>
        <v>open</v>
      </c>
      <c r="C3266" s="124" t="s">
        <v>370</v>
      </c>
      <c r="D3266" t="s">
        <v>5337</v>
      </c>
      <c r="E3266" t="s">
        <v>5499</v>
      </c>
      <c r="F3266" s="125" t="s">
        <v>5543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0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3</v>
      </c>
      <c r="R3266" s="115" t="s">
        <v>1459</v>
      </c>
      <c r="S3266" s="125"/>
    </row>
    <row r="3267" spans="1:19">
      <c r="A3267" s="124" t="s">
        <v>5520</v>
      </c>
      <c r="B3267" s="125" t="str">
        <f>IFERROR(VLOOKUP(Proc[[#This Row],[App]],Table2[],3,0),"open")</f>
        <v>open</v>
      </c>
      <c r="C3267" s="124" t="s">
        <v>370</v>
      </c>
      <c r="D3267" t="s">
        <v>5338</v>
      </c>
      <c r="E3267" t="s">
        <v>5491</v>
      </c>
      <c r="F3267" s="125" t="s">
        <v>5544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0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3</v>
      </c>
      <c r="R3267" s="115" t="s">
        <v>1459</v>
      </c>
      <c r="S3267" s="125"/>
    </row>
    <row r="3268" spans="1:19">
      <c r="A3268" s="124" t="s">
        <v>5520</v>
      </c>
      <c r="B3268" s="125" t="str">
        <f>IFERROR(VLOOKUP(Proc[[#This Row],[App]],Table2[],3,0),"open")</f>
        <v>open</v>
      </c>
      <c r="C3268" s="124" t="s">
        <v>370</v>
      </c>
      <c r="D3268" t="s">
        <v>4810</v>
      </c>
      <c r="E3268" t="s">
        <v>4412</v>
      </c>
      <c r="F3268" s="125" t="s">
        <v>4790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0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3</v>
      </c>
      <c r="R3268" s="115" t="s">
        <v>1459</v>
      </c>
      <c r="S3268" s="125"/>
    </row>
    <row r="3269" spans="1:19">
      <c r="A3269" s="124" t="s">
        <v>5520</v>
      </c>
      <c r="B3269" s="125" t="str">
        <f>IFERROR(VLOOKUP(Proc[[#This Row],[App]],Table2[],3,0),"open")</f>
        <v>open</v>
      </c>
      <c r="C3269" s="124" t="s">
        <v>370</v>
      </c>
      <c r="D3269" t="s">
        <v>5339</v>
      </c>
      <c r="E3269" t="s">
        <v>5491</v>
      </c>
      <c r="F3269" s="125" t="s">
        <v>5544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0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3</v>
      </c>
      <c r="R3269" s="115" t="s">
        <v>1459</v>
      </c>
      <c r="S3269" s="125"/>
    </row>
    <row r="3270" spans="1:19">
      <c r="A3270" s="124" t="s">
        <v>5520</v>
      </c>
      <c r="B3270" s="125" t="str">
        <f>IFERROR(VLOOKUP(Proc[[#This Row],[App]],Table2[],3,0),"open")</f>
        <v>open</v>
      </c>
      <c r="C3270" s="124" t="s">
        <v>370</v>
      </c>
      <c r="D3270" t="s">
        <v>5340</v>
      </c>
      <c r="E3270" t="s">
        <v>5500</v>
      </c>
      <c r="F3270" s="125" t="s">
        <v>5545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0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3</v>
      </c>
      <c r="R3270" s="115" t="s">
        <v>1459</v>
      </c>
      <c r="S3270" s="125"/>
    </row>
    <row r="3271" spans="1:19">
      <c r="A3271" s="124" t="s">
        <v>5520</v>
      </c>
      <c r="B3271" s="125" t="str">
        <f>IFERROR(VLOOKUP(Proc[[#This Row],[App]],Table2[],3,0),"open")</f>
        <v>open</v>
      </c>
      <c r="C3271" s="124" t="s">
        <v>370</v>
      </c>
      <c r="D3271" t="s">
        <v>5341</v>
      </c>
      <c r="E3271" t="s">
        <v>5501</v>
      </c>
      <c r="F3271" s="125" t="s">
        <v>5546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0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3</v>
      </c>
      <c r="R3271" s="115" t="s">
        <v>1459</v>
      </c>
      <c r="S3271" s="125"/>
    </row>
    <row r="3272" spans="1:19">
      <c r="A3272" s="124" t="s">
        <v>5520</v>
      </c>
      <c r="B3272" s="125" t="str">
        <f>IFERROR(VLOOKUP(Proc[[#This Row],[App]],Table2[],3,0),"open")</f>
        <v>open</v>
      </c>
      <c r="C3272" s="124" t="s">
        <v>370</v>
      </c>
      <c r="D3272" t="s">
        <v>5342</v>
      </c>
      <c r="E3272" t="s">
        <v>5502</v>
      </c>
      <c r="F3272" s="125" t="s">
        <v>5546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0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3</v>
      </c>
      <c r="R3272" s="115" t="s">
        <v>1459</v>
      </c>
      <c r="S3272" s="125"/>
    </row>
    <row r="3273" spans="1:19">
      <c r="A3273" s="124" t="s">
        <v>5520</v>
      </c>
      <c r="B3273" s="125" t="str">
        <f>IFERROR(VLOOKUP(Proc[[#This Row],[App]],Table2[],3,0),"open")</f>
        <v>open</v>
      </c>
      <c r="C3273" s="124" t="s">
        <v>370</v>
      </c>
      <c r="D3273" t="s">
        <v>3371</v>
      </c>
      <c r="E3273" t="s">
        <v>5499</v>
      </c>
      <c r="F3273" s="125" t="s">
        <v>5547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0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3</v>
      </c>
      <c r="R3273" s="115" t="s">
        <v>1459</v>
      </c>
      <c r="S3273" s="125"/>
    </row>
    <row r="3274" spans="1:19">
      <c r="A3274" s="124" t="s">
        <v>5520</v>
      </c>
      <c r="B3274" s="125" t="str">
        <f>IFERROR(VLOOKUP(Proc[[#This Row],[App]],Table2[],3,0),"open")</f>
        <v>open</v>
      </c>
      <c r="C3274" s="124" t="s">
        <v>370</v>
      </c>
      <c r="D3274" t="s">
        <v>5343</v>
      </c>
      <c r="E3274" t="s">
        <v>5501</v>
      </c>
      <c r="F3274" s="125" t="s">
        <v>5548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0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3</v>
      </c>
      <c r="R3274" s="115" t="s">
        <v>1459</v>
      </c>
      <c r="S3274" s="125"/>
    </row>
    <row r="3275" spans="1:19">
      <c r="A3275" s="124" t="s">
        <v>5520</v>
      </c>
      <c r="B3275" s="125" t="str">
        <f>IFERROR(VLOOKUP(Proc[[#This Row],[App]],Table2[],3,0),"open")</f>
        <v>open</v>
      </c>
      <c r="C3275" s="124" t="s">
        <v>370</v>
      </c>
      <c r="D3275" t="s">
        <v>5344</v>
      </c>
      <c r="E3275" t="s">
        <v>5491</v>
      </c>
      <c r="F3275" s="125" t="s">
        <v>5544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0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3</v>
      </c>
      <c r="R3275" s="115" t="s">
        <v>1459</v>
      </c>
      <c r="S3275" s="125"/>
    </row>
    <row r="3276" spans="1:19">
      <c r="A3276" s="124" t="s">
        <v>5520</v>
      </c>
      <c r="B3276" s="125" t="str">
        <f>IFERROR(VLOOKUP(Proc[[#This Row],[App]],Table2[],3,0),"open")</f>
        <v>open</v>
      </c>
      <c r="C3276" s="124" t="s">
        <v>370</v>
      </c>
      <c r="D3276" t="s">
        <v>5345</v>
      </c>
      <c r="E3276" t="s">
        <v>5503</v>
      </c>
      <c r="F3276" s="125" t="s">
        <v>5548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0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3</v>
      </c>
      <c r="R3276" s="115" t="s">
        <v>1459</v>
      </c>
      <c r="S3276" s="125"/>
    </row>
    <row r="3277" spans="1:19">
      <c r="A3277" s="124" t="s">
        <v>5520</v>
      </c>
      <c r="B3277" s="125" t="str">
        <f>IFERROR(VLOOKUP(Proc[[#This Row],[App]],Table2[],3,0),"open")</f>
        <v>open</v>
      </c>
      <c r="C3277" s="124" t="s">
        <v>370</v>
      </c>
      <c r="D3277" t="s">
        <v>5346</v>
      </c>
      <c r="E3277" t="s">
        <v>5504</v>
      </c>
      <c r="F3277" s="125" t="s">
        <v>413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0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3</v>
      </c>
      <c r="R3277" s="115" t="s">
        <v>1459</v>
      </c>
      <c r="S3277" s="125"/>
    </row>
    <row r="3278" spans="1:19">
      <c r="A3278" s="124" t="s">
        <v>5520</v>
      </c>
      <c r="B3278" s="125" t="str">
        <f>IFERROR(VLOOKUP(Proc[[#This Row],[App]],Table2[],3,0),"open")</f>
        <v>open</v>
      </c>
      <c r="C3278" s="124" t="s">
        <v>370</v>
      </c>
      <c r="D3278" t="s">
        <v>5347</v>
      </c>
      <c r="E3278" t="s">
        <v>5491</v>
      </c>
      <c r="F3278" s="125" t="s">
        <v>5544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0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3</v>
      </c>
      <c r="R3278" s="115" t="s">
        <v>1459</v>
      </c>
      <c r="S3278" s="125"/>
    </row>
    <row r="3279" spans="1:19">
      <c r="A3279" s="124" t="s">
        <v>5520</v>
      </c>
      <c r="B3279" s="125" t="str">
        <f>IFERROR(VLOOKUP(Proc[[#This Row],[App]],Table2[],3,0),"open")</f>
        <v>open</v>
      </c>
      <c r="C3279" s="124" t="s">
        <v>370</v>
      </c>
      <c r="D3279" t="s">
        <v>5348</v>
      </c>
      <c r="E3279" t="s">
        <v>5498</v>
      </c>
      <c r="F3279" s="125" t="s">
        <v>5542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0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3</v>
      </c>
      <c r="R3279" s="115" t="s">
        <v>1459</v>
      </c>
      <c r="S3279" s="125"/>
    </row>
    <row r="3280" spans="1:19">
      <c r="A3280" s="124" t="s">
        <v>5520</v>
      </c>
      <c r="B3280" s="125" t="str">
        <f>IFERROR(VLOOKUP(Proc[[#This Row],[App]],Table2[],3,0),"open")</f>
        <v>open</v>
      </c>
      <c r="C3280" s="124" t="s">
        <v>370</v>
      </c>
      <c r="D3280" t="s">
        <v>5349</v>
      </c>
      <c r="E3280" t="s">
        <v>5498</v>
      </c>
      <c r="F3280" s="125" t="s">
        <v>3187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0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3</v>
      </c>
      <c r="R3280" s="115" t="s">
        <v>1459</v>
      </c>
      <c r="S3280" s="125"/>
    </row>
    <row r="3281" spans="1:19">
      <c r="A3281" s="124" t="s">
        <v>5520</v>
      </c>
      <c r="B3281" s="125" t="str">
        <f>IFERROR(VLOOKUP(Proc[[#This Row],[App]],Table2[],3,0),"open")</f>
        <v>open</v>
      </c>
      <c r="C3281" s="124" t="s">
        <v>370</v>
      </c>
      <c r="D3281" t="s">
        <v>5350</v>
      </c>
      <c r="E3281" t="s">
        <v>5505</v>
      </c>
      <c r="F3281" s="125" t="s">
        <v>2570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0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3</v>
      </c>
      <c r="R3281" s="115" t="s">
        <v>1459</v>
      </c>
      <c r="S3281" s="125"/>
    </row>
    <row r="3282" spans="1:19">
      <c r="A3282" s="124" t="s">
        <v>5520</v>
      </c>
      <c r="B3282" s="125" t="str">
        <f>IFERROR(VLOOKUP(Proc[[#This Row],[App]],Table2[],3,0),"open")</f>
        <v>open</v>
      </c>
      <c r="C3282" s="124" t="s">
        <v>370</v>
      </c>
      <c r="D3282" t="s">
        <v>5351</v>
      </c>
      <c r="E3282" t="s">
        <v>5501</v>
      </c>
      <c r="F3282" s="125" t="s">
        <v>5546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0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3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375</v>
      </c>
      <c r="D3283" t="s">
        <v>2319</v>
      </c>
      <c r="E3283" t="s">
        <v>430</v>
      </c>
      <c r="F3283" s="125" t="s">
        <v>4414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3</v>
      </c>
      <c r="R3283" s="115" t="s">
        <v>1459</v>
      </c>
      <c r="S3283" s="125"/>
    </row>
    <row r="3284" spans="1:19">
      <c r="A3284" s="124" t="s">
        <v>5520</v>
      </c>
      <c r="B3284" s="125" t="str">
        <f>IFERROR(VLOOKUP(Proc[[#This Row],[App]],Table2[],3,0),"open")</f>
        <v>open</v>
      </c>
      <c r="C3284" s="124" t="s">
        <v>375</v>
      </c>
      <c r="D3284" t="s">
        <v>5352</v>
      </c>
      <c r="E3284" t="s">
        <v>5506</v>
      </c>
      <c r="F3284" s="125" t="s">
        <v>2570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0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3</v>
      </c>
      <c r="R3284" s="115" t="s">
        <v>1459</v>
      </c>
      <c r="S3284" s="125"/>
    </row>
    <row r="3285" spans="1:19">
      <c r="A3285" s="124" t="s">
        <v>5520</v>
      </c>
      <c r="B3285" s="125" t="str">
        <f>IFERROR(VLOOKUP(Proc[[#This Row],[App]],Table2[],3,0),"open")</f>
        <v>open</v>
      </c>
      <c r="C3285" s="124" t="s">
        <v>370</v>
      </c>
      <c r="D3285" t="s">
        <v>5353</v>
      </c>
      <c r="E3285" t="s">
        <v>5498</v>
      </c>
      <c r="F3285" s="125" t="s">
        <v>1963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0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3</v>
      </c>
      <c r="R3285" s="115" t="s">
        <v>1459</v>
      </c>
      <c r="S3285" s="125"/>
    </row>
    <row r="3286" spans="1:19">
      <c r="A3286" s="124" t="s">
        <v>5520</v>
      </c>
      <c r="B3286" s="125" t="str">
        <f>IFERROR(VLOOKUP(Proc[[#This Row],[App]],Table2[],3,0),"open")</f>
        <v>open</v>
      </c>
      <c r="C3286" s="124" t="s">
        <v>375</v>
      </c>
      <c r="D3286" t="s">
        <v>5354</v>
      </c>
      <c r="E3286" t="s">
        <v>5506</v>
      </c>
      <c r="F3286" s="125" t="s">
        <v>2570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0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3</v>
      </c>
      <c r="R3286" s="115" t="s">
        <v>1459</v>
      </c>
      <c r="S3286" s="125"/>
    </row>
    <row r="3287" spans="1:19">
      <c r="A3287" s="124" t="s">
        <v>5520</v>
      </c>
      <c r="B3287" s="125" t="str">
        <f>IFERROR(VLOOKUP(Proc[[#This Row],[App]],Table2[],3,0),"open")</f>
        <v>open</v>
      </c>
      <c r="C3287" s="124" t="s">
        <v>375</v>
      </c>
      <c r="D3287" t="s">
        <v>5355</v>
      </c>
      <c r="E3287" t="s">
        <v>5498</v>
      </c>
      <c r="F3287" s="125" t="s">
        <v>5507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0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3</v>
      </c>
      <c r="R3287" s="115" t="s">
        <v>1459</v>
      </c>
      <c r="S3287" s="125"/>
    </row>
    <row r="3288" spans="1:19">
      <c r="A3288" s="124" t="s">
        <v>5520</v>
      </c>
      <c r="B3288" s="125" t="str">
        <f>IFERROR(VLOOKUP(Proc[[#This Row],[App]],Table2[],3,0),"open")</f>
        <v>open</v>
      </c>
      <c r="C3288" s="124" t="s">
        <v>370</v>
      </c>
      <c r="D3288" t="s">
        <v>5356</v>
      </c>
      <c r="E3288" t="s">
        <v>5495</v>
      </c>
      <c r="F3288" s="125" t="s">
        <v>2570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0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3</v>
      </c>
      <c r="R3288" s="115" t="s">
        <v>1459</v>
      </c>
      <c r="S3288" s="125"/>
    </row>
    <row r="3289" spans="1:19">
      <c r="A3289" s="124" t="s">
        <v>5520</v>
      </c>
      <c r="B3289" s="125" t="str">
        <f>IFERROR(VLOOKUP(Proc[[#This Row],[App]],Table2[],3,0),"open")</f>
        <v>open</v>
      </c>
      <c r="C3289" s="124" t="s">
        <v>375</v>
      </c>
      <c r="D3289" t="s">
        <v>5357</v>
      </c>
      <c r="E3289" t="s">
        <v>424</v>
      </c>
      <c r="F3289" s="125" t="s">
        <v>5538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0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3</v>
      </c>
      <c r="R3289" s="115" t="s">
        <v>1459</v>
      </c>
      <c r="S3289" s="125"/>
    </row>
    <row r="3290" spans="1:19">
      <c r="A3290" s="124" t="s">
        <v>5520</v>
      </c>
      <c r="B3290" s="125" t="str">
        <f>IFERROR(VLOOKUP(Proc[[#This Row],[App]],Table2[],3,0),"open")</f>
        <v>open</v>
      </c>
      <c r="C3290" s="124" t="s">
        <v>375</v>
      </c>
      <c r="D3290" t="s">
        <v>5358</v>
      </c>
      <c r="E3290" t="s">
        <v>5494</v>
      </c>
      <c r="F3290" s="125" t="s">
        <v>2570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0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3</v>
      </c>
      <c r="R3290" s="115" t="s">
        <v>1459</v>
      </c>
      <c r="S3290" s="125"/>
    </row>
    <row r="3291" spans="1:19">
      <c r="A3291" s="124" t="s">
        <v>5520</v>
      </c>
      <c r="B3291" s="125" t="str">
        <f>IFERROR(VLOOKUP(Proc[[#This Row],[App]],Table2[],3,0),"open")</f>
        <v>open</v>
      </c>
      <c r="C3291" s="124" t="s">
        <v>375</v>
      </c>
      <c r="D3291" t="s">
        <v>5359</v>
      </c>
      <c r="E3291" t="s">
        <v>5494</v>
      </c>
      <c r="F3291" s="125" t="s">
        <v>2570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0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3</v>
      </c>
      <c r="R3291" s="115" t="s">
        <v>1459</v>
      </c>
      <c r="S3291" s="125"/>
    </row>
    <row r="3292" spans="1:19">
      <c r="A3292" s="124" t="s">
        <v>5520</v>
      </c>
      <c r="B3292" s="125" t="str">
        <f>IFERROR(VLOOKUP(Proc[[#This Row],[App]],Table2[],3,0),"open")</f>
        <v>open</v>
      </c>
      <c r="C3292" s="124" t="s">
        <v>375</v>
      </c>
      <c r="D3292" t="s">
        <v>5360</v>
      </c>
      <c r="E3292" t="s">
        <v>5486</v>
      </c>
      <c r="F3292" s="125" t="s">
        <v>859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0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3</v>
      </c>
      <c r="R3292" s="115" t="s">
        <v>1459</v>
      </c>
      <c r="S3292" s="125"/>
    </row>
    <row r="3293" spans="1:19">
      <c r="A3293" s="124" t="s">
        <v>5520</v>
      </c>
      <c r="B3293" s="125" t="str">
        <f>IFERROR(VLOOKUP(Proc[[#This Row],[App]],Table2[],3,0),"open")</f>
        <v>open</v>
      </c>
      <c r="C3293" s="124" t="s">
        <v>375</v>
      </c>
      <c r="D3293" t="s">
        <v>5361</v>
      </c>
      <c r="E3293" t="s">
        <v>5487</v>
      </c>
      <c r="F3293" s="125" t="s">
        <v>5535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0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3</v>
      </c>
      <c r="R3293" s="115" t="s">
        <v>1459</v>
      </c>
      <c r="S3293" s="125"/>
    </row>
    <row r="3294" spans="1:19">
      <c r="A3294" s="124" t="s">
        <v>5520</v>
      </c>
      <c r="B3294" s="125" t="str">
        <f>IFERROR(VLOOKUP(Proc[[#This Row],[App]],Table2[],3,0),"open")</f>
        <v>open</v>
      </c>
      <c r="C3294" s="124" t="s">
        <v>375</v>
      </c>
      <c r="D3294" t="s">
        <v>5362</v>
      </c>
      <c r="E3294" t="s">
        <v>5494</v>
      </c>
      <c r="F3294" s="125" t="s">
        <v>2570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0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3</v>
      </c>
      <c r="R3294" s="115" t="s">
        <v>1459</v>
      </c>
      <c r="S3294" s="125"/>
    </row>
    <row r="3295" spans="1:19">
      <c r="A3295" s="124" t="s">
        <v>5520</v>
      </c>
      <c r="B3295" s="125" t="str">
        <f>IFERROR(VLOOKUP(Proc[[#This Row],[App]],Table2[],3,0),"open")</f>
        <v>open</v>
      </c>
      <c r="C3295" s="124" t="s">
        <v>375</v>
      </c>
      <c r="D3295" t="s">
        <v>5363</v>
      </c>
      <c r="E3295" t="s">
        <v>5488</v>
      </c>
      <c r="F3295" s="125" t="s">
        <v>5536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0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3</v>
      </c>
      <c r="R3295" s="115" t="s">
        <v>1459</v>
      </c>
      <c r="S3295" s="125"/>
    </row>
    <row r="3296" spans="1:19">
      <c r="A3296" s="124" t="s">
        <v>5520</v>
      </c>
      <c r="B3296" s="125" t="str">
        <f>IFERROR(VLOOKUP(Proc[[#This Row],[App]],Table2[],3,0),"open")</f>
        <v>open</v>
      </c>
      <c r="C3296" s="124" t="s">
        <v>375</v>
      </c>
      <c r="D3296" t="s">
        <v>5364</v>
      </c>
      <c r="E3296" t="s">
        <v>5506</v>
      </c>
      <c r="F3296" s="125" t="s">
        <v>2570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0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3</v>
      </c>
      <c r="R3296" s="115" t="s">
        <v>1459</v>
      </c>
      <c r="S3296" s="125"/>
    </row>
    <row r="3297" spans="1:19">
      <c r="A3297" s="124" t="s">
        <v>5520</v>
      </c>
      <c r="B3297" s="125" t="str">
        <f>IFERROR(VLOOKUP(Proc[[#This Row],[App]],Table2[],3,0),"open")</f>
        <v>open</v>
      </c>
      <c r="C3297" s="124" t="s">
        <v>375</v>
      </c>
      <c r="D3297" t="s">
        <v>5365</v>
      </c>
      <c r="E3297" t="s">
        <v>5494</v>
      </c>
      <c r="F3297" s="125" t="s">
        <v>2570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0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3</v>
      </c>
      <c r="R3297" s="115" t="s">
        <v>1459</v>
      </c>
      <c r="S3297" s="125"/>
    </row>
    <row r="3298" spans="1:19">
      <c r="A3298" s="124" t="s">
        <v>5520</v>
      </c>
      <c r="B3298" s="125" t="str">
        <f>IFERROR(VLOOKUP(Proc[[#This Row],[App]],Table2[],3,0),"open")</f>
        <v>open</v>
      </c>
      <c r="C3298" s="124" t="s">
        <v>375</v>
      </c>
      <c r="D3298" t="s">
        <v>5366</v>
      </c>
      <c r="E3298" t="s">
        <v>5486</v>
      </c>
      <c r="F3298" s="125" t="s">
        <v>859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0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3</v>
      </c>
      <c r="R3298" s="115" t="s">
        <v>1459</v>
      </c>
      <c r="S3298" s="125"/>
    </row>
    <row r="3299" spans="1:19">
      <c r="A3299" s="124" t="s">
        <v>5520</v>
      </c>
      <c r="B3299" s="125" t="str">
        <f>IFERROR(VLOOKUP(Proc[[#This Row],[App]],Table2[],3,0),"open")</f>
        <v>open</v>
      </c>
      <c r="C3299" s="124" t="s">
        <v>375</v>
      </c>
      <c r="D3299" t="s">
        <v>5367</v>
      </c>
      <c r="E3299" t="s">
        <v>5506</v>
      </c>
      <c r="F3299" s="125" t="s">
        <v>2570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0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3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404</v>
      </c>
      <c r="D3300" t="s">
        <v>5368</v>
      </c>
      <c r="E3300" t="s">
        <v>4412</v>
      </c>
      <c r="F3300" s="125" t="s">
        <v>5549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3</v>
      </c>
      <c r="R3300" s="115" t="s">
        <v>1459</v>
      </c>
      <c r="S3300" s="125"/>
    </row>
    <row r="3301" spans="1:19">
      <c r="A3301" s="124" t="s">
        <v>5520</v>
      </c>
      <c r="B3301" s="125" t="str">
        <f>IFERROR(VLOOKUP(Proc[[#This Row],[App]],Table2[],3,0),"open")</f>
        <v>open</v>
      </c>
      <c r="C3301" s="124" t="s">
        <v>375</v>
      </c>
      <c r="D3301" t="s">
        <v>5369</v>
      </c>
      <c r="E3301" t="s">
        <v>5486</v>
      </c>
      <c r="F3301" s="125" t="s">
        <v>859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0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3</v>
      </c>
      <c r="R3301" s="115" t="s">
        <v>1459</v>
      </c>
      <c r="S3301" s="125"/>
    </row>
    <row r="3302" spans="1:19">
      <c r="A3302" s="124" t="s">
        <v>5520</v>
      </c>
      <c r="B3302" s="125" t="str">
        <f>IFERROR(VLOOKUP(Proc[[#This Row],[App]],Table2[],3,0),"open")</f>
        <v>open</v>
      </c>
      <c r="C3302" s="124" t="s">
        <v>375</v>
      </c>
      <c r="D3302" t="s">
        <v>5370</v>
      </c>
      <c r="E3302" t="s">
        <v>5498</v>
      </c>
      <c r="F3302" s="125" t="s">
        <v>5507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0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3</v>
      </c>
      <c r="R3302" s="115" t="s">
        <v>1459</v>
      </c>
      <c r="S3302" s="125"/>
    </row>
    <row r="3303" spans="1:19">
      <c r="A3303" s="124" t="s">
        <v>5520</v>
      </c>
      <c r="B3303" s="125" t="str">
        <f>IFERROR(VLOOKUP(Proc[[#This Row],[App]],Table2[],3,0),"open")</f>
        <v>open</v>
      </c>
      <c r="C3303" s="124" t="s">
        <v>375</v>
      </c>
      <c r="D3303" t="s">
        <v>5371</v>
      </c>
      <c r="E3303" t="s">
        <v>5494</v>
      </c>
      <c r="F3303" s="125" t="s">
        <v>5550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0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3</v>
      </c>
      <c r="R3303" s="115" t="s">
        <v>1459</v>
      </c>
      <c r="S3303" s="125"/>
    </row>
    <row r="3304" spans="1:19">
      <c r="A3304" s="124" t="s">
        <v>5520</v>
      </c>
      <c r="B3304" s="125" t="str">
        <f>IFERROR(VLOOKUP(Proc[[#This Row],[App]],Table2[],3,0),"open")</f>
        <v>open</v>
      </c>
      <c r="C3304" s="124" t="s">
        <v>375</v>
      </c>
      <c r="D3304" t="s">
        <v>5372</v>
      </c>
      <c r="E3304" t="s">
        <v>5494</v>
      </c>
      <c r="F3304" s="125" t="s">
        <v>5540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0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3</v>
      </c>
      <c r="R3304" s="115" t="s">
        <v>1459</v>
      </c>
      <c r="S3304" s="125"/>
    </row>
    <row r="3305" spans="1:19">
      <c r="A3305" s="124" t="s">
        <v>5520</v>
      </c>
      <c r="B3305" s="125" t="str">
        <f>IFERROR(VLOOKUP(Proc[[#This Row],[App]],Table2[],3,0),"open")</f>
        <v>open</v>
      </c>
      <c r="C3305" s="124" t="s">
        <v>375</v>
      </c>
      <c r="D3305" t="s">
        <v>5373</v>
      </c>
      <c r="E3305" t="s">
        <v>5487</v>
      </c>
      <c r="F3305" s="125" t="s">
        <v>5535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0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3</v>
      </c>
      <c r="R3305" s="115" t="s">
        <v>1459</v>
      </c>
      <c r="S3305" s="125"/>
    </row>
    <row r="3306" spans="1:19">
      <c r="A3306" s="124" t="s">
        <v>5520</v>
      </c>
      <c r="B3306" s="125" t="str">
        <f>IFERROR(VLOOKUP(Proc[[#This Row],[App]],Table2[],3,0),"open")</f>
        <v>open</v>
      </c>
      <c r="C3306" s="124" t="s">
        <v>375</v>
      </c>
      <c r="D3306" t="s">
        <v>5374</v>
      </c>
      <c r="E3306" t="s">
        <v>5499</v>
      </c>
      <c r="F3306" s="125" t="s">
        <v>5504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0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3</v>
      </c>
      <c r="R3306" s="115" t="s">
        <v>1459</v>
      </c>
      <c r="S3306" s="125"/>
    </row>
    <row r="3307" spans="1:19">
      <c r="A3307" s="124" t="s">
        <v>5520</v>
      </c>
      <c r="B3307" s="125" t="str">
        <f>IFERROR(VLOOKUP(Proc[[#This Row],[App]],Table2[],3,0),"open")</f>
        <v>open</v>
      </c>
      <c r="C3307" s="124" t="s">
        <v>375</v>
      </c>
      <c r="D3307" t="s">
        <v>5375</v>
      </c>
      <c r="E3307" t="s">
        <v>5486</v>
      </c>
      <c r="F3307" s="125" t="s">
        <v>859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0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3</v>
      </c>
      <c r="R3307" s="115" t="s">
        <v>1459</v>
      </c>
      <c r="S3307" s="125"/>
    </row>
    <row r="3308" spans="1:19">
      <c r="A3308" s="124" t="s">
        <v>5520</v>
      </c>
      <c r="B3308" s="125" t="str">
        <f>IFERROR(VLOOKUP(Proc[[#This Row],[App]],Table2[],3,0),"open")</f>
        <v>open</v>
      </c>
      <c r="C3308" s="124" t="s">
        <v>375</v>
      </c>
      <c r="D3308" t="s">
        <v>1457</v>
      </c>
      <c r="E3308" t="s">
        <v>5486</v>
      </c>
      <c r="F3308" s="125" t="s">
        <v>859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0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3</v>
      </c>
      <c r="R3308" s="115" t="s">
        <v>1459</v>
      </c>
      <c r="S3308" s="125"/>
    </row>
    <row r="3309" spans="1:19">
      <c r="A3309" s="124" t="s">
        <v>5520</v>
      </c>
      <c r="B3309" s="125" t="str">
        <f>IFERROR(VLOOKUP(Proc[[#This Row],[App]],Table2[],3,0),"open")</f>
        <v>open</v>
      </c>
      <c r="C3309" s="124" t="s">
        <v>375</v>
      </c>
      <c r="D3309" t="s">
        <v>5376</v>
      </c>
      <c r="E3309" t="s">
        <v>662</v>
      </c>
      <c r="F3309" s="125" t="s">
        <v>5551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0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3</v>
      </c>
      <c r="R3309" s="115" t="s">
        <v>1459</v>
      </c>
      <c r="S3309" s="125"/>
    </row>
    <row r="3310" spans="1:19">
      <c r="A3310" s="124" t="s">
        <v>5520</v>
      </c>
      <c r="B3310" s="125" t="str">
        <f>IFERROR(VLOOKUP(Proc[[#This Row],[App]],Table2[],3,0),"open")</f>
        <v>open</v>
      </c>
      <c r="C3310" s="124" t="s">
        <v>375</v>
      </c>
      <c r="D3310" t="s">
        <v>5377</v>
      </c>
      <c r="E3310" t="s">
        <v>661</v>
      </c>
      <c r="F3310" s="125" t="s">
        <v>5551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0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3</v>
      </c>
      <c r="R3310" s="115" t="s">
        <v>1459</v>
      </c>
      <c r="S3310" s="125"/>
    </row>
    <row r="3311" spans="1:19">
      <c r="A3311" s="124" t="s">
        <v>5520</v>
      </c>
      <c r="B3311" s="125" t="str">
        <f>IFERROR(VLOOKUP(Proc[[#This Row],[App]],Table2[],3,0),"open")</f>
        <v>open</v>
      </c>
      <c r="C3311" s="124" t="s">
        <v>375</v>
      </c>
      <c r="D3311" t="s">
        <v>5378</v>
      </c>
      <c r="E3311" t="s">
        <v>5507</v>
      </c>
      <c r="F3311" s="125" t="s">
        <v>5551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0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3</v>
      </c>
      <c r="R3311" s="115" t="s">
        <v>1459</v>
      </c>
      <c r="S3311" s="125"/>
    </row>
    <row r="3312" spans="1:19">
      <c r="A3312" s="124" t="s">
        <v>5520</v>
      </c>
      <c r="B3312" s="125" t="str">
        <f>IFERROR(VLOOKUP(Proc[[#This Row],[App]],Table2[],3,0),"open")</f>
        <v>open</v>
      </c>
      <c r="C3312" s="124" t="s">
        <v>375</v>
      </c>
      <c r="D3312" t="s">
        <v>5379</v>
      </c>
      <c r="E3312" t="s">
        <v>5508</v>
      </c>
      <c r="F3312" s="125" t="s">
        <v>5551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0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3</v>
      </c>
      <c r="R3312" s="115" t="s">
        <v>1459</v>
      </c>
      <c r="S3312" s="125"/>
    </row>
    <row r="3313" spans="1:19">
      <c r="A3313" s="124" t="s">
        <v>5520</v>
      </c>
      <c r="B3313" s="125" t="str">
        <f>IFERROR(VLOOKUP(Proc[[#This Row],[App]],Table2[],3,0),"open")</f>
        <v>open</v>
      </c>
      <c r="C3313" s="124" t="s">
        <v>375</v>
      </c>
      <c r="D3313" t="s">
        <v>5380</v>
      </c>
      <c r="E3313" t="s">
        <v>5491</v>
      </c>
      <c r="F3313" s="125" t="s">
        <v>5504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0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3</v>
      </c>
      <c r="R3313" s="115" t="s">
        <v>1459</v>
      </c>
      <c r="S3313" s="125"/>
    </row>
    <row r="3314" spans="1:19">
      <c r="A3314" s="124" t="s">
        <v>5520</v>
      </c>
      <c r="B3314" s="125" t="str">
        <f>IFERROR(VLOOKUP(Proc[[#This Row],[App]],Table2[],3,0),"open")</f>
        <v>open</v>
      </c>
      <c r="C3314" s="124" t="s">
        <v>375</v>
      </c>
      <c r="D3314" t="s">
        <v>5381</v>
      </c>
      <c r="E3314" t="s">
        <v>5500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0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3</v>
      </c>
      <c r="R3314" s="115" t="s">
        <v>1459</v>
      </c>
      <c r="S3314" s="125"/>
    </row>
    <row r="3315" spans="1:19">
      <c r="A3315" s="124" t="s">
        <v>5520</v>
      </c>
      <c r="B3315" s="125" t="str">
        <f>IFERROR(VLOOKUP(Proc[[#This Row],[App]],Table2[],3,0),"open")</f>
        <v>open</v>
      </c>
      <c r="C3315" s="124" t="s">
        <v>375</v>
      </c>
      <c r="D3315" t="s">
        <v>5382</v>
      </c>
      <c r="E3315" t="s">
        <v>5502</v>
      </c>
      <c r="F3315" s="125" t="s">
        <v>5494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0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3</v>
      </c>
      <c r="R3315" s="115" t="s">
        <v>1459</v>
      </c>
      <c r="S3315" s="125"/>
    </row>
    <row r="3316" spans="1:19">
      <c r="A3316" s="124" t="s">
        <v>5520</v>
      </c>
      <c r="B3316" s="125" t="str">
        <f>IFERROR(VLOOKUP(Proc[[#This Row],[App]],Table2[],3,0),"open")</f>
        <v>open</v>
      </c>
      <c r="C3316" s="124" t="s">
        <v>375</v>
      </c>
      <c r="D3316" t="s">
        <v>5383</v>
      </c>
      <c r="E3316" t="s">
        <v>5501</v>
      </c>
      <c r="F3316" s="125" t="s">
        <v>5494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0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3</v>
      </c>
      <c r="R3316" s="115" t="s">
        <v>1459</v>
      </c>
      <c r="S3316" s="125"/>
    </row>
    <row r="3317" spans="1:19">
      <c r="A3317" s="124" t="s">
        <v>5520</v>
      </c>
      <c r="B3317" s="125" t="str">
        <f>IFERROR(VLOOKUP(Proc[[#This Row],[App]],Table2[],3,0),"open")</f>
        <v>open</v>
      </c>
      <c r="C3317" s="124" t="s">
        <v>375</v>
      </c>
      <c r="D3317" t="s">
        <v>5384</v>
      </c>
      <c r="E3317" t="s">
        <v>5494</v>
      </c>
      <c r="F3317" s="125" t="s">
        <v>2570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0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3</v>
      </c>
      <c r="R3317" s="115" t="s">
        <v>1459</v>
      </c>
      <c r="S3317" s="125"/>
    </row>
    <row r="3318" spans="1:19">
      <c r="A3318" s="124" t="s">
        <v>5520</v>
      </c>
      <c r="B3318" s="125" t="str">
        <f>IFERROR(VLOOKUP(Proc[[#This Row],[App]],Table2[],3,0),"open")</f>
        <v>open</v>
      </c>
      <c r="C3318" s="124" t="s">
        <v>375</v>
      </c>
      <c r="D3318" t="s">
        <v>5385</v>
      </c>
      <c r="E3318" t="s">
        <v>5494</v>
      </c>
      <c r="F3318" s="125" t="s">
        <v>2570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0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3</v>
      </c>
      <c r="R3318" s="115" t="s">
        <v>1459</v>
      </c>
      <c r="S3318" s="125"/>
    </row>
    <row r="3319" spans="1:19">
      <c r="A3319" s="124" t="s">
        <v>5520</v>
      </c>
      <c r="B3319" s="125" t="str">
        <f>IFERROR(VLOOKUP(Proc[[#This Row],[App]],Table2[],3,0),"open")</f>
        <v>open</v>
      </c>
      <c r="C3319" s="124" t="s">
        <v>375</v>
      </c>
      <c r="D3319" t="s">
        <v>5386</v>
      </c>
      <c r="E3319" t="s">
        <v>5494</v>
      </c>
      <c r="F3319" s="125" t="s">
        <v>2570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0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3</v>
      </c>
      <c r="R3319" s="115" t="s">
        <v>1459</v>
      </c>
      <c r="S3319" s="125"/>
    </row>
    <row r="3320" spans="1:19">
      <c r="A3320" s="124" t="s">
        <v>5520</v>
      </c>
      <c r="B3320" s="125" t="str">
        <f>IFERROR(VLOOKUP(Proc[[#This Row],[App]],Table2[],3,0),"open")</f>
        <v>open</v>
      </c>
      <c r="C3320" s="124" t="s">
        <v>375</v>
      </c>
      <c r="D3320" t="s">
        <v>5387</v>
      </c>
      <c r="E3320" t="s">
        <v>5494</v>
      </c>
      <c r="F3320" s="125" t="s">
        <v>2570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0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3</v>
      </c>
      <c r="R3320" s="115" t="s">
        <v>1459</v>
      </c>
      <c r="S3320" s="125"/>
    </row>
    <row r="3321" spans="1:19">
      <c r="A3321" s="124" t="s">
        <v>5520</v>
      </c>
      <c r="B3321" s="125" t="str">
        <f>IFERROR(VLOOKUP(Proc[[#This Row],[App]],Table2[],3,0),"open")</f>
        <v>open</v>
      </c>
      <c r="C3321" s="124" t="s">
        <v>375</v>
      </c>
      <c r="D3321" t="s">
        <v>5388</v>
      </c>
      <c r="E3321" t="s">
        <v>5494</v>
      </c>
      <c r="F3321" s="125" t="s">
        <v>2570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0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3</v>
      </c>
      <c r="R3321" s="115" t="s">
        <v>1459</v>
      </c>
      <c r="S3321" s="125"/>
    </row>
    <row r="3322" spans="1:19">
      <c r="A3322" s="124" t="s">
        <v>5520</v>
      </c>
      <c r="B3322" s="125" t="str">
        <f>IFERROR(VLOOKUP(Proc[[#This Row],[App]],Table2[],3,0),"open")</f>
        <v>open</v>
      </c>
      <c r="C3322" s="124" t="s">
        <v>375</v>
      </c>
      <c r="D3322" t="s">
        <v>5389</v>
      </c>
      <c r="E3322" t="s">
        <v>5494</v>
      </c>
      <c r="F3322" s="125" t="s">
        <v>2570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0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3</v>
      </c>
      <c r="R3322" s="115" t="s">
        <v>1459</v>
      </c>
      <c r="S3322" s="125"/>
    </row>
    <row r="3323" spans="1:19">
      <c r="A3323" s="124" t="s">
        <v>5520</v>
      </c>
      <c r="B3323" s="125" t="str">
        <f>IFERROR(VLOOKUP(Proc[[#This Row],[App]],Table2[],3,0),"open")</f>
        <v>open</v>
      </c>
      <c r="C3323" s="124" t="s">
        <v>375</v>
      </c>
      <c r="D3323" t="s">
        <v>5390</v>
      </c>
      <c r="E3323" t="s">
        <v>5494</v>
      </c>
      <c r="F3323" s="125" t="s">
        <v>2570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0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3</v>
      </c>
      <c r="R3323" s="115" t="s">
        <v>1459</v>
      </c>
      <c r="S3323" s="125"/>
    </row>
    <row r="3324" spans="1:19">
      <c r="A3324" s="124" t="s">
        <v>5520</v>
      </c>
      <c r="B3324" s="125" t="str">
        <f>IFERROR(VLOOKUP(Proc[[#This Row],[App]],Table2[],3,0),"open")</f>
        <v>open</v>
      </c>
      <c r="C3324" s="124" t="s">
        <v>375</v>
      </c>
      <c r="D3324" t="s">
        <v>5391</v>
      </c>
      <c r="E3324" t="s">
        <v>5492</v>
      </c>
      <c r="F3324" s="125" t="s">
        <v>5504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0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3</v>
      </c>
      <c r="R3324" s="115" t="s">
        <v>1459</v>
      </c>
      <c r="S3324" s="125"/>
    </row>
    <row r="3325" spans="1:19">
      <c r="A3325" s="124" t="s">
        <v>5520</v>
      </c>
      <c r="B3325" s="125" t="str">
        <f>IFERROR(VLOOKUP(Proc[[#This Row],[App]],Table2[],3,0),"open")</f>
        <v>open</v>
      </c>
      <c r="C3325" s="124" t="s">
        <v>375</v>
      </c>
      <c r="D3325" t="s">
        <v>5392</v>
      </c>
      <c r="E3325" t="s">
        <v>5491</v>
      </c>
      <c r="F3325" s="125" t="s">
        <v>5504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0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3</v>
      </c>
      <c r="R3325" s="115" t="s">
        <v>1459</v>
      </c>
      <c r="S3325" s="125"/>
    </row>
    <row r="3326" spans="1:19">
      <c r="A3326" s="124" t="s">
        <v>5520</v>
      </c>
      <c r="B3326" s="125" t="str">
        <f>IFERROR(VLOOKUP(Proc[[#This Row],[App]],Table2[],3,0),"open")</f>
        <v>open</v>
      </c>
      <c r="C3326" s="124" t="s">
        <v>375</v>
      </c>
      <c r="D3326" t="s">
        <v>5393</v>
      </c>
      <c r="E3326" t="s">
        <v>5492</v>
      </c>
      <c r="F3326" s="125" t="s">
        <v>5539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0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3</v>
      </c>
      <c r="R3326" s="115" t="s">
        <v>1459</v>
      </c>
      <c r="S3326" s="125"/>
    </row>
    <row r="3327" spans="1:19">
      <c r="A3327" s="124" t="s">
        <v>5520</v>
      </c>
      <c r="B3327" s="125" t="str">
        <f>IFERROR(VLOOKUP(Proc[[#This Row],[App]],Table2[],3,0),"open")</f>
        <v>open</v>
      </c>
      <c r="C3327" s="124" t="s">
        <v>375</v>
      </c>
      <c r="D3327" t="s">
        <v>5394</v>
      </c>
      <c r="E3327" t="s">
        <v>5492</v>
      </c>
      <c r="F3327" s="125" t="s">
        <v>5553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0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3</v>
      </c>
      <c r="R3327" s="115" t="s">
        <v>1459</v>
      </c>
      <c r="S3327" s="125"/>
    </row>
    <row r="3328" spans="1:19">
      <c r="A3328" s="124" t="s">
        <v>5520</v>
      </c>
      <c r="B3328" s="125" t="str">
        <f>IFERROR(VLOOKUP(Proc[[#This Row],[App]],Table2[],3,0),"open")</f>
        <v>open</v>
      </c>
      <c r="C3328" s="124" t="s">
        <v>375</v>
      </c>
      <c r="D3328" t="s">
        <v>5395</v>
      </c>
      <c r="E3328" t="s">
        <v>5492</v>
      </c>
      <c r="F3328" s="125" t="s">
        <v>5554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0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3</v>
      </c>
      <c r="R3328" s="115" t="s">
        <v>1459</v>
      </c>
      <c r="S3328" s="125"/>
    </row>
    <row r="3329" spans="1:19">
      <c r="A3329" s="124" t="s">
        <v>5520</v>
      </c>
      <c r="B3329" s="125" t="str">
        <f>IFERROR(VLOOKUP(Proc[[#This Row],[App]],Table2[],3,0),"open")</f>
        <v>open</v>
      </c>
      <c r="C3329" s="124" t="s">
        <v>375</v>
      </c>
      <c r="D3329" t="s">
        <v>5396</v>
      </c>
      <c r="E3329" t="s">
        <v>5492</v>
      </c>
      <c r="F3329" s="125" t="s">
        <v>5555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0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3</v>
      </c>
      <c r="R3329" s="115" t="s">
        <v>1459</v>
      </c>
      <c r="S3329" s="125"/>
    </row>
    <row r="3330" spans="1:19">
      <c r="A3330" s="124" t="s">
        <v>5520</v>
      </c>
      <c r="B3330" s="125" t="str">
        <f>IFERROR(VLOOKUP(Proc[[#This Row],[App]],Table2[],3,0),"open")</f>
        <v>open</v>
      </c>
      <c r="C3330" s="124" t="s">
        <v>370</v>
      </c>
      <c r="D3330" t="s">
        <v>5397</v>
      </c>
      <c r="E3330" t="s">
        <v>5488</v>
      </c>
      <c r="F3330" s="125" t="s">
        <v>5536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0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3</v>
      </c>
      <c r="R3330" s="115" t="s">
        <v>1459</v>
      </c>
      <c r="S3330" s="125"/>
    </row>
    <row r="3331" spans="1:19">
      <c r="A3331" s="124" t="s">
        <v>5520</v>
      </c>
      <c r="B3331" s="125" t="str">
        <f>IFERROR(VLOOKUP(Proc[[#This Row],[App]],Table2[],3,0),"open")</f>
        <v>open</v>
      </c>
      <c r="C3331" s="124" t="s">
        <v>375</v>
      </c>
      <c r="D3331" t="s">
        <v>5398</v>
      </c>
      <c r="E3331" t="s">
        <v>5488</v>
      </c>
      <c r="F3331" s="125" t="s">
        <v>5536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0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3</v>
      </c>
      <c r="R3331" s="115" t="s">
        <v>1459</v>
      </c>
      <c r="S3331" s="125"/>
    </row>
    <row r="3332" spans="1:19">
      <c r="A3332" s="124" t="s">
        <v>5520</v>
      </c>
      <c r="B3332" s="125" t="str">
        <f>IFERROR(VLOOKUP(Proc[[#This Row],[App]],Table2[],3,0),"open")</f>
        <v>open</v>
      </c>
      <c r="C3332" s="124" t="s">
        <v>370</v>
      </c>
      <c r="D3332" t="s">
        <v>5399</v>
      </c>
      <c r="E3332" t="s">
        <v>5494</v>
      </c>
      <c r="F3332" s="125" t="s">
        <v>5556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0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3</v>
      </c>
      <c r="R3332" s="115" t="s">
        <v>1459</v>
      </c>
      <c r="S3332" s="125"/>
    </row>
    <row r="3333" spans="1:19">
      <c r="A3333" s="124" t="s">
        <v>5520</v>
      </c>
      <c r="B3333" s="125" t="str">
        <f>IFERROR(VLOOKUP(Proc[[#This Row],[App]],Table2[],3,0),"open")</f>
        <v>open</v>
      </c>
      <c r="C3333" s="124" t="s">
        <v>375</v>
      </c>
      <c r="D3333" t="s">
        <v>5400</v>
      </c>
      <c r="E3333" t="s">
        <v>5509</v>
      </c>
      <c r="F3333" s="125" t="s">
        <v>2570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0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3</v>
      </c>
      <c r="R3333" s="115" t="s">
        <v>1459</v>
      </c>
      <c r="S3333" s="125"/>
    </row>
    <row r="3334" spans="1:19">
      <c r="A3334" s="124" t="s">
        <v>5520</v>
      </c>
      <c r="B3334" s="125" t="str">
        <f>IFERROR(VLOOKUP(Proc[[#This Row],[App]],Table2[],3,0),"open")</f>
        <v>open</v>
      </c>
      <c r="C3334" s="124" t="s">
        <v>375</v>
      </c>
      <c r="D3334" t="s">
        <v>5401</v>
      </c>
      <c r="E3334" t="s">
        <v>5510</v>
      </c>
      <c r="F3334" s="125" t="s">
        <v>2570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0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3</v>
      </c>
      <c r="R3334" s="115" t="s">
        <v>1459</v>
      </c>
      <c r="S3334" s="125"/>
    </row>
    <row r="3335" spans="1:19">
      <c r="A3335" s="124" t="s">
        <v>5520</v>
      </c>
      <c r="B3335" s="125" t="str">
        <f>IFERROR(VLOOKUP(Proc[[#This Row],[App]],Table2[],3,0),"open")</f>
        <v>open</v>
      </c>
      <c r="C3335" s="124" t="s">
        <v>370</v>
      </c>
      <c r="D3335" t="s">
        <v>5402</v>
      </c>
      <c r="E3335" t="s">
        <v>5487</v>
      </c>
      <c r="F3335" s="125" t="s">
        <v>5557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0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3</v>
      </c>
      <c r="R3335" s="115" t="s">
        <v>1459</v>
      </c>
      <c r="S3335" s="125"/>
    </row>
    <row r="3336" spans="1:19">
      <c r="A3336" s="124" t="s">
        <v>5520</v>
      </c>
      <c r="B3336" s="125" t="str">
        <f>IFERROR(VLOOKUP(Proc[[#This Row],[App]],Table2[],3,0),"open")</f>
        <v>open</v>
      </c>
      <c r="C3336" s="124" t="s">
        <v>370</v>
      </c>
      <c r="D3336" t="s">
        <v>5403</v>
      </c>
      <c r="E3336" t="s">
        <v>5491</v>
      </c>
      <c r="F3336" s="125" t="s">
        <v>5544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0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3</v>
      </c>
      <c r="R3336" s="115" t="s">
        <v>1459</v>
      </c>
      <c r="S3336" s="125"/>
    </row>
    <row r="3337" spans="1:19">
      <c r="A3337" s="124" t="s">
        <v>5520</v>
      </c>
      <c r="B3337" s="125" t="str">
        <f>IFERROR(VLOOKUP(Proc[[#This Row],[App]],Table2[],3,0),"open")</f>
        <v>open</v>
      </c>
      <c r="C3337" s="124" t="s">
        <v>370</v>
      </c>
      <c r="D3337" t="s">
        <v>5404</v>
      </c>
      <c r="E3337" t="s">
        <v>5491</v>
      </c>
      <c r="F3337" s="125" t="s">
        <v>5544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0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3</v>
      </c>
      <c r="R3337" s="115" t="s">
        <v>1459</v>
      </c>
      <c r="S3337" s="125"/>
    </row>
    <row r="3338" spans="1:19">
      <c r="A3338" s="124" t="s">
        <v>5520</v>
      </c>
      <c r="B3338" s="125" t="str">
        <f>IFERROR(VLOOKUP(Proc[[#This Row],[App]],Table2[],3,0),"open")</f>
        <v>open</v>
      </c>
      <c r="C3338" s="124" t="s">
        <v>370</v>
      </c>
      <c r="D3338" t="s">
        <v>5405</v>
      </c>
      <c r="E3338" t="s">
        <v>5499</v>
      </c>
      <c r="F3338" s="125" t="s">
        <v>5558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0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3</v>
      </c>
      <c r="R3338" s="115" t="s">
        <v>1459</v>
      </c>
      <c r="S3338" s="125"/>
    </row>
    <row r="3339" spans="1:19">
      <c r="A3339" s="124" t="s">
        <v>5520</v>
      </c>
      <c r="B3339" s="125" t="str">
        <f>IFERROR(VLOOKUP(Proc[[#This Row],[App]],Table2[],3,0),"open")</f>
        <v>open</v>
      </c>
      <c r="C3339" s="124" t="s">
        <v>370</v>
      </c>
      <c r="D3339" t="s">
        <v>5406</v>
      </c>
      <c r="E3339" t="s">
        <v>5488</v>
      </c>
      <c r="F3339" s="125" t="s">
        <v>5536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0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3</v>
      </c>
      <c r="R3339" s="115" t="s">
        <v>1459</v>
      </c>
      <c r="S3339" s="125"/>
    </row>
    <row r="3340" spans="1:19">
      <c r="A3340" s="124" t="s">
        <v>5520</v>
      </c>
      <c r="B3340" s="125" t="str">
        <f>IFERROR(VLOOKUP(Proc[[#This Row],[App]],Table2[],3,0),"open")</f>
        <v>open</v>
      </c>
      <c r="C3340" s="124" t="s">
        <v>370</v>
      </c>
      <c r="D3340" t="s">
        <v>5407</v>
      </c>
      <c r="E3340" t="s">
        <v>5511</v>
      </c>
      <c r="F3340" s="125" t="s">
        <v>2570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0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3</v>
      </c>
      <c r="R3340" s="115" t="s">
        <v>1459</v>
      </c>
      <c r="S3340" s="125"/>
    </row>
    <row r="3341" spans="1:19">
      <c r="A3341" s="124" t="s">
        <v>5520</v>
      </c>
      <c r="B3341" s="125" t="str">
        <f>IFERROR(VLOOKUP(Proc[[#This Row],[App]],Table2[],3,0),"open")</f>
        <v>open</v>
      </c>
      <c r="C3341" s="124" t="s">
        <v>370</v>
      </c>
      <c r="D3341" t="s">
        <v>5408</v>
      </c>
      <c r="E3341" t="s">
        <v>5498</v>
      </c>
      <c r="F3341" s="125" t="s">
        <v>3187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0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3</v>
      </c>
      <c r="R3341" s="115" t="s">
        <v>1459</v>
      </c>
      <c r="S3341" s="125"/>
    </row>
    <row r="3342" spans="1:19">
      <c r="A3342" s="124" t="s">
        <v>5520</v>
      </c>
      <c r="B3342" s="125" t="str">
        <f>IFERROR(VLOOKUP(Proc[[#This Row],[App]],Table2[],3,0),"open")</f>
        <v>open</v>
      </c>
      <c r="C3342" s="124" t="s">
        <v>370</v>
      </c>
      <c r="D3342" t="s">
        <v>5409</v>
      </c>
      <c r="E3342" t="s">
        <v>5494</v>
      </c>
      <c r="F3342" s="125" t="s">
        <v>5540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0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3</v>
      </c>
      <c r="R3342" s="115" t="s">
        <v>1459</v>
      </c>
      <c r="S3342" s="125"/>
    </row>
    <row r="3343" spans="1:19">
      <c r="A3343" s="124" t="s">
        <v>5520</v>
      </c>
      <c r="B3343" s="125" t="str">
        <f>IFERROR(VLOOKUP(Proc[[#This Row],[App]],Table2[],3,0),"open")</f>
        <v>open</v>
      </c>
      <c r="C3343" s="124" t="s">
        <v>375</v>
      </c>
      <c r="D3343" t="s">
        <v>5410</v>
      </c>
      <c r="E3343" t="s">
        <v>661</v>
      </c>
      <c r="F3343" s="125" t="s">
        <v>5551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0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3</v>
      </c>
      <c r="R3343" s="115" t="s">
        <v>1459</v>
      </c>
      <c r="S3343" s="125"/>
    </row>
    <row r="3344" spans="1:19">
      <c r="A3344" s="124" t="s">
        <v>5520</v>
      </c>
      <c r="B3344" s="125" t="str">
        <f>IFERROR(VLOOKUP(Proc[[#This Row],[App]],Table2[],3,0),"open")</f>
        <v>open</v>
      </c>
      <c r="C3344" s="124" t="s">
        <v>375</v>
      </c>
      <c r="D3344" t="s">
        <v>5411</v>
      </c>
      <c r="E3344" t="s">
        <v>5486</v>
      </c>
      <c r="F3344" s="125" t="s">
        <v>859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0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3</v>
      </c>
      <c r="R3344" s="115" t="s">
        <v>1459</v>
      </c>
      <c r="S3344" s="125"/>
    </row>
    <row r="3345" spans="1:19">
      <c r="A3345" s="124" t="s">
        <v>5520</v>
      </c>
      <c r="B3345" s="125" t="str">
        <f>IFERROR(VLOOKUP(Proc[[#This Row],[App]],Table2[],3,0),"open")</f>
        <v>open</v>
      </c>
      <c r="C3345" s="124" t="s">
        <v>370</v>
      </c>
      <c r="D3345" t="s">
        <v>5412</v>
      </c>
      <c r="E3345" t="s">
        <v>5487</v>
      </c>
      <c r="F3345" s="125" t="s">
        <v>5535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0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3</v>
      </c>
      <c r="R3345" s="115" t="s">
        <v>1459</v>
      </c>
      <c r="S3345" s="125"/>
    </row>
    <row r="3346" spans="1:19">
      <c r="A3346" s="124" t="s">
        <v>5520</v>
      </c>
      <c r="B3346" s="125" t="str">
        <f>IFERROR(VLOOKUP(Proc[[#This Row],[App]],Table2[],3,0),"open")</f>
        <v>open</v>
      </c>
      <c r="C3346" s="124" t="s">
        <v>370</v>
      </c>
      <c r="D3346" t="s">
        <v>5413</v>
      </c>
      <c r="E3346" t="s">
        <v>5488</v>
      </c>
      <c r="F3346" s="125" t="s">
        <v>5536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0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3</v>
      </c>
      <c r="R3346" s="115" t="s">
        <v>1459</v>
      </c>
      <c r="S3346" s="125"/>
    </row>
    <row r="3347" spans="1:19">
      <c r="A3347" s="124" t="s">
        <v>5520</v>
      </c>
      <c r="B3347" s="125" t="str">
        <f>IFERROR(VLOOKUP(Proc[[#This Row],[App]],Table2[],3,0),"open")</f>
        <v>open</v>
      </c>
      <c r="C3347" s="124" t="s">
        <v>375</v>
      </c>
      <c r="D3347" t="s">
        <v>2569</v>
      </c>
      <c r="E3347" t="s">
        <v>5495</v>
      </c>
      <c r="F3347" s="125" t="s">
        <v>2570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0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3</v>
      </c>
      <c r="R3347" s="115" t="s">
        <v>1459</v>
      </c>
      <c r="S3347" s="125"/>
    </row>
    <row r="3348" spans="1:19">
      <c r="A3348" s="124" t="s">
        <v>5520</v>
      </c>
      <c r="B3348" s="125" t="str">
        <f>IFERROR(VLOOKUP(Proc[[#This Row],[App]],Table2[],3,0),"open")</f>
        <v>open</v>
      </c>
      <c r="C3348" s="124" t="s">
        <v>375</v>
      </c>
      <c r="D3348" t="s">
        <v>5414</v>
      </c>
      <c r="E3348" t="s">
        <v>424</v>
      </c>
      <c r="F3348" s="125" t="s">
        <v>5538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0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3</v>
      </c>
      <c r="R3348" s="115" t="s">
        <v>1459</v>
      </c>
      <c r="S3348" s="125"/>
    </row>
    <row r="3349" spans="1:19">
      <c r="A3349" s="124" t="s">
        <v>5520</v>
      </c>
      <c r="B3349" s="125" t="str">
        <f>IFERROR(VLOOKUP(Proc[[#This Row],[App]],Table2[],3,0),"open")</f>
        <v>open</v>
      </c>
      <c r="C3349" s="124" t="s">
        <v>370</v>
      </c>
      <c r="D3349" t="s">
        <v>5415</v>
      </c>
      <c r="E3349" t="s">
        <v>5488</v>
      </c>
      <c r="F3349" s="125" t="s">
        <v>5536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0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3</v>
      </c>
      <c r="R3349" s="115" t="s">
        <v>1459</v>
      </c>
      <c r="S3349" s="125"/>
    </row>
    <row r="3350" spans="1:19">
      <c r="A3350" s="124" t="s">
        <v>5520</v>
      </c>
      <c r="B3350" s="125" t="str">
        <f>IFERROR(VLOOKUP(Proc[[#This Row],[App]],Table2[],3,0),"open")</f>
        <v>open</v>
      </c>
      <c r="C3350" s="124" t="s">
        <v>370</v>
      </c>
      <c r="D3350" t="s">
        <v>5416</v>
      </c>
      <c r="E3350" t="s">
        <v>5487</v>
      </c>
      <c r="F3350" s="125" t="s">
        <v>5535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0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3</v>
      </c>
      <c r="R3350" s="115" t="s">
        <v>1459</v>
      </c>
      <c r="S3350" s="125"/>
    </row>
    <row r="3351" spans="1:19">
      <c r="A3351" s="124" t="s">
        <v>5520</v>
      </c>
      <c r="B3351" s="125" t="str">
        <f>IFERROR(VLOOKUP(Proc[[#This Row],[App]],Table2[],3,0),"open")</f>
        <v>open</v>
      </c>
      <c r="C3351" s="124" t="s">
        <v>370</v>
      </c>
      <c r="D3351" t="s">
        <v>5417</v>
      </c>
      <c r="E3351" t="s">
        <v>5512</v>
      </c>
      <c r="F3351" s="125" t="s">
        <v>2570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0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3</v>
      </c>
      <c r="R3351" s="115" t="s">
        <v>1459</v>
      </c>
      <c r="S3351" s="125"/>
    </row>
    <row r="3352" spans="1:19">
      <c r="A3352" s="124" t="s">
        <v>5520</v>
      </c>
      <c r="B3352" s="125" t="str">
        <f>IFERROR(VLOOKUP(Proc[[#This Row],[App]],Table2[],3,0),"open")</f>
        <v>open</v>
      </c>
      <c r="C3352" s="124" t="s">
        <v>370</v>
      </c>
      <c r="D3352" t="s">
        <v>5418</v>
      </c>
      <c r="E3352" t="s">
        <v>5486</v>
      </c>
      <c r="F3352" s="125" t="s">
        <v>859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0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3</v>
      </c>
      <c r="R3352" s="115" t="s">
        <v>1459</v>
      </c>
      <c r="S3352" s="125"/>
    </row>
    <row r="3353" spans="1:19">
      <c r="A3353" s="124" t="s">
        <v>5520</v>
      </c>
      <c r="B3353" s="125" t="str">
        <f>IFERROR(VLOOKUP(Proc[[#This Row],[App]],Table2[],3,0),"open")</f>
        <v>open</v>
      </c>
      <c r="C3353" s="124" t="s">
        <v>370</v>
      </c>
      <c r="D3353" t="s">
        <v>5419</v>
      </c>
      <c r="E3353" t="s">
        <v>5506</v>
      </c>
      <c r="F3353" s="125" t="s">
        <v>2570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0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3</v>
      </c>
      <c r="R3353" s="115" t="s">
        <v>1459</v>
      </c>
      <c r="S3353" s="125"/>
    </row>
    <row r="3354" spans="1:19">
      <c r="A3354" s="124" t="s">
        <v>5520</v>
      </c>
      <c r="B3354" s="125" t="str">
        <f>IFERROR(VLOOKUP(Proc[[#This Row],[App]],Table2[],3,0),"open")</f>
        <v>open</v>
      </c>
      <c r="C3354" s="124" t="s">
        <v>370</v>
      </c>
      <c r="D3354" t="s">
        <v>5420</v>
      </c>
      <c r="E3354" t="s">
        <v>5488</v>
      </c>
      <c r="F3354" s="125" t="s">
        <v>5536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0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3</v>
      </c>
      <c r="R3354" s="115" t="s">
        <v>1459</v>
      </c>
      <c r="S3354" s="125"/>
    </row>
    <row r="3355" spans="1:19">
      <c r="A3355" s="124" t="s">
        <v>5520</v>
      </c>
      <c r="B3355" s="125" t="str">
        <f>IFERROR(VLOOKUP(Proc[[#This Row],[App]],Table2[],3,0),"open")</f>
        <v>open</v>
      </c>
      <c r="C3355" s="124" t="s">
        <v>370</v>
      </c>
      <c r="D3355" t="s">
        <v>5421</v>
      </c>
      <c r="E3355" t="s">
        <v>5497</v>
      </c>
      <c r="F3355" s="125" t="s">
        <v>5535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0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3</v>
      </c>
      <c r="R3355" s="115" t="s">
        <v>1459</v>
      </c>
      <c r="S3355" s="125"/>
    </row>
    <row r="3356" spans="1:19">
      <c r="A3356" s="124" t="s">
        <v>5520</v>
      </c>
      <c r="B3356" s="125" t="str">
        <f>IFERROR(VLOOKUP(Proc[[#This Row],[App]],Table2[],3,0),"open")</f>
        <v>open</v>
      </c>
      <c r="C3356" s="124" t="s">
        <v>370</v>
      </c>
      <c r="D3356" t="s">
        <v>5422</v>
      </c>
      <c r="E3356" t="s">
        <v>5487</v>
      </c>
      <c r="F3356" s="125" t="s">
        <v>5535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0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3</v>
      </c>
      <c r="R3356" s="115" t="s">
        <v>1459</v>
      </c>
      <c r="S3356" s="125"/>
    </row>
    <row r="3357" spans="1:19">
      <c r="A3357" s="124" t="s">
        <v>5520</v>
      </c>
      <c r="B3357" s="125" t="str">
        <f>IFERROR(VLOOKUP(Proc[[#This Row],[App]],Table2[],3,0),"open")</f>
        <v>open</v>
      </c>
      <c r="C3357" s="124" t="s">
        <v>370</v>
      </c>
      <c r="D3357" t="s">
        <v>5423</v>
      </c>
      <c r="E3357" t="s">
        <v>5495</v>
      </c>
      <c r="F3357" s="125" t="s">
        <v>2570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0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3</v>
      </c>
      <c r="R3357" s="115" t="s">
        <v>1459</v>
      </c>
      <c r="S3357" s="125"/>
    </row>
    <row r="3358" spans="1:19">
      <c r="A3358" s="124" t="s">
        <v>5520</v>
      </c>
      <c r="B3358" s="125" t="str">
        <f>IFERROR(VLOOKUP(Proc[[#This Row],[App]],Table2[],3,0),"open")</f>
        <v>open</v>
      </c>
      <c r="C3358" s="124" t="s">
        <v>370</v>
      </c>
      <c r="D3358" t="s">
        <v>5424</v>
      </c>
      <c r="E3358" t="s">
        <v>5490</v>
      </c>
      <c r="F3358" s="125" t="s">
        <v>5535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0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3</v>
      </c>
      <c r="R3358" s="115" t="s">
        <v>1459</v>
      </c>
      <c r="S3358" s="125"/>
    </row>
    <row r="3359" spans="1:19">
      <c r="A3359" s="124" t="s">
        <v>5520</v>
      </c>
      <c r="B3359" s="125" t="str">
        <f>IFERROR(VLOOKUP(Proc[[#This Row],[App]],Table2[],3,0),"open")</f>
        <v>open</v>
      </c>
      <c r="C3359" s="124" t="s">
        <v>375</v>
      </c>
      <c r="D3359" t="s">
        <v>5425</v>
      </c>
      <c r="E3359" t="s">
        <v>5497</v>
      </c>
      <c r="F3359" s="125" t="s">
        <v>5559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0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3</v>
      </c>
      <c r="R3359" s="115" t="s">
        <v>1459</v>
      </c>
      <c r="S3359" s="125"/>
    </row>
    <row r="3360" spans="1:19">
      <c r="A3360" s="124" t="s">
        <v>5520</v>
      </c>
      <c r="B3360" s="125" t="str">
        <f>IFERROR(VLOOKUP(Proc[[#This Row],[App]],Table2[],3,0),"open")</f>
        <v>open</v>
      </c>
      <c r="C3360" s="124" t="s">
        <v>375</v>
      </c>
      <c r="D3360" t="s">
        <v>5426</v>
      </c>
      <c r="E3360" t="s">
        <v>5487</v>
      </c>
      <c r="F3360" s="125" t="s">
        <v>5535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0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3</v>
      </c>
      <c r="R3360" s="115" t="s">
        <v>1459</v>
      </c>
      <c r="S3360" s="125"/>
    </row>
    <row r="3361" spans="1:19">
      <c r="A3361" s="124" t="s">
        <v>5520</v>
      </c>
      <c r="B3361" s="125" t="str">
        <f>IFERROR(VLOOKUP(Proc[[#This Row],[App]],Table2[],3,0),"open")</f>
        <v>open</v>
      </c>
      <c r="C3361" s="124" t="s">
        <v>370</v>
      </c>
      <c r="D3361" t="s">
        <v>5427</v>
      </c>
      <c r="E3361" t="s">
        <v>661</v>
      </c>
      <c r="F3361" s="125" t="s">
        <v>5560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0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3</v>
      </c>
      <c r="R3361" s="115" t="s">
        <v>1459</v>
      </c>
      <c r="S3361" s="125"/>
    </row>
    <row r="3362" spans="1:19">
      <c r="A3362" s="124" t="s">
        <v>5520</v>
      </c>
      <c r="B3362" s="125" t="str">
        <f>IFERROR(VLOOKUP(Proc[[#This Row],[App]],Table2[],3,0),"open")</f>
        <v>open</v>
      </c>
      <c r="C3362" s="124" t="s">
        <v>370</v>
      </c>
      <c r="D3362" t="s">
        <v>5428</v>
      </c>
      <c r="E3362" t="s">
        <v>5487</v>
      </c>
      <c r="F3362" s="125" t="s">
        <v>5535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0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3</v>
      </c>
      <c r="R3362" s="115" t="s">
        <v>1459</v>
      </c>
      <c r="S3362" s="125"/>
    </row>
    <row r="3363" spans="1:19">
      <c r="A3363" s="124" t="s">
        <v>5520</v>
      </c>
      <c r="B3363" s="125" t="str">
        <f>IFERROR(VLOOKUP(Proc[[#This Row],[App]],Table2[],3,0),"open")</f>
        <v>open</v>
      </c>
      <c r="C3363" s="124" t="s">
        <v>370</v>
      </c>
      <c r="D3363" t="s">
        <v>5429</v>
      </c>
      <c r="E3363" t="s">
        <v>5513</v>
      </c>
      <c r="F3363" s="125" t="s">
        <v>5540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0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3</v>
      </c>
      <c r="R3363" s="115" t="s">
        <v>1459</v>
      </c>
      <c r="S3363" s="125"/>
    </row>
    <row r="3364" spans="1:19">
      <c r="A3364" s="124" t="s">
        <v>5520</v>
      </c>
      <c r="B3364" s="125" t="str">
        <f>IFERROR(VLOOKUP(Proc[[#This Row],[App]],Table2[],3,0),"open")</f>
        <v>open</v>
      </c>
      <c r="C3364" s="124" t="s">
        <v>370</v>
      </c>
      <c r="D3364" t="s">
        <v>5430</v>
      </c>
      <c r="E3364" t="s">
        <v>5514</v>
      </c>
      <c r="F3364" s="125" t="s">
        <v>5540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0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3</v>
      </c>
      <c r="R3364" s="115" t="s">
        <v>1459</v>
      </c>
      <c r="S3364" s="125"/>
    </row>
    <row r="3365" spans="1:19">
      <c r="A3365" s="124" t="s">
        <v>5520</v>
      </c>
      <c r="B3365" s="125" t="str">
        <f>IFERROR(VLOOKUP(Proc[[#This Row],[App]],Table2[],3,0),"open")</f>
        <v>open</v>
      </c>
      <c r="C3365" s="124" t="s">
        <v>370</v>
      </c>
      <c r="D3365" t="s">
        <v>5431</v>
      </c>
      <c r="E3365" t="s">
        <v>5495</v>
      </c>
      <c r="F3365" s="125" t="s">
        <v>2570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0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3</v>
      </c>
      <c r="R3365" s="115" t="s">
        <v>1459</v>
      </c>
      <c r="S3365" s="125"/>
    </row>
    <row r="3366" spans="1:19">
      <c r="A3366" s="124" t="s">
        <v>5520</v>
      </c>
      <c r="B3366" s="125" t="str">
        <f>IFERROR(VLOOKUP(Proc[[#This Row],[App]],Table2[],3,0),"open")</f>
        <v>open</v>
      </c>
      <c r="C3366" s="124" t="s">
        <v>370</v>
      </c>
      <c r="D3366" t="s">
        <v>5432</v>
      </c>
      <c r="E3366" t="s">
        <v>5488</v>
      </c>
      <c r="F3366" s="125" t="s">
        <v>5536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0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3</v>
      </c>
      <c r="R3366" s="115" t="s">
        <v>1459</v>
      </c>
      <c r="S3366" s="125"/>
    </row>
    <row r="3367" spans="1:19">
      <c r="A3367" s="124" t="s">
        <v>5520</v>
      </c>
      <c r="B3367" s="125" t="str">
        <f>IFERROR(VLOOKUP(Proc[[#This Row],[App]],Table2[],3,0),"open")</f>
        <v>open</v>
      </c>
      <c r="C3367" s="124" t="s">
        <v>370</v>
      </c>
      <c r="D3367" t="s">
        <v>5433</v>
      </c>
      <c r="E3367" t="s">
        <v>5497</v>
      </c>
      <c r="F3367" s="125" t="s">
        <v>5535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0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3</v>
      </c>
      <c r="R3367" s="115" t="s">
        <v>1459</v>
      </c>
      <c r="S3367" s="125"/>
    </row>
    <row r="3368" spans="1:19">
      <c r="A3368" s="124" t="s">
        <v>5520</v>
      </c>
      <c r="B3368" s="125" t="str">
        <f>IFERROR(VLOOKUP(Proc[[#This Row],[App]],Table2[],3,0),"open")</f>
        <v>open</v>
      </c>
      <c r="C3368" s="124" t="s">
        <v>370</v>
      </c>
      <c r="D3368" t="s">
        <v>5434</v>
      </c>
      <c r="E3368" t="s">
        <v>5495</v>
      </c>
      <c r="F3368" s="125" t="s">
        <v>2570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0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3</v>
      </c>
      <c r="R3368" s="115" t="s">
        <v>1459</v>
      </c>
      <c r="S3368" s="125"/>
    </row>
    <row r="3369" spans="1:19">
      <c r="A3369" s="124" t="s">
        <v>5520</v>
      </c>
      <c r="B3369" s="125" t="str">
        <f>IFERROR(VLOOKUP(Proc[[#This Row],[App]],Table2[],3,0),"open")</f>
        <v>open</v>
      </c>
      <c r="C3369" s="124" t="s">
        <v>370</v>
      </c>
      <c r="D3369" t="s">
        <v>5435</v>
      </c>
      <c r="E3369" t="s">
        <v>5487</v>
      </c>
      <c r="F3369" s="125" t="s">
        <v>5535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0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3</v>
      </c>
      <c r="R3369" s="115" t="s">
        <v>1459</v>
      </c>
      <c r="S3369" s="125"/>
    </row>
    <row r="3370" spans="1:19">
      <c r="A3370" s="124" t="s">
        <v>5520</v>
      </c>
      <c r="B3370" s="125" t="str">
        <f>IFERROR(VLOOKUP(Proc[[#This Row],[App]],Table2[],3,0),"open")</f>
        <v>open</v>
      </c>
      <c r="C3370" s="124" t="s">
        <v>370</v>
      </c>
      <c r="D3370" t="s">
        <v>5436</v>
      </c>
      <c r="E3370" t="s">
        <v>5494</v>
      </c>
      <c r="F3370" s="125" t="s">
        <v>2570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0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3</v>
      </c>
      <c r="R3370" s="115" t="s">
        <v>1459</v>
      </c>
      <c r="S3370" s="125"/>
    </row>
    <row r="3371" spans="1:19">
      <c r="A3371" s="124" t="s">
        <v>5520</v>
      </c>
      <c r="B3371" s="125" t="str">
        <f>IFERROR(VLOOKUP(Proc[[#This Row],[App]],Table2[],3,0),"open")</f>
        <v>open</v>
      </c>
      <c r="C3371" s="124" t="s">
        <v>370</v>
      </c>
      <c r="D3371" t="s">
        <v>5437</v>
      </c>
      <c r="E3371" t="s">
        <v>5488</v>
      </c>
      <c r="F3371" s="125" t="s">
        <v>5536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0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3</v>
      </c>
      <c r="R3371" s="115" t="s">
        <v>1459</v>
      </c>
      <c r="S3371" s="125"/>
    </row>
    <row r="3372" spans="1:19">
      <c r="A3372" s="124" t="s">
        <v>5520</v>
      </c>
      <c r="B3372" s="125" t="str">
        <f>IFERROR(VLOOKUP(Proc[[#This Row],[App]],Table2[],3,0),"open")</f>
        <v>open</v>
      </c>
      <c r="C3372" s="124" t="s">
        <v>370</v>
      </c>
      <c r="D3372" t="s">
        <v>5438</v>
      </c>
      <c r="E3372" t="s">
        <v>5487</v>
      </c>
      <c r="F3372" s="125" t="s">
        <v>5535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0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3</v>
      </c>
      <c r="R3372" s="115" t="s">
        <v>1459</v>
      </c>
      <c r="S3372" s="125"/>
    </row>
    <row r="3373" spans="1:19">
      <c r="A3373" s="124" t="s">
        <v>5520</v>
      </c>
      <c r="B3373" s="125" t="str">
        <f>IFERROR(VLOOKUP(Proc[[#This Row],[App]],Table2[],3,0),"open")</f>
        <v>open</v>
      </c>
      <c r="C3373" s="124" t="s">
        <v>370</v>
      </c>
      <c r="D3373" t="s">
        <v>5439</v>
      </c>
      <c r="E3373" t="s">
        <v>5487</v>
      </c>
      <c r="F3373" s="125" t="s">
        <v>5535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0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3</v>
      </c>
      <c r="R3373" s="115" t="s">
        <v>1459</v>
      </c>
      <c r="S3373" s="125"/>
    </row>
    <row r="3374" spans="1:19">
      <c r="A3374" s="124" t="s">
        <v>5520</v>
      </c>
      <c r="B3374" s="125" t="str">
        <f>IFERROR(VLOOKUP(Proc[[#This Row],[App]],Table2[],3,0),"open")</f>
        <v>open</v>
      </c>
      <c r="C3374" s="124" t="s">
        <v>370</v>
      </c>
      <c r="D3374" t="s">
        <v>5440</v>
      </c>
      <c r="E3374" t="s">
        <v>5490</v>
      </c>
      <c r="F3374" s="125" t="s">
        <v>5537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0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3</v>
      </c>
      <c r="R3374" s="115" t="s">
        <v>1459</v>
      </c>
      <c r="S3374" s="125"/>
    </row>
    <row r="3375" spans="1:19">
      <c r="A3375" s="124" t="s">
        <v>5520</v>
      </c>
      <c r="B3375" s="125" t="str">
        <f>IFERROR(VLOOKUP(Proc[[#This Row],[App]],Table2[],3,0),"open")</f>
        <v>open</v>
      </c>
      <c r="C3375" s="124" t="s">
        <v>370</v>
      </c>
      <c r="D3375" t="s">
        <v>5441</v>
      </c>
      <c r="E3375" t="s">
        <v>5490</v>
      </c>
      <c r="F3375" s="125" t="s">
        <v>5561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0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3</v>
      </c>
      <c r="R3375" s="115" t="s">
        <v>1459</v>
      </c>
      <c r="S3375" s="125"/>
    </row>
    <row r="3376" spans="1:19">
      <c r="A3376" s="124" t="s">
        <v>5520</v>
      </c>
      <c r="B3376" s="125" t="str">
        <f>IFERROR(VLOOKUP(Proc[[#This Row],[App]],Table2[],3,0),"open")</f>
        <v>open</v>
      </c>
      <c r="C3376" s="124" t="s">
        <v>375</v>
      </c>
      <c r="D3376" t="s">
        <v>5442</v>
      </c>
      <c r="E3376" t="s">
        <v>5498</v>
      </c>
      <c r="F3376" s="125" t="s">
        <v>1965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0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3</v>
      </c>
      <c r="R3376" s="115" t="s">
        <v>1459</v>
      </c>
      <c r="S3376" s="125"/>
    </row>
    <row r="3377" spans="1:19">
      <c r="A3377" s="124" t="s">
        <v>5520</v>
      </c>
      <c r="B3377" s="125" t="str">
        <f>IFERROR(VLOOKUP(Proc[[#This Row],[App]],Table2[],3,0),"open")</f>
        <v>open</v>
      </c>
      <c r="C3377" s="124" t="s">
        <v>375</v>
      </c>
      <c r="D3377" t="s">
        <v>5443</v>
      </c>
      <c r="E3377" t="s">
        <v>5506</v>
      </c>
      <c r="F3377" s="125" t="s">
        <v>2570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0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3</v>
      </c>
      <c r="R3377" s="115" t="s">
        <v>1459</v>
      </c>
      <c r="S3377" s="125"/>
    </row>
    <row r="3378" spans="1:19">
      <c r="A3378" s="124" t="s">
        <v>5520</v>
      </c>
      <c r="B3378" s="125" t="str">
        <f>IFERROR(VLOOKUP(Proc[[#This Row],[App]],Table2[],3,0),"open")</f>
        <v>open</v>
      </c>
      <c r="C3378" s="124" t="s">
        <v>375</v>
      </c>
      <c r="D3378" t="s">
        <v>5444</v>
      </c>
      <c r="E3378" t="s">
        <v>5498</v>
      </c>
      <c r="F3378" s="125" t="s">
        <v>5507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0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3</v>
      </c>
      <c r="R3378" s="115" t="s">
        <v>1459</v>
      </c>
      <c r="S3378" s="125"/>
    </row>
    <row r="3379" spans="1:19">
      <c r="A3379" s="124" t="s">
        <v>5520</v>
      </c>
      <c r="B3379" s="125" t="str">
        <f>IFERROR(VLOOKUP(Proc[[#This Row],[App]],Table2[],3,0),"open")</f>
        <v>open</v>
      </c>
      <c r="C3379" s="124" t="s">
        <v>375</v>
      </c>
      <c r="D3379" t="s">
        <v>4831</v>
      </c>
      <c r="E3379" t="s">
        <v>5515</v>
      </c>
      <c r="F3379" s="125" t="s">
        <v>5494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0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3</v>
      </c>
      <c r="R3379" s="115" t="s">
        <v>1459</v>
      </c>
      <c r="S3379" s="125"/>
    </row>
    <row r="3380" spans="1:19">
      <c r="A3380" s="124" t="s">
        <v>5520</v>
      </c>
      <c r="B3380" s="125" t="str">
        <f>IFERROR(VLOOKUP(Proc[[#This Row],[App]],Table2[],3,0),"open")</f>
        <v>open</v>
      </c>
      <c r="C3380" s="124" t="s">
        <v>375</v>
      </c>
      <c r="D3380" t="s">
        <v>5445</v>
      </c>
      <c r="E3380" t="s">
        <v>5515</v>
      </c>
      <c r="F3380" s="125" t="s">
        <v>5494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0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3</v>
      </c>
      <c r="R3380" s="115" t="s">
        <v>1459</v>
      </c>
      <c r="S3380" s="125"/>
    </row>
    <row r="3381" spans="1:19">
      <c r="A3381" s="124" t="s">
        <v>5520</v>
      </c>
      <c r="B3381" s="125" t="str">
        <f>IFERROR(VLOOKUP(Proc[[#This Row],[App]],Table2[],3,0),"open")</f>
        <v>open</v>
      </c>
      <c r="C3381" s="124" t="s">
        <v>375</v>
      </c>
      <c r="D3381" t="s">
        <v>5446</v>
      </c>
      <c r="E3381" t="s">
        <v>5491</v>
      </c>
      <c r="F3381" s="125" t="s">
        <v>5544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0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3</v>
      </c>
      <c r="R3381" s="115" t="s">
        <v>1459</v>
      </c>
      <c r="S3381" s="125"/>
    </row>
    <row r="3382" spans="1:19">
      <c r="A3382" s="124" t="s">
        <v>5520</v>
      </c>
      <c r="B3382" s="125" t="str">
        <f>IFERROR(VLOOKUP(Proc[[#This Row],[App]],Table2[],3,0),"open")</f>
        <v>open</v>
      </c>
      <c r="C3382" s="124" t="s">
        <v>375</v>
      </c>
      <c r="D3382" t="s">
        <v>5447</v>
      </c>
      <c r="E3382" t="s">
        <v>5499</v>
      </c>
      <c r="F3382" s="125" t="s">
        <v>5504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0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3</v>
      </c>
      <c r="R3382" s="115" t="s">
        <v>1459</v>
      </c>
      <c r="S3382" s="125"/>
    </row>
    <row r="3383" spans="1:19">
      <c r="A3383" s="124" t="s">
        <v>5520</v>
      </c>
      <c r="B3383" s="125" t="str">
        <f>IFERROR(VLOOKUP(Proc[[#This Row],[App]],Table2[],3,0),"open")</f>
        <v>open</v>
      </c>
      <c r="C3383" s="124" t="s">
        <v>375</v>
      </c>
      <c r="D3383" t="s">
        <v>5448</v>
      </c>
      <c r="E3383" t="s">
        <v>5515</v>
      </c>
      <c r="F3383" s="125" t="s">
        <v>5494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0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3</v>
      </c>
      <c r="R3383" s="115" t="s">
        <v>1459</v>
      </c>
      <c r="S3383" s="125"/>
    </row>
    <row r="3384" spans="1:19">
      <c r="A3384" s="124" t="s">
        <v>5520</v>
      </c>
      <c r="B3384" s="125" t="str">
        <f>IFERROR(VLOOKUP(Proc[[#This Row],[App]],Table2[],3,0),"open")</f>
        <v>open</v>
      </c>
      <c r="C3384" s="124" t="s">
        <v>375</v>
      </c>
      <c r="D3384" t="s">
        <v>5449</v>
      </c>
      <c r="E3384" t="s">
        <v>5497</v>
      </c>
      <c r="F3384" s="125" t="s">
        <v>5535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0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3</v>
      </c>
      <c r="R3384" s="115" t="s">
        <v>1459</v>
      </c>
      <c r="S3384" s="125"/>
    </row>
    <row r="3385" spans="1:19">
      <c r="A3385" s="124" t="s">
        <v>5520</v>
      </c>
      <c r="B3385" s="125" t="str">
        <f>IFERROR(VLOOKUP(Proc[[#This Row],[App]],Table2[],3,0),"open")</f>
        <v>open</v>
      </c>
      <c r="C3385" s="124" t="s">
        <v>375</v>
      </c>
      <c r="D3385" t="s">
        <v>5450</v>
      </c>
      <c r="E3385" t="s">
        <v>5492</v>
      </c>
      <c r="F3385" s="125" t="s">
        <v>5504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0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3</v>
      </c>
      <c r="R3385" s="115" t="s">
        <v>1459</v>
      </c>
      <c r="S3385" s="125"/>
    </row>
    <row r="3386" spans="1:19">
      <c r="A3386" s="124" t="s">
        <v>5520</v>
      </c>
      <c r="B3386" s="125" t="str">
        <f>IFERROR(VLOOKUP(Proc[[#This Row],[App]],Table2[],3,0),"open")</f>
        <v>open</v>
      </c>
      <c r="C3386" s="124" t="s">
        <v>375</v>
      </c>
      <c r="D3386" t="s">
        <v>5451</v>
      </c>
      <c r="E3386" t="s">
        <v>5498</v>
      </c>
      <c r="F3386" s="125" t="s">
        <v>5507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0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3</v>
      </c>
      <c r="R3386" s="115" t="s">
        <v>1459</v>
      </c>
      <c r="S3386" s="125"/>
    </row>
    <row r="3387" spans="1:19">
      <c r="A3387" s="124" t="s">
        <v>5520</v>
      </c>
      <c r="B3387" s="125" t="str">
        <f>IFERROR(VLOOKUP(Proc[[#This Row],[App]],Table2[],3,0),"open")</f>
        <v>open</v>
      </c>
      <c r="C3387" s="124" t="s">
        <v>375</v>
      </c>
      <c r="D3387" t="s">
        <v>5452</v>
      </c>
      <c r="E3387" t="s">
        <v>5498</v>
      </c>
      <c r="F3387" s="125" t="s">
        <v>5507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0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3</v>
      </c>
      <c r="R3387" s="115" t="s">
        <v>1459</v>
      </c>
      <c r="S3387" s="125"/>
    </row>
    <row r="3388" spans="1:19">
      <c r="A3388" s="124" t="s">
        <v>5520</v>
      </c>
      <c r="B3388" s="125" t="str">
        <f>IFERROR(VLOOKUP(Proc[[#This Row],[App]],Table2[],3,0),"open")</f>
        <v>open</v>
      </c>
      <c r="C3388" s="124" t="s">
        <v>375</v>
      </c>
      <c r="D3388" t="s">
        <v>5453</v>
      </c>
      <c r="E3388" t="s">
        <v>5516</v>
      </c>
      <c r="F3388" s="125" t="s">
        <v>5494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0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3</v>
      </c>
      <c r="R3388" s="115" t="s">
        <v>1459</v>
      </c>
      <c r="S3388" s="125"/>
    </row>
    <row r="3389" spans="1:19">
      <c r="A3389" s="124" t="s">
        <v>5520</v>
      </c>
      <c r="B3389" s="125" t="str">
        <f>IFERROR(VLOOKUP(Proc[[#This Row],[App]],Table2[],3,0),"open")</f>
        <v>open</v>
      </c>
      <c r="C3389" s="124" t="s">
        <v>375</v>
      </c>
      <c r="D3389" t="s">
        <v>5454</v>
      </c>
      <c r="E3389" t="s">
        <v>5498</v>
      </c>
      <c r="F3389" s="125" t="s">
        <v>5507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0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3</v>
      </c>
      <c r="R3389" s="115" t="s">
        <v>1459</v>
      </c>
      <c r="S3389" s="125"/>
    </row>
    <row r="3390" spans="1:19">
      <c r="A3390" s="124" t="s">
        <v>5520</v>
      </c>
      <c r="B3390" s="125" t="str">
        <f>IFERROR(VLOOKUP(Proc[[#This Row],[App]],Table2[],3,0),"open")</f>
        <v>open</v>
      </c>
      <c r="C3390" s="124" t="s">
        <v>375</v>
      </c>
      <c r="D3390" t="s">
        <v>5455</v>
      </c>
      <c r="E3390" t="s">
        <v>5498</v>
      </c>
      <c r="F3390" s="125" t="s">
        <v>5562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0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3</v>
      </c>
      <c r="R3390" s="115" t="s">
        <v>1459</v>
      </c>
      <c r="S3390" s="125"/>
    </row>
    <row r="3391" spans="1:19">
      <c r="A3391" s="124" t="s">
        <v>5520</v>
      </c>
      <c r="B3391" s="125" t="str">
        <f>IFERROR(VLOOKUP(Proc[[#This Row],[App]],Table2[],3,0),"open")</f>
        <v>open</v>
      </c>
      <c r="C3391" s="124" t="s">
        <v>375</v>
      </c>
      <c r="D3391" t="s">
        <v>5456</v>
      </c>
      <c r="E3391" t="s">
        <v>5498</v>
      </c>
      <c r="F3391" s="125" t="s">
        <v>5562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0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3</v>
      </c>
      <c r="R3391" s="115" t="s">
        <v>1459</v>
      </c>
      <c r="S3391" s="125"/>
    </row>
    <row r="3392" spans="1:19">
      <c r="A3392" s="124" t="s">
        <v>5520</v>
      </c>
      <c r="B3392" s="125" t="str">
        <f>IFERROR(VLOOKUP(Proc[[#This Row],[App]],Table2[],3,0),"open")</f>
        <v>open</v>
      </c>
      <c r="C3392" s="124" t="s">
        <v>375</v>
      </c>
      <c r="D3392" t="s">
        <v>5457</v>
      </c>
      <c r="E3392" t="s">
        <v>5517</v>
      </c>
      <c r="F3392" s="125" t="s">
        <v>5494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0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3</v>
      </c>
      <c r="R3392" s="115" t="s">
        <v>1459</v>
      </c>
      <c r="S3392" s="125"/>
    </row>
    <row r="3393" spans="1:19">
      <c r="A3393" s="124" t="s">
        <v>5520</v>
      </c>
      <c r="B3393" s="125" t="str">
        <f>IFERROR(VLOOKUP(Proc[[#This Row],[App]],Table2[],3,0),"open")</f>
        <v>open</v>
      </c>
      <c r="C3393" s="124" t="s">
        <v>375</v>
      </c>
      <c r="D3393" t="s">
        <v>5458</v>
      </c>
      <c r="E3393" t="s">
        <v>5498</v>
      </c>
      <c r="F3393" s="125" t="s">
        <v>1963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0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3</v>
      </c>
      <c r="R3393" s="115" t="s">
        <v>1459</v>
      </c>
      <c r="S3393" s="125"/>
    </row>
    <row r="3394" spans="1:19">
      <c r="A3394" s="124" t="s">
        <v>5520</v>
      </c>
      <c r="B3394" s="125" t="str">
        <f>IFERROR(VLOOKUP(Proc[[#This Row],[App]],Table2[],3,0),"open")</f>
        <v>open</v>
      </c>
      <c r="C3394" s="124" t="s">
        <v>375</v>
      </c>
      <c r="D3394" t="s">
        <v>5459</v>
      </c>
      <c r="E3394" t="s">
        <v>5498</v>
      </c>
      <c r="F3394" s="125" t="s">
        <v>5507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0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3</v>
      </c>
      <c r="R3394" s="115" t="s">
        <v>1459</v>
      </c>
      <c r="S3394" s="125"/>
    </row>
    <row r="3395" spans="1:19">
      <c r="A3395" s="124" t="s">
        <v>5520</v>
      </c>
      <c r="B3395" s="125" t="str">
        <f>IFERROR(VLOOKUP(Proc[[#This Row],[App]],Table2[],3,0),"open")</f>
        <v>open</v>
      </c>
      <c r="C3395" s="124" t="s">
        <v>375</v>
      </c>
      <c r="D3395" t="s">
        <v>5460</v>
      </c>
      <c r="E3395" t="s">
        <v>5490</v>
      </c>
      <c r="F3395" s="125" t="s">
        <v>5537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0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3</v>
      </c>
      <c r="R3395" s="115" t="s">
        <v>1459</v>
      </c>
      <c r="S3395" s="125"/>
    </row>
    <row r="3396" spans="1:19">
      <c r="A3396" s="124" t="s">
        <v>5520</v>
      </c>
      <c r="B3396" s="125" t="str">
        <f>IFERROR(VLOOKUP(Proc[[#This Row],[App]],Table2[],3,0),"open")</f>
        <v>open</v>
      </c>
      <c r="C3396" s="124" t="s">
        <v>375</v>
      </c>
      <c r="D3396" t="s">
        <v>5461</v>
      </c>
      <c r="E3396" t="s">
        <v>5506</v>
      </c>
      <c r="F3396" s="125" t="s">
        <v>2570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0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3</v>
      </c>
      <c r="R3396" s="115" t="s">
        <v>1459</v>
      </c>
      <c r="S3396" s="125"/>
    </row>
    <row r="3397" spans="1:19">
      <c r="A3397" s="124" t="s">
        <v>5520</v>
      </c>
      <c r="B3397" s="125" t="str">
        <f>IFERROR(VLOOKUP(Proc[[#This Row],[App]],Table2[],3,0),"open")</f>
        <v>open</v>
      </c>
      <c r="C3397" s="124" t="s">
        <v>375</v>
      </c>
      <c r="D3397" t="s">
        <v>5462</v>
      </c>
      <c r="E3397" t="s">
        <v>5489</v>
      </c>
      <c r="F3397" s="125" t="s">
        <v>2570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0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3</v>
      </c>
      <c r="R3397" s="115" t="s">
        <v>1459</v>
      </c>
      <c r="S3397" s="125"/>
    </row>
    <row r="3398" spans="1:19">
      <c r="A3398" s="124" t="s">
        <v>5520</v>
      </c>
      <c r="B3398" s="125" t="str">
        <f>IFERROR(VLOOKUP(Proc[[#This Row],[App]],Table2[],3,0),"open")</f>
        <v>open</v>
      </c>
      <c r="C3398" s="124" t="s">
        <v>375</v>
      </c>
      <c r="D3398" t="s">
        <v>5463</v>
      </c>
      <c r="E3398" t="s">
        <v>5506</v>
      </c>
      <c r="F3398" s="125" t="s">
        <v>2570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0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3</v>
      </c>
      <c r="R3398" s="115" t="s">
        <v>1459</v>
      </c>
      <c r="S3398" s="125"/>
    </row>
    <row r="3399" spans="1:19">
      <c r="A3399" s="124" t="s">
        <v>5520</v>
      </c>
      <c r="B3399" s="125" t="str">
        <f>IFERROR(VLOOKUP(Proc[[#This Row],[App]],Table2[],3,0),"open")</f>
        <v>open</v>
      </c>
      <c r="C3399" s="124" t="s">
        <v>375</v>
      </c>
      <c r="D3399" t="s">
        <v>5464</v>
      </c>
      <c r="E3399" t="s">
        <v>5488</v>
      </c>
      <c r="F3399" s="125" t="s">
        <v>5536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0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3</v>
      </c>
      <c r="R3399" s="115" t="s">
        <v>1459</v>
      </c>
      <c r="S3399" s="125"/>
    </row>
    <row r="3400" spans="1:19">
      <c r="A3400" s="124" t="s">
        <v>5520</v>
      </c>
      <c r="B3400" s="125" t="str">
        <f>IFERROR(VLOOKUP(Proc[[#This Row],[App]],Table2[],3,0),"open")</f>
        <v>open</v>
      </c>
      <c r="C3400" s="124" t="s">
        <v>375</v>
      </c>
      <c r="D3400" t="s">
        <v>5465</v>
      </c>
      <c r="E3400" t="s">
        <v>5509</v>
      </c>
      <c r="F3400" s="125" t="s">
        <v>5540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0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3</v>
      </c>
      <c r="R3400" s="115" t="s">
        <v>1459</v>
      </c>
      <c r="S3400" s="125"/>
    </row>
    <row r="3401" spans="1:19">
      <c r="A3401" s="124" t="s">
        <v>5520</v>
      </c>
      <c r="B3401" s="125" t="str">
        <f>IFERROR(VLOOKUP(Proc[[#This Row],[App]],Table2[],3,0),"open")</f>
        <v>open</v>
      </c>
      <c r="C3401" s="124" t="s">
        <v>375</v>
      </c>
      <c r="D3401" t="s">
        <v>5466</v>
      </c>
      <c r="E3401" t="s">
        <v>5487</v>
      </c>
      <c r="F3401" s="125" t="s">
        <v>5535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0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3</v>
      </c>
      <c r="R3401" s="115" t="s">
        <v>1459</v>
      </c>
      <c r="S3401" s="125"/>
    </row>
    <row r="3402" spans="1:19">
      <c r="A3402" s="124" t="s">
        <v>5520</v>
      </c>
      <c r="B3402" s="125" t="str">
        <f>IFERROR(VLOOKUP(Proc[[#This Row],[App]],Table2[],3,0),"open")</f>
        <v>open</v>
      </c>
      <c r="C3402" s="124" t="s">
        <v>375</v>
      </c>
      <c r="D3402" t="s">
        <v>5467</v>
      </c>
      <c r="E3402" t="s">
        <v>5506</v>
      </c>
      <c r="F3402" s="125" t="s">
        <v>2570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0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3</v>
      </c>
      <c r="R3402" s="115" t="s">
        <v>1459</v>
      </c>
      <c r="S3402" s="125"/>
    </row>
    <row r="3403" spans="1:19">
      <c r="A3403" s="124" t="s">
        <v>5520</v>
      </c>
      <c r="B3403" s="125" t="str">
        <f>IFERROR(VLOOKUP(Proc[[#This Row],[App]],Table2[],3,0),"open")</f>
        <v>open</v>
      </c>
      <c r="C3403" s="124" t="s">
        <v>375</v>
      </c>
      <c r="D3403" t="s">
        <v>5468</v>
      </c>
      <c r="E3403" t="s">
        <v>5515</v>
      </c>
      <c r="F3403" s="125" t="s">
        <v>5494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0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3</v>
      </c>
      <c r="R3403" s="115" t="s">
        <v>1459</v>
      </c>
      <c r="S3403" s="125"/>
    </row>
    <row r="3404" spans="1:19">
      <c r="A3404" s="124" t="s">
        <v>5520</v>
      </c>
      <c r="B3404" s="125" t="str">
        <f>IFERROR(VLOOKUP(Proc[[#This Row],[App]],Table2[],3,0),"open")</f>
        <v>open</v>
      </c>
      <c r="C3404" s="124" t="s">
        <v>375</v>
      </c>
      <c r="D3404" t="s">
        <v>5469</v>
      </c>
      <c r="E3404" t="s">
        <v>5488</v>
      </c>
      <c r="F3404" s="125" t="s">
        <v>5536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0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3</v>
      </c>
      <c r="R3404" s="115" t="s">
        <v>1459</v>
      </c>
      <c r="S3404" s="125"/>
    </row>
    <row r="3405" spans="1:19">
      <c r="A3405" s="124" t="s">
        <v>5520</v>
      </c>
      <c r="B3405" s="125" t="str">
        <f>IFERROR(VLOOKUP(Proc[[#This Row],[App]],Table2[],3,0),"open")</f>
        <v>open</v>
      </c>
      <c r="C3405" s="124" t="s">
        <v>375</v>
      </c>
      <c r="D3405" t="s">
        <v>5470</v>
      </c>
      <c r="E3405" t="s">
        <v>5495</v>
      </c>
      <c r="F3405" s="125" t="s">
        <v>2570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0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3</v>
      </c>
      <c r="R3405" s="115" t="s">
        <v>1459</v>
      </c>
      <c r="S3405" s="125"/>
    </row>
    <row r="3406" spans="1:19">
      <c r="A3406" s="124" t="s">
        <v>5520</v>
      </c>
      <c r="B3406" s="125" t="str">
        <f>IFERROR(VLOOKUP(Proc[[#This Row],[App]],Table2[],3,0),"open")</f>
        <v>open</v>
      </c>
      <c r="C3406" s="124" t="s">
        <v>375</v>
      </c>
      <c r="D3406" t="s">
        <v>5471</v>
      </c>
      <c r="E3406" t="s">
        <v>5495</v>
      </c>
      <c r="F3406" s="125" t="s">
        <v>2570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0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3</v>
      </c>
      <c r="R3406" s="115" t="s">
        <v>1459</v>
      </c>
      <c r="S3406" s="125"/>
    </row>
    <row r="3407" spans="1:19">
      <c r="A3407" s="124" t="s">
        <v>5520</v>
      </c>
      <c r="B3407" s="125" t="str">
        <f>IFERROR(VLOOKUP(Proc[[#This Row],[App]],Table2[],3,0),"open")</f>
        <v>open</v>
      </c>
      <c r="C3407" s="124" t="s">
        <v>375</v>
      </c>
      <c r="D3407" t="s">
        <v>5472</v>
      </c>
      <c r="E3407" t="s">
        <v>5506</v>
      </c>
      <c r="F3407" s="125" t="s">
        <v>2570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0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3</v>
      </c>
      <c r="R3407" s="115" t="s">
        <v>1459</v>
      </c>
      <c r="S3407" s="125"/>
    </row>
    <row r="3408" spans="1:19">
      <c r="A3408" s="124" t="s">
        <v>5520</v>
      </c>
      <c r="B3408" s="125" t="str">
        <f>IFERROR(VLOOKUP(Proc[[#This Row],[App]],Table2[],3,0),"open")</f>
        <v>open</v>
      </c>
      <c r="C3408" s="124" t="s">
        <v>375</v>
      </c>
      <c r="D3408" t="s">
        <v>5473</v>
      </c>
      <c r="E3408" t="s">
        <v>5495</v>
      </c>
      <c r="F3408" s="125" t="s">
        <v>2570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0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3</v>
      </c>
      <c r="R3408" s="115" t="s">
        <v>1459</v>
      </c>
      <c r="S3408" s="125"/>
    </row>
    <row r="3409" spans="1:19">
      <c r="A3409" s="124" t="s">
        <v>5520</v>
      </c>
      <c r="B3409" s="125" t="str">
        <f>IFERROR(VLOOKUP(Proc[[#This Row],[App]],Table2[],3,0),"open")</f>
        <v>open</v>
      </c>
      <c r="C3409" s="124" t="s">
        <v>375</v>
      </c>
      <c r="D3409" t="s">
        <v>5474</v>
      </c>
      <c r="E3409" t="s">
        <v>5489</v>
      </c>
      <c r="F3409" s="125" t="s">
        <v>2570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0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3</v>
      </c>
      <c r="R3409" s="115" t="s">
        <v>1459</v>
      </c>
      <c r="S3409" s="125"/>
    </row>
    <row r="3410" spans="1:19">
      <c r="A3410" s="124" t="s">
        <v>5520</v>
      </c>
      <c r="B3410" s="125" t="str">
        <f>IFERROR(VLOOKUP(Proc[[#This Row],[App]],Table2[],3,0),"open")</f>
        <v>open</v>
      </c>
      <c r="C3410" s="124" t="s">
        <v>375</v>
      </c>
      <c r="D3410" t="s">
        <v>5475</v>
      </c>
      <c r="E3410" t="s">
        <v>5489</v>
      </c>
      <c r="F3410" s="125" t="s">
        <v>2570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0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3</v>
      </c>
      <c r="R3410" s="115" t="s">
        <v>1459</v>
      </c>
      <c r="S3410" s="125"/>
    </row>
    <row r="3411" spans="1:19">
      <c r="A3411" s="124" t="s">
        <v>5520</v>
      </c>
      <c r="B3411" s="125" t="str">
        <f>IFERROR(VLOOKUP(Proc[[#This Row],[App]],Table2[],3,0),"open")</f>
        <v>open</v>
      </c>
      <c r="C3411" s="124" t="s">
        <v>370</v>
      </c>
      <c r="D3411" t="s">
        <v>5476</v>
      </c>
      <c r="E3411" t="s">
        <v>427</v>
      </c>
      <c r="F3411" s="125" t="s">
        <v>662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0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3</v>
      </c>
      <c r="R3411" s="115" t="s">
        <v>1459</v>
      </c>
      <c r="S3411" s="125"/>
    </row>
    <row r="3412" spans="1:19">
      <c r="A3412" s="124" t="s">
        <v>5520</v>
      </c>
      <c r="B3412" s="125" t="str">
        <f>IFERROR(VLOOKUP(Proc[[#This Row],[App]],Table2[],3,0),"open")</f>
        <v>open</v>
      </c>
      <c r="C3412" s="124" t="s">
        <v>370</v>
      </c>
      <c r="D3412" t="s">
        <v>5477</v>
      </c>
      <c r="E3412" t="s">
        <v>5488</v>
      </c>
      <c r="F3412" s="125" t="s">
        <v>5536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0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3</v>
      </c>
      <c r="R3412" s="115" t="s">
        <v>1459</v>
      </c>
      <c r="S3412" s="125"/>
    </row>
    <row r="3413" spans="1:19">
      <c r="A3413" s="124" t="s">
        <v>5520</v>
      </c>
      <c r="B3413" s="125" t="str">
        <f>IFERROR(VLOOKUP(Proc[[#This Row],[App]],Table2[],3,0),"open")</f>
        <v>open</v>
      </c>
      <c r="C3413" s="124" t="s">
        <v>375</v>
      </c>
      <c r="D3413" t="s">
        <v>5478</v>
      </c>
      <c r="E3413" t="s">
        <v>5518</v>
      </c>
      <c r="F3413" s="125" t="s">
        <v>5504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0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3</v>
      </c>
      <c r="R3413" s="115" t="s">
        <v>1459</v>
      </c>
      <c r="S3413" s="125"/>
    </row>
    <row r="3414" spans="1:19">
      <c r="A3414" s="124" t="s">
        <v>5520</v>
      </c>
      <c r="B3414" s="125" t="str">
        <f>IFERROR(VLOOKUP(Proc[[#This Row],[App]],Table2[],3,0),"open")</f>
        <v>open</v>
      </c>
      <c r="C3414" s="124" t="s">
        <v>375</v>
      </c>
      <c r="D3414" t="s">
        <v>5479</v>
      </c>
      <c r="E3414" t="s">
        <v>5519</v>
      </c>
      <c r="F3414" s="125" t="s">
        <v>5494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0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3</v>
      </c>
      <c r="R3414" s="115" t="s">
        <v>1459</v>
      </c>
      <c r="S3414" s="125"/>
    </row>
    <row r="3415" spans="1:19">
      <c r="A3415" s="124" t="s">
        <v>5520</v>
      </c>
      <c r="B3415" s="125" t="str">
        <f>IFERROR(VLOOKUP(Proc[[#This Row],[App]],Table2[],3,0),"open")</f>
        <v>open</v>
      </c>
      <c r="C3415" s="124" t="s">
        <v>375</v>
      </c>
      <c r="D3415" t="s">
        <v>5480</v>
      </c>
      <c r="E3415" t="s">
        <v>5518</v>
      </c>
      <c r="F3415" s="125" t="s">
        <v>5504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0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3</v>
      </c>
      <c r="R3415" s="115" t="s">
        <v>1459</v>
      </c>
      <c r="S3415" s="125"/>
    </row>
    <row r="3416" spans="1:19">
      <c r="A3416" s="124" t="s">
        <v>5520</v>
      </c>
      <c r="B3416" s="125" t="str">
        <f>IFERROR(VLOOKUP(Proc[[#This Row],[App]],Table2[],3,0),"open")</f>
        <v>open</v>
      </c>
      <c r="C3416" s="124" t="s">
        <v>370</v>
      </c>
      <c r="D3416" t="s">
        <v>5481</v>
      </c>
      <c r="E3416" t="s">
        <v>5518</v>
      </c>
      <c r="F3416" s="125" t="s">
        <v>5563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0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3</v>
      </c>
      <c r="R3416" s="115" t="s">
        <v>1459</v>
      </c>
      <c r="S3416" s="125"/>
    </row>
    <row r="3417" spans="1:19">
      <c r="A3417" s="124" t="s">
        <v>5520</v>
      </c>
      <c r="B3417" s="125" t="str">
        <f>IFERROR(VLOOKUP(Proc[[#This Row],[App]],Table2[],3,0),"open")</f>
        <v>open</v>
      </c>
      <c r="C3417" s="124" t="s">
        <v>370</v>
      </c>
      <c r="D3417" t="s">
        <v>5482</v>
      </c>
      <c r="E3417" t="s">
        <v>5518</v>
      </c>
      <c r="F3417" s="125" t="s">
        <v>5564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0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3</v>
      </c>
      <c r="R3417" s="115" t="s">
        <v>1459</v>
      </c>
      <c r="S3417" s="125"/>
    </row>
    <row r="3418" spans="1:19">
      <c r="A3418" s="124" t="s">
        <v>5520</v>
      </c>
      <c r="B3418" s="125" t="str">
        <f>IFERROR(VLOOKUP(Proc[[#This Row],[App]],Table2[],3,0),"open")</f>
        <v>open</v>
      </c>
      <c r="C3418" s="124" t="s">
        <v>370</v>
      </c>
      <c r="D3418" t="s">
        <v>5483</v>
      </c>
      <c r="E3418" t="s">
        <v>5518</v>
      </c>
      <c r="F3418" s="125" t="s">
        <v>5563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0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3</v>
      </c>
      <c r="R3418" s="115" t="s">
        <v>1459</v>
      </c>
      <c r="S3418" s="125"/>
    </row>
    <row r="3419" spans="1:19">
      <c r="A3419" s="124" t="s">
        <v>5520</v>
      </c>
      <c r="B3419" s="125" t="str">
        <f>IFERROR(VLOOKUP(Proc[[#This Row],[App]],Table2[],3,0),"open")</f>
        <v>open</v>
      </c>
      <c r="C3419" s="124" t="s">
        <v>375</v>
      </c>
      <c r="D3419" t="s">
        <v>5484</v>
      </c>
      <c r="E3419" t="s">
        <v>5518</v>
      </c>
      <c r="F3419" s="125" t="s">
        <v>5504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0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3</v>
      </c>
      <c r="R3419" s="115" t="s">
        <v>1459</v>
      </c>
      <c r="S3419" s="125"/>
    </row>
    <row r="3420" spans="1:19">
      <c r="A3420" s="124" t="s">
        <v>5520</v>
      </c>
      <c r="B3420" s="125" t="str">
        <f>IFERROR(VLOOKUP(Proc[[#This Row],[App]],Table2[],3,0),"open")</f>
        <v>open</v>
      </c>
      <c r="C3420" s="124" t="s">
        <v>375</v>
      </c>
      <c r="D3420" t="s">
        <v>5485</v>
      </c>
      <c r="E3420" t="s">
        <v>5518</v>
      </c>
      <c r="F3420" s="125" t="s">
        <v>5565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0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3</v>
      </c>
      <c r="R3420" s="115" t="s">
        <v>1459</v>
      </c>
      <c r="S3420" s="125"/>
    </row>
    <row r="3421" spans="1:19" hidden="1">
      <c r="A3421" t="s">
        <v>5581</v>
      </c>
      <c r="B3421" s="125" t="str">
        <f>IFERROR(VLOOKUP(Proc[[#This Row],[App]],Table2[],3,0),"open")</f>
        <v>open</v>
      </c>
      <c r="C3421" s="124" t="s">
        <v>370</v>
      </c>
      <c r="D3421" t="s">
        <v>5568</v>
      </c>
      <c r="E3421" t="s">
        <v>5582</v>
      </c>
      <c r="F3421" s="125"/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0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3</v>
      </c>
      <c r="R3421" s="115" t="s">
        <v>1013</v>
      </c>
      <c r="S3421" s="125"/>
    </row>
    <row r="3422" spans="1:19" hidden="1">
      <c r="A3422" s="124" t="s">
        <v>5581</v>
      </c>
      <c r="B3422" s="125" t="str">
        <f>IFERROR(VLOOKUP(Proc[[#This Row],[App]],Table2[],3,0),"open")</f>
        <v>open</v>
      </c>
      <c r="C3422" s="124" t="s">
        <v>370</v>
      </c>
      <c r="D3422" t="s">
        <v>5569</v>
      </c>
      <c r="E3422" t="s">
        <v>5583</v>
      </c>
      <c r="F3422" s="125"/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0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3</v>
      </c>
      <c r="R3422" s="115" t="s">
        <v>1013</v>
      </c>
      <c r="S3422" s="125"/>
    </row>
    <row r="3423" spans="1:19" hidden="1">
      <c r="A3423" s="124" t="s">
        <v>5581</v>
      </c>
      <c r="B3423" s="125" t="str">
        <f>IFERROR(VLOOKUP(Proc[[#This Row],[App]],Table2[],3,0),"open")</f>
        <v>open</v>
      </c>
      <c r="C3423" s="124" t="s">
        <v>370</v>
      </c>
      <c r="D3423" t="s">
        <v>5570</v>
      </c>
      <c r="E3423" t="s">
        <v>5584</v>
      </c>
      <c r="F3423" s="125"/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0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3</v>
      </c>
      <c r="R3423" s="115" t="s">
        <v>1013</v>
      </c>
      <c r="S3423" s="125"/>
    </row>
    <row r="3424" spans="1:19" hidden="1">
      <c r="A3424" s="124" t="s">
        <v>5581</v>
      </c>
      <c r="B3424" s="125" t="str">
        <f>IFERROR(VLOOKUP(Proc[[#This Row],[App]],Table2[],3,0),"open")</f>
        <v>open</v>
      </c>
      <c r="C3424" s="124" t="s">
        <v>370</v>
      </c>
      <c r="D3424" t="s">
        <v>5571</v>
      </c>
      <c r="E3424" t="s">
        <v>5585</v>
      </c>
      <c r="F3424" s="125"/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0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3</v>
      </c>
      <c r="R3424" s="115" t="s">
        <v>1013</v>
      </c>
      <c r="S3424" s="125"/>
    </row>
    <row r="3425" spans="1:19" hidden="1">
      <c r="A3425" s="124" t="s">
        <v>5581</v>
      </c>
      <c r="B3425" s="125" t="str">
        <f>IFERROR(VLOOKUP(Proc[[#This Row],[App]],Table2[],3,0),"open")</f>
        <v>open</v>
      </c>
      <c r="C3425" s="124" t="s">
        <v>370</v>
      </c>
      <c r="D3425" t="s">
        <v>5572</v>
      </c>
      <c r="E3425" t="s">
        <v>5585</v>
      </c>
      <c r="F3425" s="125"/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0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3</v>
      </c>
      <c r="R3425" s="115" t="s">
        <v>1013</v>
      </c>
      <c r="S3425" s="125"/>
    </row>
    <row r="3426" spans="1:19" hidden="1">
      <c r="A3426" s="124" t="s">
        <v>5581</v>
      </c>
      <c r="B3426" s="125" t="str">
        <f>IFERROR(VLOOKUP(Proc[[#This Row],[App]],Table2[],3,0),"open")</f>
        <v>open</v>
      </c>
      <c r="C3426" s="124" t="s">
        <v>370</v>
      </c>
      <c r="D3426" t="s">
        <v>5573</v>
      </c>
      <c r="E3426" t="s">
        <v>5582</v>
      </c>
      <c r="F3426" s="125"/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0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3</v>
      </c>
      <c r="R3426" s="115" t="s">
        <v>1013</v>
      </c>
      <c r="S3426" s="125"/>
    </row>
    <row r="3427" spans="1:19" hidden="1">
      <c r="A3427" s="124" t="s">
        <v>5581</v>
      </c>
      <c r="B3427" s="125" t="str">
        <f>IFERROR(VLOOKUP(Proc[[#This Row],[App]],Table2[],3,0),"open")</f>
        <v>open</v>
      </c>
      <c r="C3427" s="124" t="s">
        <v>370</v>
      </c>
      <c r="D3427" t="s">
        <v>5574</v>
      </c>
      <c r="E3427" t="s">
        <v>5583</v>
      </c>
      <c r="F3427" s="125"/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0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3</v>
      </c>
      <c r="R3427" s="115" t="s">
        <v>1013</v>
      </c>
      <c r="S3427" s="125"/>
    </row>
    <row r="3428" spans="1:19" hidden="1">
      <c r="A3428" s="124" t="s">
        <v>5581</v>
      </c>
      <c r="B3428" s="125" t="str">
        <f>IFERROR(VLOOKUP(Proc[[#This Row],[App]],Table2[],3,0),"open")</f>
        <v>open</v>
      </c>
      <c r="C3428" s="124" t="s">
        <v>370</v>
      </c>
      <c r="D3428" t="s">
        <v>5575</v>
      </c>
      <c r="E3428" t="s">
        <v>2222</v>
      </c>
      <c r="F3428" s="125"/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0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3</v>
      </c>
      <c r="R3428" s="115" t="s">
        <v>1013</v>
      </c>
      <c r="S3428" s="125"/>
    </row>
    <row r="3429" spans="1:19" hidden="1">
      <c r="A3429" s="124" t="s">
        <v>5581</v>
      </c>
      <c r="B3429" s="125" t="str">
        <f>IFERROR(VLOOKUP(Proc[[#This Row],[App]],Table2[],3,0),"open")</f>
        <v>open</v>
      </c>
      <c r="C3429" s="124" t="s">
        <v>370</v>
      </c>
      <c r="D3429" t="s">
        <v>5576</v>
      </c>
      <c r="E3429" t="s">
        <v>2222</v>
      </c>
      <c r="F3429" s="125"/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0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3</v>
      </c>
      <c r="R3429" s="115" t="s">
        <v>1013</v>
      </c>
      <c r="S3429" s="125"/>
    </row>
    <row r="3430" spans="1:19" hidden="1">
      <c r="A3430" s="124" t="s">
        <v>5581</v>
      </c>
      <c r="B3430" s="125" t="str">
        <f>IFERROR(VLOOKUP(Proc[[#This Row],[App]],Table2[],3,0),"open")</f>
        <v>open</v>
      </c>
      <c r="C3430" s="124" t="s">
        <v>370</v>
      </c>
      <c r="D3430" t="s">
        <v>5577</v>
      </c>
      <c r="E3430" t="s">
        <v>2224</v>
      </c>
      <c r="F3430" s="125"/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0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3</v>
      </c>
      <c r="R3430" s="115" t="s">
        <v>1013</v>
      </c>
      <c r="S3430" s="125"/>
    </row>
    <row r="3431" spans="1:19" hidden="1">
      <c r="A3431" s="124" t="s">
        <v>5581</v>
      </c>
      <c r="B3431" s="125" t="str">
        <f>IFERROR(VLOOKUP(Proc[[#This Row],[App]],Table2[],3,0),"open")</f>
        <v>open</v>
      </c>
      <c r="C3431" s="124" t="s">
        <v>370</v>
      </c>
      <c r="D3431" t="s">
        <v>5578</v>
      </c>
      <c r="E3431" t="s">
        <v>5585</v>
      </c>
      <c r="F3431" s="125"/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0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3</v>
      </c>
      <c r="R3431" s="115" t="s">
        <v>1013</v>
      </c>
      <c r="S3431" s="125"/>
    </row>
    <row r="3432" spans="1:19" hidden="1">
      <c r="A3432" s="124" t="s">
        <v>5581</v>
      </c>
      <c r="B3432" s="125" t="str">
        <f>IFERROR(VLOOKUP(Proc[[#This Row],[App]],Table2[],3,0),"open")</f>
        <v>open</v>
      </c>
      <c r="C3432" s="124" t="s">
        <v>375</v>
      </c>
      <c r="D3432" t="s">
        <v>5579</v>
      </c>
      <c r="E3432" t="s">
        <v>5585</v>
      </c>
      <c r="F3432" s="125"/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0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3</v>
      </c>
      <c r="R3432" s="115" t="s">
        <v>1013</v>
      </c>
      <c r="S3432" s="125"/>
    </row>
    <row r="3433" spans="1:19" hidden="1">
      <c r="A3433" s="124" t="s">
        <v>5581</v>
      </c>
      <c r="B3433" s="125" t="str">
        <f>IFERROR(VLOOKUP(Proc[[#This Row],[App]],Table2[],3,0),"open")</f>
        <v>open</v>
      </c>
      <c r="C3433" s="124" t="s">
        <v>370</v>
      </c>
      <c r="D3433" t="s">
        <v>5580</v>
      </c>
      <c r="E3433" t="s">
        <v>5586</v>
      </c>
      <c r="F3433" s="125"/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0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3</v>
      </c>
      <c r="R3433" s="115" t="s">
        <v>1013</v>
      </c>
      <c r="S3433" s="125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G2:G3433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B486"/>
  <sheetViews>
    <sheetView workbookViewId="0">
      <selection activeCell="B5" sqref="B5"/>
    </sheetView>
  </sheetViews>
  <sheetFormatPr defaultRowHeight="15"/>
  <sheetData>
    <row r="1" spans="1:2">
      <c r="A1" t="s">
        <v>2319</v>
      </c>
      <c r="B1" t="s">
        <v>4414</v>
      </c>
    </row>
    <row r="2" spans="1:2">
      <c r="A2" t="s">
        <v>4969</v>
      </c>
      <c r="B2" t="s">
        <v>4948</v>
      </c>
    </row>
    <row r="3" spans="1:2">
      <c r="A3" t="s">
        <v>4974</v>
      </c>
      <c r="B3" t="s">
        <v>5522</v>
      </c>
    </row>
    <row r="4" spans="1:2">
      <c r="A4" t="s">
        <v>4975</v>
      </c>
      <c r="B4" t="s">
        <v>2521</v>
      </c>
    </row>
    <row r="5" spans="1:2">
      <c r="A5" t="s">
        <v>4976</v>
      </c>
      <c r="B5" t="s">
        <v>5269</v>
      </c>
    </row>
    <row r="6" spans="1:2">
      <c r="A6" t="s">
        <v>4977</v>
      </c>
      <c r="B6" t="s">
        <v>5269</v>
      </c>
    </row>
    <row r="7" spans="1:2">
      <c r="A7" t="s">
        <v>4978</v>
      </c>
      <c r="B7" t="s">
        <v>5269</v>
      </c>
    </row>
    <row r="8" spans="1:2">
      <c r="A8" t="s">
        <v>4979</v>
      </c>
      <c r="B8" t="s">
        <v>3003</v>
      </c>
    </row>
    <row r="9" spans="1:2">
      <c r="A9" t="s">
        <v>4980</v>
      </c>
      <c r="B9" t="s">
        <v>3003</v>
      </c>
    </row>
    <row r="10" spans="1:2">
      <c r="A10" t="s">
        <v>4981</v>
      </c>
      <c r="B10" t="s">
        <v>3003</v>
      </c>
    </row>
    <row r="11" spans="1:2">
      <c r="A11" t="s">
        <v>4982</v>
      </c>
      <c r="B11" t="s">
        <v>3008</v>
      </c>
    </row>
    <row r="12" spans="1:2">
      <c r="A12" t="s">
        <v>4983</v>
      </c>
      <c r="B12" t="s">
        <v>3003</v>
      </c>
    </row>
    <row r="13" spans="1:2">
      <c r="A13" t="s">
        <v>4984</v>
      </c>
      <c r="B13" t="s">
        <v>3003</v>
      </c>
    </row>
    <row r="14" spans="1:2">
      <c r="A14" t="s">
        <v>4985</v>
      </c>
      <c r="B14" t="s">
        <v>3003</v>
      </c>
    </row>
    <row r="15" spans="1:2">
      <c r="A15" t="s">
        <v>4986</v>
      </c>
      <c r="B15" t="s">
        <v>3003</v>
      </c>
    </row>
    <row r="16" spans="1:2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Sheet6</vt:lpstr>
      <vt:lpstr>Sheet7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2025-08-08T13:27:39Z</dcterms:modified>
  <cp:category/>
  <cp:contentStatus/>
</cp:coreProperties>
</file>