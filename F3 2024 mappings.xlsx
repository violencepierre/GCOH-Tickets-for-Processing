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D9188586-4328-496D-84AB-BA5C5B703695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52" i="1" l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<sst xmlns="http://schemas.openxmlformats.org/spreadsheetml/2006/main" count="44715" uniqueCount="7303">
  <si>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</si>
  <si>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</si>
  <si>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</si>
  <si>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</si>
  <si>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</si>
  <si>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</si>
  <si>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</si>
  <si>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</si>
  <si>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</si>
  <si>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</si>
  <si>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</si>
  <si>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</si>
  <si>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</si>
  <si>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</si>
  <si>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</si>
  <si>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</si>
  <si>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</si>
  <si>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</si>
  <si>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</si>
  <si>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</si>
  <si>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</si>
  <si>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</si>
  <si>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</si>
  <si>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</si>
  <si>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</si>
  <si>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</si>
  <si>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</si>
  <si>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</si>
  <si>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</si>
  <si>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</si>
  <si>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</si>
  <si>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</si>
  <si>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</si>
  <si>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</si>
  <si>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</si>
  <si>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</si>
  <si>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</si>
  <si>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</si>
  <si>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</si>
  <si>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</si>
  <si>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</si>
  <si>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</si>
  <si>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</si>
  <si>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</si>
  <si>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</si>
  <si>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</si>
  <si>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</si>
  <si>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</si>
  <si>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</si>
  <si>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</si>
  <si>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</si>
  <si>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</si>
  <si>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</si>
  <si>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</si>
  <si>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</si>
  <si>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</si>
  <si>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</si>
  <si>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</si>
  <si>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</si>
  <si>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</si>
  <si>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</si>
  <si>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</si>
  <si>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</si>
  <si>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</si>
  <si>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</si>
  <si>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</si>
  <si>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</si>
  <si>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</si>
  <si>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</si>
  <si>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</si>
  <si>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</si>
  <si>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</si>
  <si>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</si>
  <si>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</si>
  <si>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</si>
  <si>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</si>
  <si>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</si>
  <si>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</si>
  <si>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</si>
  <si>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</si>
  <si>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</si>
  <si>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</si>
  <si>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</si>
  <si>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</si>
  <si>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</si>
  <si>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</si>
  <si>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</si>
  <si>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</si>
  <si>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</si>
  <si>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</si>
  <si>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</si>
  <si>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</si>
  <si>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</si>
  <si>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</si>
  <si>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</si>
  <si>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</si>
  <si>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</si>
  <si>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</si>
  <si>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</si>
  <si>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</si>
  <si>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</si>
  <si>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</si>
  <si>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</si>
  <si>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</si>
  <si>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</si>
  <si>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</si>
  <si>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</si>
  <si>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</si>
  <si>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</si>
  <si>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</si>
  <si>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</si>
  <si>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</si>
  <si>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</si>
  <si>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</si>
  <si>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</si>
  <si>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</si>
  <si>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</si>
  <si>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</si>
  <si>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</si>
  <si>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</si>
  <si>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</si>
  <si>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</si>
  <si>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</si>
  <si>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</si>
  <si>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</si>
  <si>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</si>
  <si>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</si>
  <si>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</si>
  <si>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</si>
  <si>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</si>
  <si>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</si>
  <si>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</si>
  <si>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</si>
  <si>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</si>
  <si>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</si>
  <si>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</si>
  <si>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</si>
  <si>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</si>
  <si>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</si>
  <si>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</si>
  <si>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</si>
  <si>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</si>
  <si>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</si>
  <si>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</si>
  <si>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</si>
  <si>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</si>
  <si>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</si>
  <si>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</si>
  <si>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</si>
  <si>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</si>
  <si>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</si>
  <si>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</si>
  <si>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</si>
  <si>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</si>
  <si>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</si>
  <si>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</si>
  <si>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</si>
  <si>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</si>
  <si>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</si>
  <si>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</si>
  <si>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</si>
  <si>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</si>
  <si>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</si>
  <si>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</si>
  <si>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</si>
  <si>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</si>
  <si>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</si>
  <si>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</si>
  <si>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</si>
  <si>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</si>
  <si>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</si>
  <si>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</si>
  <si>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</si>
  <si>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</si>
  <si>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</si>
  <si>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</si>
  <si>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</si>
  <si>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</si>
  <si>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</si>
  <si>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</si>
  <si>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</si>
  <si>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</si>
  <si>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</si>
  <si>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</si>
  <si>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</si>
  <si>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</si>
  <si>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</si>
  <si>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</si>
  <si>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</si>
  <si>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</si>
  <si>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</si>
  <si>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</si>
  <si>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</si>
  <si>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</si>
  <si>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</si>
  <si>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</si>
  <si>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</si>
  <si>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</si>
  <si>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</si>
  <si>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</si>
  <si>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</si>
  <si>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</si>
  <si>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</si>
  <si>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</si>
  <si>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</si>
  <si>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</si>
  <si>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</si>
  <si>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</si>
  <si>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</si>
  <si>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</si>
  <si>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</si>
  <si>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</si>
  <si>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</si>
  <si>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</si>
  <si>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</si>
  <si>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</si>
  <si>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</si>
  <si>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</si>
  <si>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</si>
  <si>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</si>
  <si>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</si>
  <si>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</si>
  <si>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</si>
  <si>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</si>
  <si>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</si>
  <si>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</si>
  <si>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</si>
  <si>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</si>
  <si>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</si>
  <si>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</si>
  <si>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</si>
  <si>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</si>
  <si>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</si>
  <si>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</si>
  <si>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</si>
  <si>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</si>
  <si>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</si>
  <si>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</si>
  <si>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</si>
  <si>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</si>
  <si>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</si>
  <si>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</si>
  <si>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</si>
  <si>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</si>
  <si>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</si>
  <si>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</si>
  <si>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</si>
  <si>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</si>
  <si>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</si>
  <si>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</si>
  <si>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</si>
  <si>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</si>
  <si>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</si>
  <si>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</si>
  <si>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</si>
  <si>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</si>
  <si>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</si>
  <si>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</si>
  <si>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</si>
  <si>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</si>
  <si>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</si>
  <si>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</si>
  <si>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</si>
  <si>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</si>
  <si>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</si>
  <si>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</si>
  <si>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</si>
  <si>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</si>
  <si>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</si>
  <si>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</si>
  <si>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</si>
  <si>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</si>
  <si>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</si>
  <si>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</si>
  <si>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</si>
  <si>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</si>
  <si>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</si>
  <si>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</si>
  <si>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</si>
  <si>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</si>
  <si>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</si>
  <si>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</si>
  <si>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</si>
  <si>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</si>
  <si>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</si>
  <si>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</si>
  <si>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</si>
  <si>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</si>
  <si>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</si>
  <si>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</si>
  <si>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</si>
  <si>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</si>
  <si>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</si>
  <si>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</si>
  <si>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</si>
  <si>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</si>
  <si>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</si>
  <si>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</si>
  <si>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</si>
  <si>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</si>
  <si>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</si>
  <si>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</si>
  <si>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</si>
  <si>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</si>
  <si>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</si>
  <si>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</si>
  <si>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</si>
  <si>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</si>
  <si>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</si>
  <si>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</si>
  <si>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</si>
  <si>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</si>
  <si>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</si>
  <si>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</si>
  <si>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</si>
  <si>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</si>
  <si>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</si>
  <si>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</si>
  <si>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</si>
  <si>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</si>
  <si>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</si>
  <si>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</si>
  <si>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</si>
  <si>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</si>
  <si>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</si>
  <si>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</si>
  <si>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</si>
  <si>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</si>
  <si>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</si>
  <si>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</si>
  <si>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</si>
  <si>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</si>
  <si>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</si>
  <si>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</si>
  <si>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</si>
  <si>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</si>
  <si>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</si>
  <si>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</si>
  <si>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</si>
  <si>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</si>
  <si>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</si>
  <si>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</si>
  <si>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</si>
  <si>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</si>
  <si>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</si>
  <si>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</si>
  <si>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</si>
  <si>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</si>
  <si>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</si>
  <si>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</si>
  <si>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</si>
  <si>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</si>
  <si>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</si>
  <si>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</si>
  <si>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</si>
  <si>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</si>
  <si>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</si>
  <si>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</si>
  <si>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</si>
  <si>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</si>
  <si>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</si>
  <si>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</si>
  <si>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</si>
  <si>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</si>
  <si>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</si>
  <si>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</si>
  <si>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</si>
  <si>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</si>
  <si>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</si>
  <si>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</si>
  <si>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</si>
  <si>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</si>
  <si>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</si>
  <si>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</si>
  <si>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</si>
  <si>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</si>
  <si>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</si>
  <si>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</si>
  <si>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</si>
  <si>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</si>
  <si>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</si>
  <si>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</si>
  <si>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</si>
  <si>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</si>
  <si>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</si>
  <si>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</si>
  <si>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</si>
  <si>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</si>
  <si>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</si>
  <si>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</si>
  <si>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</si>
  <si>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</si>
  <si>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</si>
  <si>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</si>
  <si>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</si>
  <si>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</si>
  <si>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</si>
  <si>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</si>
  <si>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</si>
  <si>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</si>
  <si>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</si>
  <si>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</si>
  <si>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</si>
  <si>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</si>
  <si>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</si>
  <si>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</si>
  <si>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</si>
  <si>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</si>
  <si>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</si>
  <si>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</si>
  <si>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</si>
  <si>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</si>
  <si>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</si>
  <si>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</si>
  <si>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</si>
  <si>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</si>
  <si>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</si>
  <si>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</si>
  <si>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</si>
  <si>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</si>
  <si>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</si>
  <si>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</si>
  <si>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</si>
  <si>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</si>
  <si>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</si>
  <si>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</si>
  <si>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</si>
  <si>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</si>
  <si>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</si>
  <si>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</si>
  <si>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</si>
  <si>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</si>
  <si>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</si>
  <si>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</si>
  <si>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</si>
  <si>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</si>
  <si>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</si>
  <si>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</si>
  <si>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</si>
  <si>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</si>
  <si>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</si>
  <si>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</si>
  <si>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</si>
  <si>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</si>
  <si>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</si>
  <si>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</si>
  <si>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</si>
  <si>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</si>
  <si>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</si>
  <si>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</si>
  <si>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</si>
  <si>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</si>
  <si>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</si>
  <si>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</si>
  <si>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</si>
  <si>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</si>
  <si>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</si>
  <si>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</si>
  <si>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</si>
  <si>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</si>
  <si>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</si>
  <si>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</si>
  <si>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</si>
  <si>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</si>
  <si>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</si>
  <si>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</si>
  <si>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</si>
  <si>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</si>
  <si>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</si>
  <si>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</si>
  <si>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</si>
  <si>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</si>
  <si>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</si>
  <si>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</si>
  <si>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</si>
  <si>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</si>
  <si>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</si>
  <si>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</si>
  <si>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</si>
  <si>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</si>
  <si>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</si>
  <si>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</si>
  <si>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</si>
  <si>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</si>
  <si>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</si>
  <si>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</si>
  <si>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</si>
  <si>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</si>
  <si>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</si>
  <si>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</si>
  <si>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</si>
  <si>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</si>
  <si>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</si>
  <si>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</si>
  <si>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</si>
  <si>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</si>
  <si>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</si>
  <si>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</si>
  <si>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</si>
  <si>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</si>
  <si>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</si>
  <si>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</si>
  <si>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</si>
  <si>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</si>
  <si>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</si>
  <si>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</si>
  <si>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</si>
  <si>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</si>
  <si>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</si>
  <si>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</si>
  <si>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</si>
  <si>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</si>
  <si>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</si>
  <si>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</si>
  <si>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</si>
  <si>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</si>
  <si>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</si>
  <si>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</si>
  <si>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</si>
  <si>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</si>
  <si>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</si>
  <si>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</si>
  <si>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</si>
  <si>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</si>
  <si>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</si>
  <si>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</si>
  <si>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</si>
  <si>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</si>
  <si>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</si>
  <si>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</si>
  <si>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</si>
  <si>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</si>
  <si>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</si>
  <si>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</si>
  <si>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</si>
  <si>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</si>
  <si>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</si>
  <si>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</si>
  <si>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</si>
  <si>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</si>
  <si>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</si>
  <si>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</si>
  <si>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</si>
  <si>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</si>
  <si>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</si>
  <si>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</si>
  <si>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</si>
  <si>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</si>
  <si>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</si>
  <si>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</si>
  <si>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</si>
  <si>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</si>
  <si>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</si>
  <si>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</si>
  <si>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</si>
  <si>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</si>
  <si>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</si>
  <si>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</si>
  <si>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</si>
  <si>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</si>
  <si>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</si>
  <si>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</si>
  <si>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</si>
  <si>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</si>
  <si>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</si>
  <si>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</si>
  <si>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</si>
  <si>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</si>
  <si>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</si>
  <si>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</si>
  <si>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</si>
  <si>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</si>
  <si>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</si>
  <si>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</si>
  <si>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</si>
  <si>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</si>
  <si>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</si>
  <si>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</si>
  <si>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</si>
  <si>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</si>
  <si>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</si>
  <si>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</si>
  <si>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</si>
  <si>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</si>
  <si>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</si>
  <si>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</si>
  <si>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</si>
  <si>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</si>
  <si>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</si>
  <si>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</si>
  <si>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</si>
  <si>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</si>
  <si>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</si>
  <si>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</si>
  <si>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</si>
  <si>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</si>
  <si>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</si>
  <si>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</si>
  <si>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</si>
  <si>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</si>
  <si>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</si>
  <si>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</si>
  <si>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</si>
  <si>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</si>
  <si>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</si>
  <si>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</si>
  <si>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</si>
  <si>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</si>
  <si>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</si>
  <si>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</si>
  <si>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</si>
  <si>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</si>
  <si>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</si>
  <si>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</si>
  <si>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</si>
  <si>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</si>
  <si>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</si>
  <si>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</si>
  <si>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</si>
  <si>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</si>
  <si>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</si>
  <si>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</si>
  <si>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</si>
  <si>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</si>
  <si>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</si>
  <si>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</si>
  <si>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</si>
  <si>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</si>
  <si>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</si>
  <si>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</si>
  <si>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</si>
  <si>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</si>
  <si>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</si>
  <si>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</si>
  <si>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</si>
  <si>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</si>
  <si>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</si>
  <si>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</si>
  <si>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</si>
  <si>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</si>
  <si>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</si>
  <si>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</si>
  <si>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</si>
  <si>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</si>
  <si>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</si>
  <si>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</si>
  <si>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</si>
  <si>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</si>
  <si>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</si>
  <si>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</si>
  <si>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</si>
  <si>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</si>
  <si>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</si>
  <si>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</si>
  <si>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</si>
  <si>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</si>
  <si>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</si>
  <si>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</si>
  <si>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</si>
  <si>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</si>
  <si>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</si>
  <si>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</si>
  <si>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</si>
  <si>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</si>
  <si>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</si>
  <si>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</si>
  <si>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</si>
  <si>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</si>
  <si>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</si>
  <si>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</si>
  <si>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</si>
  <si>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</si>
  <si>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</si>
  <si>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</si>
  <si>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</si>
  <si>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</si>
  <si>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</si>
  <si>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</si>
  <si>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</si>
  <si>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</si>
  <si>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</si>
  <si>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</si>
  <si>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</si>
  <si>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</si>
  <si>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</si>
  <si>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</si>
  <si>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</si>
  <si>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</si>
  <si>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</si>
  <si>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</si>
  <si>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</si>
  <si>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</si>
  <si>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</si>
  <si>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</si>
  <si>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</si>
  <si>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</si>
  <si>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</si>
  <si>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</si>
  <si>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</si>
  <si>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</si>
  <si>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</si>
  <si>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</si>
  <si>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</si>
  <si>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</si>
  <si>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</si>
  <si>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</si>
  <si>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</si>
  <si>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</si>
  <si>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</si>
  <si>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</si>
  <si>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</si>
  <si>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</si>
  <si>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</si>
  <si>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</si>
  <si>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</si>
  <si>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</si>
  <si>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</si>
  <si>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</si>
  <si>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</si>
  <si>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</si>
  <si>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</si>
  <si>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</si>
  <si>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</si>
  <si>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</si>
  <si>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</si>
  <si>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</si>
  <si>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</si>
  <si>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</si>
  <si>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</si>
  <si>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</si>
  <si>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</si>
  <si>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</si>
  <si>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</si>
  <si>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</si>
  <si>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</si>
  <si>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</si>
  <si>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</si>
  <si>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</si>
  <si>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</si>
  <si>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</si>
  <si>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</si>
  <si>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</si>
  <si>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</si>
  <si>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</si>
  <si>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</si>
  <si>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</si>
  <si>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</si>
  <si>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</si>
  <si>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</si>
  <si>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</si>
  <si>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</si>
  <si>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</si>
  <si>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</si>
  <si>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</si>
  <si>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</si>
  <si>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</si>
  <si>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</si>
  <si>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</si>
  <si>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</si>
  <si>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</si>
  <si>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</si>
  <si>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</si>
  <si>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</si>
  <si>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</si>
  <si>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</si>
  <si>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</si>
  <si>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</si>
  <si>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</si>
  <si>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</si>
  <si>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</si>
  <si>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</si>
  <si>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</si>
  <si>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</si>
  <si>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</si>
  <si>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</si>
  <si>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</si>
  <si>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</si>
  <si>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</si>
  <si>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</si>
  <si>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</si>
  <si>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</si>
  <si>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</si>
  <si>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</si>
  <si>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</si>
  <si>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</si>
  <si>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</si>
  <si>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</si>
  <si>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</si>
  <si>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</si>
  <si>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</si>
  <si>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</si>
  <si>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</si>
  <si>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</si>
  <si>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</si>
  <si>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</si>
  <si>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</si>
  <si>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</si>
  <si>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</si>
  <si>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</si>
  <si>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</si>
  <si>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</si>
  <si>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</si>
  <si>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</si>
  <si>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</si>
  <si>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</si>
  <si>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</si>
  <si>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</si>
  <si>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</si>
  <si>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</si>
  <si>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</si>
  <si>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</si>
  <si>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</si>
  <si>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</si>
  <si>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</si>
  <si>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</si>
  <si>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</si>
  <si>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</si>
  <si>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</si>
  <si>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</si>
  <si>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</si>
  <si>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</si>
  <si>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</si>
  <si>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</si>
  <si>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</si>
  <si>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</si>
  <si>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</si>
  <si>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</si>
  <si>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</si>
  <si>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</si>
  <si>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</si>
  <si>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</si>
  <si>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</si>
  <si>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</si>
  <si>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</si>
  <si>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</si>
  <si>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</si>
  <si>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</si>
  <si>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</si>
  <si>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</si>
  <si>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</si>
  <si>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</si>
  <si>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</si>
  <si>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</si>
  <si>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</si>
  <si>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</si>
  <si>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</si>
  <si>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</si>
  <si>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</si>
  <si>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</si>
  <si>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</si>
  <si>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</si>
  <si>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</si>
  <si>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</si>
  <si>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</si>
  <si>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</si>
  <si>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</si>
  <si>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</si>
  <si>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</si>
  <si>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</si>
  <si>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</si>
  <si>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</si>
  <si>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</si>
  <si>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</si>
  <si>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</si>
  <si>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</si>
  <si>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</si>
  <si>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</si>
  <si>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</si>
  <si>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</si>
  <si>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</si>
  <si>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</si>
  <si>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</si>
  <si>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</si>
  <si>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</si>
  <si>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</si>
  <si>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</si>
  <si>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</si>
  <si>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</si>
  <si>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</si>
  <si>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</si>
  <si>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</si>
  <si>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</si>
  <si>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</si>
  <si>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</si>
  <si>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</si>
  <si>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</si>
  <si>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</si>
  <si>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</si>
  <si>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</si>
  <si>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</si>
  <si>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</si>
  <si>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</si>
  <si>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</si>
  <si>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</si>
  <si>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</si>
  <si>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</si>
  <si>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</si>
  <si>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</si>
  <si>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</si>
  <si>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</si>
  <si>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</si>
  <si>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</si>
  <si>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</si>
  <si>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</si>
  <si>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</si>
  <si>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</si>
  <si>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</si>
  <si>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</si>
  <si>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</si>
  <si>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</si>
  <si>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</si>
  <si>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</si>
  <si>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</si>
  <si>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</si>
  <si>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</si>
  <si>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</si>
  <si>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</si>
  <si>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</si>
  <si>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</si>
  <si>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</si>
  <si>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</si>
  <si>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</si>
  <si>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</si>
  <si>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</si>
  <si>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</si>
  <si>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</si>
  <si>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</si>
  <si>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</si>
  <si>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</si>
  <si>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</si>
  <si>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</si>
  <si>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</si>
  <si>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</si>
  <si>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</si>
  <si>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</si>
  <si>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</si>
  <si>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</si>
  <si>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</si>
  <si>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</si>
  <si>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</si>
  <si>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</si>
  <si>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</si>
  <si>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</si>
  <si>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</si>
  <si>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</si>
  <si>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</si>
  <si>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</si>
  <si>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</si>
  <si>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</si>
  <si>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</si>
  <si>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</si>
  <si>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</si>
  <si>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</si>
  <si>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</si>
  <si>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</si>
  <si>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</si>
  <si>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</si>
  <si>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</si>
  <si>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</si>
  <si>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</si>
  <si>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</si>
  <si>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</si>
  <si>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</si>
  <si>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</si>
  <si>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</si>
  <si>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</si>
  <si>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</si>
  <si>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</si>
  <si>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</si>
  <si>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</si>
  <si>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</si>
  <si>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</si>
  <si>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</si>
  <si>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</si>
  <si>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</si>
  <si>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</si>
  <si>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</si>
  <si>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</si>
  <si>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</si>
  <si>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</si>
  <si>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</si>
  <si>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</si>
  <si>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</si>
  <si>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</si>
  <si>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</si>
  <si>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</si>
  <si>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</si>
  <si>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</si>
  <si>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</si>
  <si>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</si>
  <si>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</si>
  <si>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</si>
  <si>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</si>
  <si>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</si>
  <si>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</si>
  <si>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</si>
  <si>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</si>
  <si>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</si>
  <si>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</si>
  <si>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</si>
  <si>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</si>
  <si>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</si>
  <si>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</si>
  <si>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</si>
  <si>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</si>
  <si>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</si>
  <si>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</si>
  <si>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</si>
  <si>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</si>
  <si>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</si>
  <si>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</si>
  <si>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</si>
  <si>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</si>
  <si>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</si>
  <si>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</si>
  <si>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</si>
  <si>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</si>
  <si>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</si>
  <si>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</si>
  <si>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</si>
  <si>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</si>
  <si>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</si>
  <si>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</si>
  <si>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</si>
  <si>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</si>
  <si>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</si>
  <si>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</si>
  <si>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</si>
  <si>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</si>
  <si>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</si>
  <si>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</si>
  <si>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</si>
  <si>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</si>
  <si>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</si>
  <si>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</si>
  <si>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</si>
  <si>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</si>
  <si>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</si>
  <si>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</si>
  <si>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</si>
  <si>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</si>
  <si>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</si>
  <si>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</si>
  <si>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</si>
  <si>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</si>
  <si>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</si>
  <si>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</si>
  <si>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</si>
  <si>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</si>
  <si>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</si>
  <si>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</si>
  <si>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</si>
  <si>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</si>
  <si>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</si>
  <si>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</si>
  <si>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</si>
  <si>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</si>
  <si>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</si>
  <si>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</si>
  <si>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</si>
  <si>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</si>
  <si>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</si>
  <si>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</si>
  <si>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</si>
  <si>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</si>
  <si>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</si>
  <si>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</si>
  <si>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</si>
  <si>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</si>
  <si>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</si>
  <si>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</si>
  <si>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</si>
  <si>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</si>
  <si>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</si>
  <si>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</si>
  <si>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</si>
  <si>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</si>
  <si>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</si>
  <si>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</si>
  <si>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</si>
  <si>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</si>
  <si>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</si>
  <si>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</si>
  <si>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</si>
  <si>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</si>
  <si>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</si>
  <si>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</si>
  <si>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</si>
  <si>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</si>
  <si>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</si>
  <si>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</si>
  <si>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</si>
  <si>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</si>
  <si>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</si>
  <si>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</si>
  <si>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</si>
  <si>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</si>
  <si>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</si>
  <si>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</si>
  <si>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</si>
  <si>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</si>
  <si>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</si>
  <si>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</si>
  <si>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</si>
  <si>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</si>
  <si>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</si>
  <si>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</si>
  <si>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</si>
  <si>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</si>
  <si>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</si>
  <si>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</si>
  <si>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</si>
  <si>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</si>
  <si>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</si>
  <si>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</si>
  <si>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</si>
  <si>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</si>
  <si>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</si>
  <si>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</si>
  <si>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</si>
  <si>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</si>
  <si>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</si>
  <si>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</si>
  <si>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</si>
  <si>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</si>
  <si>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</si>
  <si>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</si>
  <si>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</si>
  <si>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</si>
  <si>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</si>
  <si>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</si>
  <si>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</si>
  <si>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</si>
  <si>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</si>
  <si>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</si>
  <si>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</si>
  <si>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</si>
  <si>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</si>
  <si>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</si>
  <si>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</si>
  <si>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</si>
  <si>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</si>
  <si>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</si>
  <si>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</si>
  <si>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</si>
  <si>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</si>
  <si>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</si>
  <si>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</si>
  <si>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</si>
  <si>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</si>
  <si>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</si>
  <si>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</si>
  <si>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</si>
  <si>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</si>
  <si>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</si>
  <si>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</si>
  <si>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</si>
  <si>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</si>
  <si>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</si>
  <si>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</si>
  <si>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</si>
  <si>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</si>
  <si>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</si>
  <si>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</si>
  <si>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</si>
  <si>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</si>
  <si>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</si>
  <si>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</si>
  <si>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</si>
  <si>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</si>
  <si>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</si>
  <si>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</si>
  <si>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</si>
  <si>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</si>
  <si>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</si>
  <si>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</si>
  <si>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</si>
  <si>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</si>
  <si>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</si>
  <si>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</si>
  <si>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</si>
  <si>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</si>
  <si>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</si>
  <si>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</si>
  <si>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</si>
  <si>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</si>
  <si>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</si>
  <si>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</si>
  <si>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</si>
  <si>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</si>
  <si>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</si>
  <si>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</si>
  <si>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</si>
  <si>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</si>
  <si>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</si>
  <si>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</si>
  <si>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</si>
  <si>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</si>
  <si>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</si>
  <si>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</si>
  <si>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</si>
  <si>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</si>
  <si>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</si>
  <si>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</si>
  <si>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</si>
  <si>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</si>
  <si>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</si>
  <si>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</si>
  <si>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</si>
  <si>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</si>
  <si>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</si>
  <si>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</si>
  <si>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</si>
  <si>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</si>
  <si>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</si>
  <si>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</si>
  <si>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</si>
  <si>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</si>
  <si>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</si>
  <si>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</si>
  <si>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</si>
  <si>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</si>
  <si>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</si>
  <si>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</si>
  <si>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</si>
  <si>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</si>
  <si>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</si>
  <si>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</si>
  <si>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</si>
  <si>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</si>
  <si>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</si>
  <si>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</si>
  <si>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</si>
  <si>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</si>
  <si>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</si>
  <si>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</si>
  <si>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</si>
  <si>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</si>
  <si>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</si>
  <si>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</si>
  <si>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</si>
  <si>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</si>
  <si>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</si>
  <si>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</si>
  <si>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</si>
  <si>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</si>
  <si>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</si>
  <si>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</si>
  <si>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</si>
  <si>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</si>
  <si>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</si>
  <si>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</si>
  <si>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</si>
  <si>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</si>
  <si>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</si>
  <si>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</si>
  <si>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</si>
  <si>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</si>
  <si>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</si>
  <si>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</si>
  <si>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</si>
  <si>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</si>
  <si>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</si>
  <si>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</si>
  <si>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</si>
  <si>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</si>
  <si>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</si>
  <si>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</si>
  <si>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</si>
  <si>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</si>
  <si>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</si>
  <si>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</si>
  <si>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</si>
  <si>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</si>
  <si>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</si>
  <si>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</si>
  <si>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</si>
  <si>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</si>
  <si>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</si>
  <si>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</si>
  <si>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</si>
  <si>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</si>
  <si>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</si>
  <si>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</si>
  <si>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</si>
  <si>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</si>
  <si>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</si>
  <si>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</si>
  <si>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</si>
  <si>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</si>
  <si>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</si>
  <si>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</si>
  <si>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</si>
  <si>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</si>
  <si>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</si>
  <si>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</si>
  <si>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</si>
  <si>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</si>
  <si>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</si>
  <si>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</si>
  <si>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</si>
  <si>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</si>
  <si>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</si>
  <si>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</si>
  <si>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</si>
  <si>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</si>
  <si>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</si>
  <si>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</si>
  <si>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</si>
  <si>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</si>
  <si>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</si>
  <si>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</si>
  <si>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</si>
  <si>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</si>
  <si>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</si>
  <si>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</si>
  <si>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</si>
  <si>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</si>
  <si>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</si>
  <si>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</si>
  <si>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</si>
  <si>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</si>
  <si>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</si>
  <si>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</si>
  <si>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</si>
  <si>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</si>
  <si>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</si>
  <si>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</si>
  <si>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</si>
  <si>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</si>
  <si>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</si>
  <si>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</si>
  <si>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</si>
  <si>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</si>
  <si>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</si>
  <si>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</si>
  <si>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</si>
  <si>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</si>
  <si>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</si>
  <si>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</si>
  <si>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</si>
  <si>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</si>
  <si>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</si>
  <si>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</si>
  <si>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</si>
  <si>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</si>
  <si>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</si>
  <si>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</si>
  <si>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</si>
  <si>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</si>
  <si>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</si>
  <si>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</si>
  <si>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</si>
  <si>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</si>
  <si>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</si>
  <si>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</si>
  <si>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</si>
  <si>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</si>
  <si>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</si>
  <si>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</si>
  <si>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</si>
  <si>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</si>
  <si>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</si>
  <si>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</si>
  <si>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</si>
  <si>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</si>
  <si>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</si>
  <si>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</si>
  <si>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</si>
  <si>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</si>
  <si>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</si>
  <si>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</si>
  <si>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</si>
  <si>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</si>
  <si>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</si>
  <si>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</si>
  <si>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</si>
  <si>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</si>
  <si>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</si>
  <si>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</si>
  <si>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</si>
  <si>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</si>
  <si>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</si>
  <si>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</si>
  <si>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</si>
  <si>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</si>
  <si>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</si>
  <si>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</si>
  <si>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</si>
  <si>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</si>
  <si>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</si>
  <si>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</si>
  <si>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</si>
  <si>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</si>
  <si>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</si>
  <si>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</si>
  <si>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</si>
  <si>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</si>
  <si>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</si>
  <si>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</si>
  <si>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</si>
  <si>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</si>
  <si>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</si>
  <si>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</si>
  <si>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</si>
  <si>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</si>
  <si>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</si>
  <si>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</si>
  <si>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</si>
  <si>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</si>
  <si>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</si>
  <si>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</si>
  <si>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</si>
  <si>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</si>
  <si>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</si>
  <si>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</si>
  <si>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</si>
  <si>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</si>
  <si>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</si>
  <si>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</si>
  <si>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</si>
  <si>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</si>
  <si>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</si>
  <si>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</si>
  <si>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</si>
  <si>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</si>
  <si>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</si>
  <si>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</si>
  <si>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</si>
  <si>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</si>
  <si>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</si>
  <si>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</si>
  <si>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</si>
  <si>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</si>
  <si>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</si>
  <si>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</si>
  <si>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</si>
  <si>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</si>
  <si>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</si>
  <si>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</si>
  <si>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</si>
  <si>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</si>
  <si>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</si>
  <si>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</si>
  <si>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</si>
  <si>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</si>
  <si>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</si>
  <si>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</si>
  <si>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</si>
  <si>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</si>
  <si>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</si>
  <si>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</si>
  <si>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</si>
  <si>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</si>
  <si>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</si>
  <si>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</si>
  <si>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</si>
  <si>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</si>
  <si>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</si>
  <si>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</si>
  <si>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</si>
  <si>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</si>
  <si>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</si>
  <si>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</si>
  <si>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</si>
  <si>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</si>
  <si>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</si>
  <si>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</si>
  <si>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</si>
  <si>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</si>
  <si>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</si>
  <si>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</si>
  <si>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</si>
  <si>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</si>
  <si>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</si>
  <si>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</si>
  <si>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</si>
  <si>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</si>
  <si>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</si>
  <si>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</si>
  <si>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</si>
  <si>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</si>
  <si>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</si>
  <si>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</si>
  <si>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</si>
  <si>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</si>
  <si>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</si>
  <si>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</si>
  <si>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</si>
  <si>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</si>
  <si>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</si>
  <si>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</si>
  <si>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</si>
  <si>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</si>
  <si>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</si>
  <si>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</si>
  <si>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</si>
  <si>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</si>
  <si>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</si>
  <si>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</si>
  <si>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</si>
  <si>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</si>
  <si>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</si>
  <si>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</si>
  <si>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</si>
  <si>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</si>
  <si>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</si>
  <si>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</si>
  <si>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</si>
  <si>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</si>
  <si>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</si>
  <si>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</si>
  <si>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</si>
  <si>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</si>
  <si>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</si>
  <si>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</si>
  <si>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</si>
  <si>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</si>
  <si>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</si>
  <si>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</si>
  <si>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</si>
  <si>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</si>
  <si>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</si>
  <si>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</si>
  <si>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</si>
  <si>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</si>
  <si>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</si>
  <si>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</si>
  <si>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</si>
  <si>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</si>
  <si>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</si>
  <si>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</si>
  <si>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</si>
  <si>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</si>
  <si>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</si>
  <si>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</si>
  <si>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</si>
  <si>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</si>
  <si>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</si>
  <si>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</si>
  <si>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</si>
  <si>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</si>
  <si>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</si>
  <si>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</si>
  <si>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</si>
  <si>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</si>
  <si>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</si>
  <si>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</si>
  <si>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</si>
  <si>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</si>
  <si>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</si>
  <si>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</si>
  <si>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</si>
  <si>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</si>
  <si>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</si>
  <si>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</si>
  <si>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</si>
  <si>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</si>
  <si>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</si>
  <si>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</si>
  <si>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</si>
  <si>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</si>
  <si>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</si>
  <si>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</si>
  <si>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</si>
  <si>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</si>
  <si>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</si>
  <si>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</si>
  <si>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</si>
  <si>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</si>
  <si>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</si>
  <si>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</si>
  <si>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</si>
  <si>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</si>
  <si>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</si>
  <si>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</si>
  <si>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</si>
  <si>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</si>
  <si>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</si>
  <si>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</si>
  <si>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</si>
  <si>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</si>
  <si>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</si>
  <si>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</si>
  <si>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</si>
  <si>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</si>
  <si>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</si>
  <si>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</si>
  <si>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</si>
  <si>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</si>
  <si>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</si>
  <si>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</si>
  <si>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</si>
  <si>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</si>
  <si>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</si>
  <si>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</si>
  <si>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</si>
  <si>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</si>
  <si>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</si>
  <si>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</si>
  <si>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</si>
  <si>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</si>
  <si>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</si>
  <si>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</si>
  <si>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</si>
  <si>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</si>
  <si>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</si>
  <si>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</si>
  <si>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</si>
  <si>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</si>
  <si>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</si>
  <si>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</si>
  <si>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</si>
  <si>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</si>
  <si>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</si>
  <si>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</si>
  <si>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</si>
  <si>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</si>
  <si>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</si>
  <si>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</si>
  <si>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</si>
  <si>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</si>
  <si>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</si>
  <si>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</si>
  <si>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</si>
  <si>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</si>
  <si>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</si>
  <si>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</si>
  <si>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</si>
  <si>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</si>
  <si>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</si>
  <si>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</si>
  <si>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</si>
  <si>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</si>
  <si>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</si>
  <si>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</si>
  <si>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</si>
  <si>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</si>
  <si>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</si>
  <si>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</si>
  <si>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</si>
  <si>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</si>
  <si>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</si>
  <si>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</si>
  <si>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</si>
  <si>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</si>
  <si>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</si>
  <si>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</si>
  <si>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</si>
  <si>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</si>
  <si>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</si>
  <si>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</si>
  <si>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</si>
  <si>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</si>
  <si>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</si>
  <si>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</si>
  <si>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</si>
  <si>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</si>
  <si>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</si>
  <si>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</si>
  <si>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</si>
  <si>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</si>
  <si>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</si>
  <si>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</si>
  <si>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</si>
  <si>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</si>
  <si>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</si>
  <si>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</si>
  <si>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</si>
  <si>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</si>
  <si>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</si>
  <si>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</si>
  <si>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</si>
  <si>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</si>
  <si>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</si>
  <si>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</si>
  <si>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</si>
  <si>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</si>
  <si>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</si>
  <si>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</si>
  <si>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</si>
  <si>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</si>
  <si>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</si>
  <si>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</si>
  <si>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</si>
  <si>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</si>
  <si>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</si>
  <si>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</si>
  <si>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</si>
  <si>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</si>
  <si>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</si>
  <si>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</si>
  <si>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</si>
  <si>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</si>
  <si>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</si>
  <si>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</si>
  <si>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</si>
  <si>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</si>
  <si>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</si>
  <si>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</si>
  <si>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</si>
  <si>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</si>
  <si>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</si>
  <si>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</si>
  <si>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</si>
  <si>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</si>
  <si>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</si>
  <si>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</si>
  <si>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</si>
  <si>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</si>
  <si>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</si>
  <si>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</si>
  <si>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</si>
  <si>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</si>
  <si>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</si>
  <si>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</si>
  <si>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</si>
  <si>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</si>
  <si>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</si>
  <si>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</si>
  <si>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</si>
  <si>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</si>
  <si>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</si>
  <si>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</si>
  <si>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</si>
  <si>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</si>
  <si>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</si>
  <si>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</si>
  <si>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</si>
  <si>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</si>
  <si>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</si>
  <si>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</si>
  <si>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</si>
  <si>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</si>
  <si>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</si>
  <si>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</si>
  <si>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</si>
  <si>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</si>
  <si>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</si>
  <si>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</si>
  <si>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</si>
  <si>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</si>
  <si>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</si>
  <si>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</si>
  <si>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</si>
  <si>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</si>
  <si>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</si>
  <si>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</si>
  <si>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</si>
  <si>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</si>
  <si>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</si>
  <si>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</si>
  <si>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</si>
  <si>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</si>
  <si>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</si>
  <si>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</si>
  <si>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</si>
  <si>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</si>
  <si>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</si>
  <si>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</si>
  <si>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</si>
  <si>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</si>
  <si>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</si>
  <si>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</si>
  <si>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</si>
  <si>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</si>
  <si>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</si>
  <si>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</si>
  <si>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</si>
  <si>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</si>
  <si>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</si>
  <si>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</si>
  <si>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</si>
  <si>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</si>
  <si>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</si>
  <si>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</si>
  <si>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</si>
  <si>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</si>
  <si>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</si>
  <si>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</si>
  <si>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</si>
  <si>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</si>
  <si>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</si>
  <si>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</si>
  <si>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</si>
  <si>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</si>
  <si>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</si>
  <si>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</si>
  <si>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</si>
  <si>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</si>
  <si>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</si>
  <si>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</si>
  <si>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</si>
  <si>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</si>
  <si>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</si>
  <si>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</si>
  <si>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</si>
  <si>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</si>
  <si>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</si>
  <si>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</si>
  <si>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</si>
  <si>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</si>
  <si>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</si>
  <si>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</si>
  <si>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</si>
  <si>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</si>
  <si>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</si>
  <si>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</si>
  <si>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</si>
  <si>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</si>
  <si>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</si>
  <si>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</si>
  <si>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</si>
  <si>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</si>
  <si>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</si>
  <si>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</si>
  <si>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</si>
  <si>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</si>
  <si>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</si>
  <si>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</si>
  <si>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</si>
  <si>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</si>
  <si>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</si>
  <si>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</si>
  <si>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</si>
  <si>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</si>
  <si>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</si>
  <si>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</si>
  <si>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</si>
  <si>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</si>
  <si>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</si>
  <si>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</si>
  <si>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</si>
  <si>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</si>
  <si>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</si>
  <si>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</si>
  <si>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</si>
  <si>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</si>
  <si>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</si>
  <si>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</si>
  <si>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</si>
  <si>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</si>
  <si>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</si>
  <si>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</si>
  <si>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</si>
  <si>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</si>
  <si>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</si>
  <si>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</si>
  <si>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</si>
  <si>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</si>
  <si>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</si>
  <si>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</si>
  <si>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</si>
  <si>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</si>
  <si>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</si>
  <si>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</si>
  <si>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</si>
  <si>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</si>
  <si>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</si>
  <si>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</si>
  <si>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</si>
  <si>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</si>
  <si>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</si>
  <si>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</si>
  <si>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</si>
  <si>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</si>
  <si>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</si>
  <si>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</si>
  <si>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</si>
  <si>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</si>
  <si>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</si>
  <si>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</si>
  <si>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</si>
  <si>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</si>
  <si>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</si>
  <si>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</si>
  <si>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</si>
  <si>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</si>
  <si>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</si>
  <si>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</si>
  <si>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</si>
  <si>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</si>
  <si>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</si>
  <si>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</si>
  <si>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</si>
  <si>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</si>
  <si>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</si>
  <si>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</si>
  <si>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</si>
  <si>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</si>
  <si>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</si>
  <si>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</si>
  <si>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</si>
  <si>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</si>
  <si>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</si>
  <si>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</si>
  <si>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</si>
  <si>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</si>
  <si>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</si>
  <si>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</si>
  <si>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</si>
  <si>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</si>
  <si>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</si>
  <si>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</si>
  <si>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</si>
  <si>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</si>
  <si>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</si>
  <si>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</si>
  <si>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</si>
  <si>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</si>
  <si>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</si>
  <si>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</si>
  <si>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</si>
  <si>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</si>
  <si>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</si>
  <si>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</si>
  <si>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</si>
  <si>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</si>
  <si>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</si>
  <si>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</si>
  <si>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</si>
  <si>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</si>
  <si>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</si>
  <si>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</si>
  <si>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</si>
  <si>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</si>
  <si>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</si>
  <si>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</si>
  <si>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</si>
  <si>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</si>
  <si>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</si>
  <si>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</si>
  <si>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</si>
  <si>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</si>
  <si>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</si>
  <si>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</si>
  <si>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</si>
  <si>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</si>
  <si>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</si>
  <si>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</si>
  <si>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</si>
  <si>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</si>
  <si>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</si>
  <si>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</si>
  <si>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</si>
  <si>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</si>
  <si>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</si>
  <si>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</si>
  <si>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</si>
  <si>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</si>
  <si>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</si>
  <si>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</si>
  <si>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</si>
  <si>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</si>
  <si>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</si>
  <si>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</si>
  <si>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</si>
  <si>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</si>
  <si>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</si>
  <si>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</si>
  <si>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</si>
  <si>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</si>
  <si>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</si>
  <si>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</si>
  <si>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</si>
  <si>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</si>
  <si>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</si>
  <si>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</si>
  <si>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</si>
  <si>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</si>
  <si>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</si>
  <si>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</si>
  <si>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</si>
  <si>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</si>
  <si>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</si>
  <si>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</si>
  <si>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</si>
  <si>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</si>
  <si>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</si>
  <si>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</si>
  <si>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</si>
  <si>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</si>
  <si>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</si>
  <si>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</si>
  <si>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</si>
  <si>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</si>
  <si>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</si>
  <si>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</si>
  <si>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</si>
  <si>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</si>
  <si>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</si>
  <si>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</si>
  <si>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</si>
  <si>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</si>
  <si>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</si>
  <si>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</si>
  <si>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</si>
  <si>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</si>
  <si>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</si>
  <si>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</si>
  <si>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</si>
  <si>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</si>
  <si>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</si>
  <si>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</si>
  <si>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</si>
  <si>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</si>
  <si>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</si>
  <si>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</si>
  <si>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</si>
  <si>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</si>
  <si>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</si>
  <si>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</si>
  <si>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</si>
  <si>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</si>
  <si>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</si>
  <si>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</si>
  <si>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</si>
  <si>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</si>
  <si>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</si>
  <si>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</si>
  <si>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</si>
  <si>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</si>
  <si>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</si>
  <si>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</si>
  <si>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</si>
  <si>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</si>
  <si>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</si>
  <si>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</si>
  <si>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</si>
  <si>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</si>
  <si>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</si>
  <si>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</si>
  <si>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</si>
  <si>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</si>
  <si>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</si>
  <si>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</si>
  <si>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</si>
  <si>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</si>
  <si>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</si>
  <si>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</si>
  <si>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</si>
  <si>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</si>
  <si>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</si>
  <si>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</si>
  <si>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</si>
  <si>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</si>
  <si>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</si>
  <si>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</si>
  <si>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</si>
  <si>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</si>
  <si>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</si>
  <si>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</si>
  <si>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</si>
  <si>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</si>
  <si>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</si>
  <si>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</si>
  <si>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</si>
  <si>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</si>
  <si>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</si>
  <si>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</si>
  <si>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</si>
  <si>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</si>
  <si>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</si>
  <si>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</si>
  <si>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</si>
  <si>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</si>
  <si>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</si>
  <si>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</si>
  <si>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</si>
  <si>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</si>
  <si>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</si>
  <si>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</si>
  <si>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</si>
  <si>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</si>
  <si>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</si>
  <si>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</si>
  <si>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</si>
  <si>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</si>
  <si>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</si>
  <si>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</si>
  <si>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</si>
  <si>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</si>
  <si>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</si>
  <si>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</si>
  <si>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</si>
  <si>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</si>
  <si>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</si>
  <si>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</si>
  <si>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</si>
  <si>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</si>
  <si>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</si>
  <si>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</si>
  <si>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</si>
  <si>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</si>
  <si>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</si>
  <si>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</si>
  <si>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</si>
  <si>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</si>
  <si>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</si>
  <si>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</si>
  <si>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</si>
  <si>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</si>
  <si>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</si>
  <si>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</si>
  <si>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</si>
  <si>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</si>
  <si>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</si>
  <si>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</si>
  <si>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</si>
  <si>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</si>
  <si>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</si>
  <si>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</si>
  <si>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</si>
  <si>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</si>
  <si>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</si>
  <si>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</si>
  <si>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</si>
  <si>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</si>
  <si>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</si>
  <si>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</si>
  <si>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</si>
  <si>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</si>
  <si>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</si>
  <si>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</si>
  <si>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</si>
  <si>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</si>
  <si>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</si>
  <si>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</si>
  <si>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</si>
  <si>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</si>
  <si>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</si>
  <si>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</si>
  <si>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</si>
  <si>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</si>
  <si>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</si>
  <si>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</si>
  <si>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</si>
  <si>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</si>
  <si>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</si>
  <si>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</si>
  <si>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</si>
  <si>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</si>
  <si>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</si>
  <si>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</si>
  <si>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</si>
  <si>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</si>
  <si>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</si>
  <si>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</si>
  <si>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</si>
  <si>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</si>
  <si>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</si>
  <si>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</si>
  <si>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</si>
  <si>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</si>
  <si>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</si>
  <si>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</si>
  <si>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</si>
  <si>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</si>
  <si>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</si>
  <si>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</si>
  <si>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</si>
  <si>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</si>
  <si>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</si>
  <si>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</si>
  <si>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</si>
  <si>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</si>
  <si>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</si>
  <si>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</si>
  <si>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</si>
  <si>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</si>
  <si>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</si>
  <si>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</si>
  <si>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</si>
  <si>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</si>
  <si>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</si>
  <si>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</si>
  <si>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</si>
  <si>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</si>
  <si>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</si>
  <si>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</si>
  <si>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</si>
  <si>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</si>
  <si>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</si>
  <si>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</si>
  <si>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</si>
  <si>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</si>
  <si>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</si>
  <si>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</si>
  <si>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</si>
  <si>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</si>
  <si>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</si>
  <si>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</si>
  <si>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</si>
  <si>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</si>
  <si>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</si>
  <si>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</si>
  <si>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</si>
  <si>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</si>
  <si>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</si>
  <si>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</si>
  <si>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</si>
  <si>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</si>
  <si>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</si>
  <si>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</si>
  <si>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</si>
  <si>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</si>
  <si>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</si>
  <si>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</si>
  <si>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</si>
  <si>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</si>
  <si>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</si>
  <si>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</si>
  <si>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</si>
  <si>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</si>
  <si>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</si>
  <si>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</si>
  <si>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</si>
  <si>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</si>
  <si>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</si>
  <si>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</si>
  <si>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</si>
  <si>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</si>
  <si>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</si>
  <si>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</si>
  <si>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</si>
  <si>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</si>
  <si>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</si>
  <si>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</si>
  <si>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</si>
  <si>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</si>
  <si>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</si>
  <si>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</si>
  <si>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</si>
  <si>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</si>
  <si>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</si>
  <si>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</si>
  <si>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</si>
  <si>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</si>
  <si>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</si>
  <si>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</si>
  <si>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</si>
  <si>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</si>
  <si>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</si>
  <si>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</si>
  <si>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</si>
  <si>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</si>
  <si>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</si>
  <si>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</si>
  <si>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</si>
  <si>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</si>
  <si>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</si>
  <si>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</si>
  <si>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</si>
  <si>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</si>
  <si>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</si>
  <si>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</si>
  <si>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</si>
  <si>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</si>
  <si>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</si>
  <si>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</si>
  <si>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</si>
  <si>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</si>
  <si>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</si>
  <si>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</si>
  <si>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</si>
  <si>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</si>
  <si>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</si>
  <si>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</si>
  <si>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</si>
  <si>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</si>
  <si>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</si>
  <si>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</si>
  <si>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</si>
  <si>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</si>
  <si>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</si>
  <si>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</si>
  <si>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</si>
  <si>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</si>
  <si>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</si>
  <si>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</si>
  <si>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</si>
  <si>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</si>
  <si>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</si>
  <si>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</si>
  <si>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</si>
  <si>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</si>
  <si>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</si>
  <si>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</si>
  <si>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</si>
  <si>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</si>
  <si>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</si>
  <si>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</si>
  <si>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</si>
  <si>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</si>
  <si>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</si>
  <si>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</si>
  <si>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</si>
  <si>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</si>
  <si>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</si>
  <si>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</si>
  <si>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</si>
  <si>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</si>
  <si>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</si>
  <si>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</si>
  <si>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</si>
  <si>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</si>
  <si>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</si>
  <si>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</si>
  <si>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</si>
  <si>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</si>
  <si>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</si>
  <si>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</si>
  <si>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</si>
  <si>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</si>
  <si>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</si>
  <si>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</si>
  <si>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</si>
  <si>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</si>
  <si>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</si>
  <si>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</si>
  <si>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</si>
  <si>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</si>
  <si>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</si>
  <si>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</si>
  <si>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</si>
  <si>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</si>
  <si>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</si>
  <si>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</si>
  <si>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</si>
  <si>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</si>
  <si>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</si>
  <si>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</si>
  <si>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</si>
  <si>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</si>
  <si>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</si>
  <si>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</si>
  <si>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</si>
  <si>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</si>
  <si>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</si>
  <si>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</si>
  <si>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</si>
  <si>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</si>
  <si>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</si>
  <si>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</si>
  <si>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</si>
  <si>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</si>
  <si>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</si>
  <si>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</si>
  <si>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</si>
  <si>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</si>
  <si>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</si>
  <si>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</si>
  <si>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</si>
  <si>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</si>
  <si>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</si>
  <si>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</si>
  <si>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</si>
  <si>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</si>
  <si>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</si>
  <si>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</si>
  <si>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</si>
  <si>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</si>
  <si>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</si>
  <si>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</si>
  <si>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</si>
  <si>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</si>
  <si>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</si>
  <si>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</si>
  <si>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</si>
  <si>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</si>
  <si>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</si>
  <si>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</si>
  <si>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</si>
  <si>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</si>
  <si>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</si>
  <si>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</si>
  <si>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</si>
  <si>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</si>
  <si>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</si>
  <si>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</si>
  <si>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</si>
  <si>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</si>
  <si>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</si>
  <si>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</si>
  <si>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</si>
  <si>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</si>
  <si>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</si>
  <si>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</si>
  <si>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</si>
  <si>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</si>
  <si>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</si>
  <si>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</si>
  <si>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</si>
  <si>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</si>
  <si>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</si>
  <si>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</si>
  <si>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</si>
  <si>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</si>
  <si>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</si>
  <si>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</si>
  <si>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</si>
  <si>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</si>
  <si>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</si>
  <si>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</si>
  <si>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</si>
  <si>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</si>
  <si>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</si>
  <si>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</si>
  <si>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</si>
  <si>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</si>
  <si>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</si>
  <si>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</si>
  <si>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</si>
  <si>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</si>
  <si>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</si>
  <si>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</si>
  <si>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</si>
  <si>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</si>
  <si>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</si>
  <si>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</si>
  <si>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</si>
  <si>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</si>
  <si>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</si>
  <si>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</si>
  <si>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</si>
  <si>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</si>
  <si>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</si>
  <si>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</si>
  <si>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</si>
  <si>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</si>
  <si>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</si>
  <si>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</si>
  <si>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</si>
  <si>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</si>
  <si>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</si>
  <si>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</si>
  <si>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</si>
  <si>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</si>
  <si>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</si>
  <si>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</si>
  <si>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</si>
  <si>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</si>
  <si>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</si>
  <si>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</si>
  <si>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</si>
  <si>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</si>
  <si>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</si>
  <si>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</si>
  <si>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</si>
  <si>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</si>
  <si>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</si>
  <si>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</si>
  <si>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</si>
  <si>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</si>
  <si>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</si>
  <si>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</si>
  <si>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</si>
  <si>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</si>
  <si>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</si>
  <si>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</si>
  <si>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</si>
  <si>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</si>
  <si>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</si>
  <si>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</si>
  <si>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</si>
  <si>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</si>
  <si>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</si>
  <si>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</si>
  <si>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</si>
  <si>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</si>
  <si>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</si>
  <si>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</si>
  <si>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</si>
  <si>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</si>
  <si>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</si>
  <si>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</si>
  <si>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</si>
  <si>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</si>
  <si>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</si>
  <si>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</si>
  <si>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</si>
  <si>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</si>
  <si>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</si>
  <si>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</si>
  <si>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</si>
  <si>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</si>
  <si>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</si>
  <si>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</si>
  <si>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</si>
  <si>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</si>
  <si>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</si>
  <si>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</si>
  <si>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</si>
  <si>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</si>
  <si>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</si>
  <si>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</si>
  <si>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</si>
  <si>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</si>
  <si>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</si>
  <si>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</si>
  <si>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</si>
  <si>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</si>
  <si>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</si>
  <si>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</si>
  <si>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</si>
  <si>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</si>
  <si>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</si>
  <si>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</si>
  <si>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</si>
  <si>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</si>
  <si>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</si>
  <si>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</si>
  <si>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</si>
  <si>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</si>
  <si>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</si>
  <si>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</si>
  <si>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</si>
  <si>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</si>
  <si>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</si>
  <si>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</si>
  <si>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</si>
  <si>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</si>
  <si>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</si>
  <si>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</si>
  <si>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</si>
  <si>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</si>
  <si>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</si>
  <si>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</si>
  <si>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</si>
  <si>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</si>
  <si>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</si>
  <si>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</si>
  <si>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</si>
  <si>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</si>
  <si>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</si>
  <si>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</si>
  <si>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</si>
  <si>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</si>
  <si>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</si>
  <si>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</si>
  <si>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</si>
  <si>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</si>
  <si>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</si>
  <si>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</si>
  <si>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</si>
  <si>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</si>
  <si>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</si>
  <si>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</si>
  <si>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</si>
  <si>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</si>
  <si>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</si>
  <si>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</si>
  <si>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</si>
  <si>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</si>
  <si>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</si>
  <si>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</si>
  <si>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</si>
  <si>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</si>
  <si>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</si>
  <si>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</si>
  <si>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</si>
  <si>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</si>
  <si>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</si>
  <si>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</si>
  <si>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</si>
  <si>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</si>
  <si>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</si>
  <si>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</si>
  <si>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</si>
  <si>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</si>
  <si>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</si>
  <si>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</si>
  <si>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</si>
  <si>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</si>
  <si>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</si>
  <si>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</si>
  <si>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</si>
  <si>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</si>
  <si>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</si>
  <si>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</si>
  <si>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</si>
  <si>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</si>
  <si>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</si>
  <si>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</si>
  <si>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</si>
  <si>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</si>
  <si>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</si>
  <si>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</si>
  <si>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</si>
  <si>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</si>
  <si>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</si>
  <si>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</si>
  <si>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</si>
  <si>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</si>
  <si>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</si>
  <si>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</si>
  <si>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</si>
  <si>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</si>
  <si>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</si>
  <si>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</si>
  <si>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</si>
  <si>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</si>
  <si>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</si>
  <si>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</si>
  <si>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</si>
  <si>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</si>
  <si>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</si>
  <si>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</si>
  <si>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</si>
  <si>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</si>
  <si>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</si>
  <si>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</si>
  <si>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</si>
  <si>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</si>
  <si>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</si>
  <si>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</si>
  <si>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</si>
  <si>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</si>
  <si>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</si>
  <si>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</si>
  <si>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</si>
  <si>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</si>
  <si>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</si>
  <si>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</si>
  <si>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</si>
  <si>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</si>
  <si>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</si>
  <si>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</si>
  <si>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</si>
  <si>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</si>
  <si>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</si>
  <si>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</si>
  <si>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</si>
  <si>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</si>
  <si>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</si>
  <si>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</si>
  <si>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</si>
  <si>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</si>
  <si>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</si>
  <si>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</si>
  <si>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</si>
  <si>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</si>
  <si>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</si>
  <si>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</si>
  <si>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</si>
  <si>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</si>
  <si>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</si>
  <si>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</si>
  <si>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</si>
  <si>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</si>
  <si>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</si>
  <si>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</si>
  <si>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</si>
  <si>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</si>
  <si>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</si>
  <si>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</si>
  <si>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</si>
  <si>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</si>
  <si>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</si>
  <si>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</si>
  <si>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</si>
  <si>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</si>
  <si>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</si>
  <si>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</si>
  <si>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</si>
  <si>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</si>
  <si>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</si>
  <si>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</si>
  <si>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</si>
  <si>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</si>
  <si>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</si>
  <si>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</si>
  <si>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</si>
  <si>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</si>
  <si>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</si>
  <si>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</si>
  <si>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</si>
  <si>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</si>
  <si>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</si>
  <si>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</si>
  <si>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</si>
  <si>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</si>
  <si>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</si>
  <si>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</si>
  <si>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</si>
  <si>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</si>
  <si>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</si>
  <si>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</si>
  <si>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</si>
  <si>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</si>
  <si>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</si>
  <si>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</si>
  <si>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</si>
  <si>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</si>
  <si>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</si>
  <si>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</si>
  <si>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</si>
  <si>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</si>
  <si>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</si>
  <si>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</si>
  <si>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</si>
  <si>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</si>
  <si>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</si>
  <si>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</si>
  <si>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</si>
  <si>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</si>
  <si>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</si>
  <si>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</si>
  <si>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</si>
  <si>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</si>
  <si>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</si>
  <si>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</si>
  <si>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</si>
  <si>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</si>
  <si>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</si>
  <si>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</si>
  <si>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</si>
  <si>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</si>
  <si>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</si>
  <si>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</si>
  <si>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</si>
  <si>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</si>
  <si>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</si>
  <si>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</si>
  <si>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</si>
  <si>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</si>
  <si>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</si>
  <si>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</si>
  <si>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</si>
  <si>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</si>
  <si>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</si>
  <si>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</si>
  <si>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</si>
  <si>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</si>
  <si>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</si>
  <si>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</si>
  <si>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</si>
  <si>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</si>
  <si>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</si>
  <si>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</si>
  <si>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</si>
  <si>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</si>
  <si>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</si>
  <si>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</si>
  <si>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</si>
  <si>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</si>
  <si>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</si>
  <si>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</si>
  <si>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</si>
  <si>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</si>
  <si>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</si>
  <si>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</si>
  <si>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</si>
  <si>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</si>
  <si>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</si>
  <si>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</si>
  <si>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</si>
  <si>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</si>
  <si>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</si>
  <si>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</si>
  <si>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</si>
  <si>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</si>
  <si>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</si>
  <si>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</si>
  <si>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</si>
  <si>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</si>
  <si>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</si>
  <si>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</si>
  <si>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</si>
  <si>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</si>
  <si>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</si>
  <si>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</si>
  <si>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</si>
  <si>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</si>
  <si>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</si>
  <si>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</si>
  <si>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</si>
  <si>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</si>
  <si>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</si>
  <si>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</si>
  <si>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</si>
  <si>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</si>
  <si>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</si>
  <si>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</si>
  <si>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</si>
  <si>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</si>
  <si>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</si>
  <si>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</si>
  <si>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</si>
  <si>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</si>
  <si>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</si>
  <si>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</si>
  <si>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</si>
  <si>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</si>
  <si>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</si>
  <si>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</si>
  <si>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</si>
  <si>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</si>
  <si>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</si>
  <si>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</si>
  <si>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</si>
  <si>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</si>
  <si>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</si>
  <si>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</si>
  <si>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</si>
  <si>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</si>
  <si>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</si>
  <si>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</si>
  <si>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</si>
  <si>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</si>
  <si>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</si>
  <si>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</si>
  <si>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</si>
  <si>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</si>
  <si>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</si>
  <si>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</si>
  <si>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</si>
  <si>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</si>
  <si>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</si>
  <si>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</si>
  <si>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</si>
  <si>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</si>
  <si>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</si>
  <si>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</si>
  <si>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</si>
  <si>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</si>
  <si>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</si>
  <si>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</si>
  <si>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</si>
  <si>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</si>
  <si>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</si>
  <si>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</si>
  <si>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</si>
  <si>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</si>
  <si>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</si>
  <si>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</si>
  <si>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</si>
  <si>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</si>
  <si>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</si>
  <si>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</si>
  <si>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</si>
  <si>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</si>
  <si>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</si>
  <si>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</si>
  <si>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</si>
  <si>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</si>
  <si>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</si>
  <si>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</si>
  <si>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</si>
  <si>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</si>
  <si>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</si>
  <si>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</si>
  <si>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</si>
  <si>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</si>
  <si>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</si>
  <si>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</si>
  <si>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</si>
  <si>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</si>
  <si>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</si>
  <si>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</si>
  <si>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</si>
  <si>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</si>
  <si>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</si>
  <si>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</si>
  <si>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</si>
  <si>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</si>
  <si>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</si>
  <si>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</si>
  <si>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</si>
  <si>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</si>
  <si>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</si>
  <si>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</si>
  <si>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</si>
  <si>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</si>
  <si>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</si>
  <si>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</si>
  <si>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</si>
  <si>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</si>
  <si>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</si>
  <si>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</si>
  <si>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</si>
  <si>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</si>
  <si>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</si>
  <si>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</si>
  <si>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</si>
  <si>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</si>
  <si>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</si>
  <si>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</si>
  <si>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</si>
  <si>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</si>
  <si>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</si>
  <si>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</si>
  <si>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</si>
  <si>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</si>
  <si>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</si>
  <si>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</si>
  <si>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</si>
  <si>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</si>
  <si>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</si>
  <si>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</si>
  <si>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</si>
  <si>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</si>
  <si>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</si>
  <si>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</si>
  <si>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</si>
  <si>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</si>
  <si>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</si>
  <si>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</si>
  <si>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</si>
  <si>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</si>
  <si>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</si>
  <si>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</si>
  <si>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</si>
  <si>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</si>
  <si>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</si>
  <si>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</si>
  <si>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</si>
  <si>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</si>
  <si>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</si>
  <si>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</si>
  <si>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</si>
  <si>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</si>
  <si>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</si>
  <si>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</si>
  <si>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</si>
  <si>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</si>
  <si>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</si>
  <si>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</si>
  <si>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</si>
  <si>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</si>
  <si>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</si>
  <si>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</si>
  <si>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</si>
  <si>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</si>
  <si>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</si>
  <si>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</si>
  <si>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</si>
  <si>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</si>
  <si>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</si>
  <si>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</si>
  <si>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</si>
  <si>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</si>
  <si>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</si>
  <si>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</si>
  <si>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</si>
  <si>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</si>
  <si>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</si>
  <si>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</si>
  <si>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</si>
  <si>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</si>
  <si>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</si>
  <si>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</si>
  <si>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</si>
  <si>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</si>
  <si>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</si>
  <si>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</si>
  <si>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</si>
  <si>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</si>
  <si>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</si>
  <si>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</si>
  <si>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</si>
  <si>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</si>
  <si>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</si>
  <si>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</si>
  <si>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</si>
  <si>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</si>
  <si>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</si>
  <si>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</si>
  <si>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</si>
  <si>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</si>
  <si>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</si>
  <si>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</si>
  <si>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</si>
  <si>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</si>
  <si>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</si>
  <si>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</si>
  <si>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</si>
  <si>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</si>
  <si>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</si>
  <si>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</si>
  <si>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</si>
  <si>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</si>
  <si>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</si>
  <si>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</si>
  <si>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</si>
  <si>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</si>
  <si>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</si>
  <si>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</si>
  <si>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</si>
  <si>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</si>
  <si>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</si>
  <si>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</si>
  <si>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</si>
  <si>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</si>
  <si>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</si>
  <si>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</si>
  <si>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</si>
  <si>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</si>
  <si>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</si>
  <si>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</si>
  <si>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</si>
  <si>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</si>
  <si>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</si>
  <si>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</si>
  <si>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</si>
  <si>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</si>
  <si>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</si>
  <si>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</si>
  <si>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</si>
  <si>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</si>
  <si>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</si>
  <si>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</si>
  <si>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</si>
  <si>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</si>
  <si>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</si>
  <si>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</si>
  <si>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</si>
  <si>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</si>
  <si>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</si>
  <si>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</si>
  <si>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</si>
  <si>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</si>
  <si>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</si>
  <si>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</si>
  <si>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</si>
  <si>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</si>
  <si>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</si>
  <si>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</si>
  <si>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</si>
  <si>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</si>
  <si>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</si>
  <si>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</si>
  <si>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</si>
  <si>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</si>
  <si>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</si>
  <si>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</si>
  <si>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</si>
  <si>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</si>
  <si>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</si>
  <si>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</si>
  <si>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</si>
  <si>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</si>
  <si>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</si>
  <si>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</si>
  <si>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</si>
  <si>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</si>
  <si>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</si>
  <si>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</si>
  <si>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</si>
  <si>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</si>
  <si>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</si>
  <si>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</si>
  <si>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</si>
  <si>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</si>
  <si>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</si>
  <si>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</si>
  <si>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</si>
  <si>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</si>
  <si>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</si>
  <si>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</si>
  <si>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</si>
  <si>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</si>
  <si>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</si>
  <si>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</si>
  <si>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</si>
  <si>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</si>
  <si>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</si>
  <si>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</si>
  <si>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</si>
  <si>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</si>
  <si>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</si>
  <si>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</si>
  <si>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</si>
  <si>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</si>
  <si>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</si>
  <si>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</si>
  <si>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</si>
  <si>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</si>
  <si>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</si>
  <si>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</si>
  <si>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</si>
  <si>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</si>
  <si>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</si>
  <si>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</si>
  <si>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</si>
  <si>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</si>
  <si>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</si>
  <si>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</si>
  <si>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</si>
  <si>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</si>
  <si>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</si>
  <si>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</si>
  <si>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</si>
  <si>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</si>
  <si>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</si>
  <si>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</si>
  <si>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</si>
  <si>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</si>
  <si>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</si>
  <si>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</si>
  <si>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</si>
  <si>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</si>
  <si>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</si>
  <si>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</si>
  <si>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</si>
  <si>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</si>
  <si>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</si>
  <si>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</si>
  <si>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</si>
  <si>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</si>
  <si>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</si>
  <si>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</si>
  <si>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</si>
  <si>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</si>
  <si>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</si>
  <si>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</si>
  <si>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</si>
  <si>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</si>
  <si>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</si>
  <si>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</si>
  <si>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</si>
  <si>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</si>
  <si>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</si>
  <si>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</si>
  <si>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</si>
  <si>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</si>
  <si>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</si>
  <si>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</si>
  <si>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</si>
  <si>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</si>
  <si>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</si>
  <si>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</si>
  <si>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</si>
  <si>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</si>
  <si>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</si>
  <si>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</si>
  <si>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</si>
  <si>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</si>
  <si>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</si>
  <si>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</si>
  <si>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</si>
  <si>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</si>
  <si>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</si>
  <si>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</si>
  <si>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</si>
  <si>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</si>
  <si>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</si>
  <si>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</si>
  <si>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</si>
  <si>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</si>
  <si>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</si>
  <si>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</si>
  <si>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</si>
  <si>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</si>
  <si>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</si>
  <si>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</si>
  <si>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</si>
  <si>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</si>
  <si>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</si>
  <si>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</si>
  <si>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</si>
  <si>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</si>
  <si>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</si>
  <si>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</si>
  <si>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</si>
  <si>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</si>
  <si>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</si>
  <si>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</si>
  <si>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</si>
  <si>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</si>
  <si>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</si>
  <si>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</si>
  <si>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</si>
  <si>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</si>
  <si>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</si>
  <si>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</si>
  <si>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</si>
  <si>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</si>
  <si>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</si>
  <si>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</si>
  <si>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</si>
  <si>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</si>
  <si>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</si>
  <si>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</si>
  <si>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</si>
  <si>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</si>
  <si>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</si>
  <si>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</si>
  <si>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</si>
  <si>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</si>
  <si>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</si>
  <si>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</si>
  <si>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</si>
  <si>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</si>
  <si>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</si>
  <si>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</si>
  <si>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</si>
  <si>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</si>
  <si>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</si>
  <si>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</si>
  <si>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</si>
  <si>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</si>
  <si>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</si>
  <si>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</si>
  <si>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</si>
  <si>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</si>
  <si>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</si>
  <si>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</si>
  <si>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</si>
  <si>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</si>
  <si>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</si>
  <si>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</si>
  <si>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</si>
  <si>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</si>
  <si>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</si>
  <si>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</si>
  <si>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</si>
  <si>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</si>
  <si>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</si>
  <si>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</si>
  <si>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</si>
  <si>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</si>
  <si>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</si>
  <si>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</si>
  <si>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</si>
  <si>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</si>
  <si>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</si>
  <si>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</si>
  <si>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</si>
  <si>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</si>
  <si>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</si>
  <si>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</si>
  <si>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</si>
  <si>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</si>
  <si>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</si>
  <si>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</si>
  <si>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</si>
  <si>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</si>
  <si>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</si>
  <si>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</si>
  <si>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</si>
  <si>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</si>
  <si>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</si>
  <si>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</si>
  <si>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</si>
  <si>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</si>
  <si>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</si>
  <si>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</si>
  <si>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</si>
  <si>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</si>
  <si>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</si>
  <si>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</si>
  <si>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</si>
  <si>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</si>
  <si>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</si>
  <si>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</si>
  <si>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</si>
  <si>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</si>
  <si>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</si>
  <si>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</si>
  <si>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</si>
  <si>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</si>
  <si>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</si>
  <si>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</si>
  <si>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</si>
  <si>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</si>
  <si>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</si>
  <si>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</si>
  <si>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</si>
  <si>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</si>
  <si>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</si>
  <si>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</si>
  <si>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</si>
  <si>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</si>
  <si>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</si>
  <si>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</si>
  <si>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</si>
  <si>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</si>
  <si>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</si>
  <si>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</si>
  <si>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</si>
  <si>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</si>
  <si>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</si>
  <si>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</si>
  <si>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</si>
  <si>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</si>
  <si>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</si>
  <si>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</si>
  <si>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</si>
  <si>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</si>
  <si>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</si>
  <si>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</si>
  <si>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</si>
  <si>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</si>
  <si>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</si>
  <si>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</si>
  <si>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</si>
  <si>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</si>
  <si>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</si>
  <si>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</si>
  <si>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</si>
  <si>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</si>
  <si>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</si>
  <si>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</si>
  <si>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</si>
  <si>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</si>
  <si>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</si>
  <si>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</si>
  <si>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</si>
  <si>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</si>
  <si>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</si>
  <si>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</si>
  <si>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</si>
  <si>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</si>
  <si>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</si>
  <si>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</si>
  <si>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</si>
  <si>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</si>
  <si>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</si>
  <si>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</si>
  <si>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</si>
  <si>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</si>
  <si>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</si>
  <si>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</si>
  <si>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</si>
  <si>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</si>
  <si>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</si>
  <si>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</si>
  <si>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</si>
  <si>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</si>
  <si>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</si>
  <si>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</si>
  <si>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</si>
  <si>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</si>
  <si>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</si>
  <si>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</si>
  <si>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</si>
  <si>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</si>
  <si>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</si>
  <si>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</si>
  <si>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</si>
  <si>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</si>
  <si>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</si>
  <si>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</si>
  <si>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</si>
  <si>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</si>
  <si>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</si>
  <si>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</si>
  <si>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</si>
  <si>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</si>
  <si>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</si>
  <si>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</si>
  <si>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</si>
  <si>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</si>
  <si>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</si>
  <si>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</si>
  <si>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</si>
  <si>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</si>
  <si>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</si>
  <si>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</si>
  <si>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</si>
  <si>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</si>
  <si>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</si>
  <si>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</si>
  <si>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</si>
  <si>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</si>
  <si>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</si>
  <si>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</si>
  <si>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</si>
  <si>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</si>
  <si>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</si>
  <si>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</si>
  <si>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</si>
  <si>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</si>
  <si>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</si>
  <si>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</si>
  <si>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</si>
  <si>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</si>
  <si>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</si>
  <si>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</si>
  <si>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</si>
  <si>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</si>
  <si>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</si>
  <si>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</si>
  <si>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</si>
  <si>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</si>
  <si>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</si>
  <si>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</si>
  <si>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</si>
  <si>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</si>
  <si>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</si>
  <si>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</si>
  <si>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</si>
  <si>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</si>
  <si>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</si>
  <si>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</si>
  <si>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</si>
  <si>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</si>
  <si>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</si>
  <si>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</si>
  <si>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</si>
  <si>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</si>
  <si>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</si>
  <si>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</si>
  <si>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</si>
  <si>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</si>
  <si>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</si>
  <si>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</si>
  <si>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</si>
  <si>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</si>
  <si>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</si>
  <si>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</si>
  <si>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</si>
  <si>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</si>
  <si>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</si>
  <si>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</si>
  <si>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</si>
  <si>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</si>
  <si>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</si>
  <si>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</si>
  <si>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</si>
  <si>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</si>
  <si>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</si>
  <si>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</si>
  <si>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</si>
  <si>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</si>
  <si>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</si>
  <si>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</si>
  <si>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</si>
  <si>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</si>
  <si>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</si>
  <si>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</si>
  <si>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</si>
  <si>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</si>
  <si>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</si>
  <si>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</si>
  <si>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</si>
  <si>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</si>
  <si>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</si>
  <si>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</si>
  <si>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</si>
  <si>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</si>
  <si>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</si>
  <si>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</si>
  <si>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</si>
  <si>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</si>
  <si>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</si>
  <si>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</si>
  <si>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</si>
  <si>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</si>
  <si>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</si>
  <si>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</si>
  <si>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</si>
  <si>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</si>
  <si>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</si>
  <si>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</si>
  <si>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</si>
  <si>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</si>
  <si>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</si>
  <si>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</si>
  <si>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</si>
  <si>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</si>
  <si>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</si>
  <si>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</si>
  <si>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</si>
  <si>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</si>
  <si>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</si>
  <si>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</si>
  <si>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</si>
  <si>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</si>
  <si>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</si>
  <si>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</si>
  <si>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</si>
  <si>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</si>
  <si>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</si>
  <si>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</si>
  <si>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</si>
  <si>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</si>
  <si>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</si>
  <si>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</si>
  <si>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</si>
  <si>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</si>
  <si>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</si>
  <si>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</si>
  <si>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</si>
  <si>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</si>
  <si>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</si>
  <si>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</si>
  <si>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</si>
  <si>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</si>
  <si>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</si>
  <si>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</si>
  <si>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</si>
  <si>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</si>
  <si>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</si>
  <si>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</si>
  <si>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</si>
  <si>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</si>
  <si>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</si>
  <si>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</si>
  <si>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</si>
  <si>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</si>
  <si>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</si>
  <si>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</si>
  <si>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</si>
  <si>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</si>
  <si>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</si>
  <si>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</si>
  <si>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</si>
  <si>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</si>
  <si>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</si>
  <si>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</si>
  <si>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</si>
  <si>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</si>
  <si>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</si>
  <si>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</si>
  <si>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</si>
  <si>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</si>
  <si>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</si>
  <si>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</si>
  <si>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</si>
  <si>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</si>
  <si>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</si>
  <si>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</si>
  <si>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</si>
  <si>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</si>
  <si>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</si>
  <si>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</si>
  <si>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</si>
  <si>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</si>
  <si>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</si>
  <si>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</si>
  <si>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</si>
  <si>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</si>
  <si>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</si>
  <si>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</si>
  <si>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</si>
  <si>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</si>
  <si>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</si>
  <si>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</si>
  <si>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</si>
  <si>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</si>
  <si>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</si>
  <si>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</si>
  <si>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</si>
  <si>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</si>
  <si>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</si>
  <si>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</si>
  <si>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</si>
  <si>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</si>
  <si>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</si>
  <si>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</si>
  <si>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</si>
  <si>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</si>
  <si>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</si>
  <si>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</si>
  <si>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</si>
  <si>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</si>
  <si>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</si>
  <si>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</si>
  <si>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</si>
  <si>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</si>
  <si>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</si>
  <si>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</si>
  <si>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</si>
  <si>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</si>
  <si>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</si>
  <si>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</si>
  <si>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</si>
  <si>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</si>
  <si>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</si>
  <si>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</si>
  <si>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</si>
  <si>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</si>
  <si>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</si>
  <si>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</si>
  <si>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</si>
  <si>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</si>
  <si>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</si>
  <si>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</si>
  <si>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</si>
  <si>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</si>
  <si>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</si>
  <si>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</si>
  <si>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</si>
  <si>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</si>
  <si>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</si>
  <si>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</si>
  <si>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</si>
  <si>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</si>
  <si>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</si>
  <si>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</si>
  <si>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</si>
  <si>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</si>
  <si>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</si>
  <si>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</si>
  <si>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</si>
  <si>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</si>
  <si>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</si>
  <si>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</si>
  <si>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</si>
  <si>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</si>
  <si>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</si>
  <si>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</si>
  <si>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</si>
  <si>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</si>
  <si>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</si>
  <si>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</si>
  <si>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</si>
  <si>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</si>
  <si>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</si>
  <si>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</si>
  <si>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</si>
  <si>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</si>
  <si>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</si>
  <si>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</si>
  <si>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</si>
  <si>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</si>
  <si>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</si>
  <si>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</si>
  <si>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</si>
  <si>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</si>
  <si>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</si>
  <si>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</si>
  <si>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</si>
  <si>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</si>
  <si>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</si>
  <si>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</si>
  <si>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</si>
  <si>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</si>
  <si>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</si>
  <si>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</si>
  <si>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</si>
  <si>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</si>
  <si>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</si>
  <si>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</si>
  <si>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</si>
  <si>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</si>
  <si>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</si>
  <si>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</si>
  <si>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</si>
  <si>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</si>
  <si>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</si>
  <si>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</si>
  <si>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</si>
  <si>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</si>
  <si>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</si>
  <si>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</si>
  <si>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</si>
  <si>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</si>
  <si>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</si>
  <si>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</si>
  <si>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</si>
  <si>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</si>
  <si>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</si>
  <si>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</si>
  <si>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</si>
  <si>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</si>
  <si>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</si>
  <si>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</si>
  <si>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</si>
  <si>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</si>
  <si>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</si>
  <si>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</si>
  <si>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</si>
  <si>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</si>
  <si>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</si>
  <si>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</si>
  <si>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</si>
  <si>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</si>
  <si>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</si>
  <si>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</si>
  <si>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</si>
  <si>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</si>
  <si>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</si>
  <si>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</si>
  <si>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</si>
  <si>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</si>
  <si>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</si>
  <si>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</si>
  <si>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</si>
  <si>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</si>
  <si>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</si>
  <si>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</si>
  <si>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</si>
  <si>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</si>
  <si>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</si>
  <si>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</si>
  <si>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</si>
  <si>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</si>
  <si>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</si>
  <si>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</si>
  <si>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</si>
  <si>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</si>
  <si>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</si>
  <si>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</si>
  <si>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</si>
  <si>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</si>
  <si>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</si>
  <si>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</si>
  <si>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</si>
  <si>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</si>
  <si>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</si>
  <si>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</si>
  <si>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</si>
  <si>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</si>
  <si>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</si>
  <si>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</si>
  <si>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</si>
  <si>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</si>
  <si>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</si>
  <si>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</si>
  <si>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</si>
  <si>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</si>
  <si>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</si>
  <si>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</si>
  <si>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</si>
  <si>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</si>
  <si>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</si>
  <si>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</si>
  <si>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</si>
  <si>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</si>
  <si>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</si>
  <si>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</si>
  <si>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</si>
  <si>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</si>
  <si>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</si>
  <si>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</si>
  <si>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</si>
  <si>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</si>
  <si>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</si>
  <si>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</si>
  <si>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</si>
  <si>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</si>
  <si>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</si>
  <si>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</si>
  <si>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</si>
  <si>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</si>
  <si>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</si>
  <si>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</si>
  <si>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</si>
  <si>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</si>
  <si>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</si>
  <si>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</si>
  <si>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</si>
  <si>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</si>
  <si>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</si>
  <si>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</si>
  <si>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</si>
  <si>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</si>
  <si>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</si>
  <si>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</si>
  <si>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</si>
  <si>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</si>
  <si>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</si>
  <si>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</si>
  <si>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</si>
  <si>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</si>
  <si>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</si>
  <si>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</si>
  <si>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</si>
  <si>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</si>
  <si>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</si>
  <si>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</si>
  <si>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</si>
  <si>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</si>
  <si>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</si>
  <si>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</si>
  <si>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</si>
  <si>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</si>
  <si>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</si>
  <si>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</si>
  <si>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</si>
  <si>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</si>
  <si>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</si>
  <si>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</si>
  <si>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</si>
  <si>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</si>
  <si>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</si>
  <si>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</si>
  <si>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</si>
  <si>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</si>
  <si>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</si>
  <si>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</si>
  <si>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</si>
  <si>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</si>
  <si>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</si>
  <si>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</si>
  <si>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</si>
  <si>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</si>
  <si>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</si>
  <si>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</si>
  <si>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</si>
  <si>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</si>
  <si>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</si>
  <si>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</si>
  <si>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</si>
  <si>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</si>
  <si>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</si>
  <si>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</si>
  <si>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</si>
  <si>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</si>
  <si>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</si>
  <si>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</si>
  <si>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</si>
  <si>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</si>
  <si>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</si>
  <si>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</si>
  <si>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</si>
  <si>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</si>
  <si>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</si>
  <si>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</si>
  <si>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</si>
  <si>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</si>
  <si>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</si>
  <si>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</si>
  <si>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</si>
  <si>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</si>
  <si>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</si>
  <si>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</si>
  <si>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</si>
  <si>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</si>
  <si>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</si>
  <si>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</si>
  <si>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</si>
  <si>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</si>
  <si>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</si>
  <si>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</si>
  <si>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</si>
  <si>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</si>
  <si>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</si>
  <si>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</si>
  <si>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</si>
  <si>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</si>
  <si>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</si>
  <si>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</si>
  <si>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</si>
  <si>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</si>
  <si>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</si>
  <si>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</si>
  <si>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</si>
  <si>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</si>
  <si>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</si>
  <si>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</si>
  <si>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</si>
  <si>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</si>
  <si>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</si>
  <si>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</si>
  <si>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</si>
  <si>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</si>
  <si>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</si>
  <si>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</si>
  <si>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</si>
  <si>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</si>
  <si>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</si>
  <si>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</si>
  <si>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</si>
  <si>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</si>
  <si>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</si>
  <si>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</si>
  <si>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</si>
  <si>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</si>
  <si>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</si>
  <si>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</si>
  <si>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</si>
  <si>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</si>
  <si>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</si>
  <si>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</si>
  <si>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</si>
  <si>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</si>
  <si>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</si>
  <si>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</si>
  <si>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</si>
  <si>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</si>
  <si>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</si>
  <si>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</si>
  <si>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</si>
  <si>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</si>
  <si>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</si>
  <si>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</si>
  <si>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</si>
  <si>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</si>
  <si>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</si>
  <si>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</si>
  <si>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</si>
  <si>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</si>
  <si>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</si>
  <si>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</si>
  <si>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</si>
  <si>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</si>
  <si>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</si>
  <si>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</si>
  <si>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</si>
  <si>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</si>
  <si>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</si>
  <si>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</si>
  <si>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</si>
  <si>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</si>
  <si>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</si>
  <si>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</si>
  <si>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</si>
  <si>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</si>
  <si>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</si>
  <si>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</si>
  <si>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</si>
  <si>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</si>
  <si>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</si>
  <si>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</si>
  <si>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</si>
  <si>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</si>
  <si>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</si>
  <si>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</si>
  <si>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</si>
  <si>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</si>
  <si>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</si>
  <si>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</si>
  <si>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</si>
  <si>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</si>
  <si>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</si>
  <si>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</si>
  <si>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</si>
  <si>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</si>
  <si>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</si>
  <si>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</si>
  <si>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</si>
  <si>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</si>
  <si>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</si>
  <si>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</si>
  <si>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</si>
  <si>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</si>
  <si>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</si>
  <si>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</si>
  <si>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</si>
  <si>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</si>
  <si>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</si>
  <si>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</si>
  <si>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</si>
  <si>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</si>
  <si>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</si>
  <si>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</si>
  <si>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</si>
  <si>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</si>
  <si>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</si>
  <si>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</si>
  <si>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</si>
  <si>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</si>
  <si>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</si>
  <si>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</si>
  <si>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</si>
  <si>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</si>
  <si>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</si>
  <si>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</si>
  <si>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</si>
  <si>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</si>
  <si>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</si>
  <si>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</si>
  <si>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</si>
  <si>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</si>
  <si>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</si>
  <si>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</si>
  <si>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</si>
  <si>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</si>
  <si>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</si>
  <si>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</si>
  <si>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</si>
  <si>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</si>
  <si>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</si>
  <si>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</si>
  <si>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</si>
  <si>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</si>
  <si>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</si>
  <si>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</si>
  <si>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</si>
  <si>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</si>
  <si>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</si>
  <si>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</si>
  <si>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</si>
  <si>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</si>
  <si>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</si>
  <si>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</si>
  <si>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</si>
  <si>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</si>
  <si>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</si>
  <si>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</si>
  <si>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</si>
  <si>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</si>
  <si>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</si>
  <si>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</si>
  <si>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</si>
  <si>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</si>
  <si>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</si>
  <si>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</si>
  <si>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</si>
  <si>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</si>
  <si>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</si>
  <si>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</si>
  <si>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</si>
  <si>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</si>
  <si>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</si>
  <si>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</si>
  <si>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</si>
  <si>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</si>
  <si>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</si>
  <si>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</si>
  <si>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</si>
  <si>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</si>
  <si>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</si>
  <si>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</si>
  <si>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</si>
  <si>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</si>
  <si>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</si>
  <si>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</si>
  <si>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</si>
  <si>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</si>
  <si>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</si>
  <si>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</si>
  <si>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</si>
  <si>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</si>
  <si>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</si>
  <si>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</si>
  <si>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</si>
  <si>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</si>
  <si>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</si>
  <si>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</si>
  <si>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</si>
  <si>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</si>
  <si>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</si>
  <si>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</si>
  <si>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</si>
  <si>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</si>
  <si>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</si>
  <si>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</si>
  <si>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</si>
  <si>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</si>
  <si>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</si>
  <si>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</si>
  <si>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</si>
  <si>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</si>
  <si>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</si>
  <si>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</si>
  <si>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</si>
  <si>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</si>
  <si>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</si>
  <si>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</si>
  <si>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</si>
  <si>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</si>
  <si>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</si>
  <si>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</si>
  <si>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</si>
  <si>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</si>
  <si>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</si>
  <si>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</si>
  <si>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</si>
  <si>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</si>
  <si>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</si>
  <si>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</si>
  <si>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</si>
  <si>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</si>
  <si>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</si>
  <si>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</si>
  <si>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</si>
  <si>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</si>
  <si>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</si>
  <si>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</si>
  <si>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</si>
  <si>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</si>
  <si>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</si>
  <si>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</si>
  <si>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</si>
  <si>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</si>
  <si>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</si>
  <si>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</si>
  <si>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</si>
  <si>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</si>
  <si>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</si>
  <si>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</si>
  <si>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</si>
  <si>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</si>
  <si>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</si>
  <si>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</si>
  <si>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</si>
  <si>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</si>
  <si>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</si>
  <si>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</si>
  <si>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</si>
  <si>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</si>
  <si>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</si>
  <si>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</si>
  <si>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</si>
  <si>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</si>
  <si>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</si>
  <si>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</si>
  <si>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</si>
  <si>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</si>
  <si>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</si>
  <si>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</si>
  <si>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</si>
  <si>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</si>
  <si>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</si>
  <si>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</si>
  <si>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</si>
  <si>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</si>
  <si>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</si>
  <si>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</si>
  <si>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</si>
  <si>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</si>
  <si>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</si>
  <si>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</si>
  <si>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</si>
  <si>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</si>
  <si>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</si>
  <si>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</si>
  <si>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</si>
  <si>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</si>
  <si>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</si>
  <si>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</si>
  <si>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</si>
  <si>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</si>
  <si>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</si>
  <si>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</si>
  <si>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</si>
  <si>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</si>
  <si>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</si>
  <si>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</si>
  <si>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</si>
  <si>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</si>
  <si>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</si>
  <si>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</si>
  <si>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</si>
  <si>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</si>
  <si>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</si>
  <si>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</si>
  <si>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</si>
  <si>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</si>
  <si>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</si>
  <si>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</si>
  <si>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</si>
  <si>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</si>
  <si>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</si>
  <si>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</si>
  <si>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</si>
  <si>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</si>
  <si>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</si>
  <si>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</si>
  <si>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</si>
  <si>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</si>
  <si>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</si>
  <si>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</si>
  <si>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</si>
  <si>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</si>
  <si>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</si>
  <si>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</si>
  <si>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</si>
  <si>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</si>
  <si>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</si>
  <si>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</si>
  <si>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</si>
  <si>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</si>
  <si>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</si>
  <si>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</si>
  <si>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</si>
  <si>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</si>
  <si>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</si>
  <si>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</si>
  <si>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</si>
  <si>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</si>
  <si>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</si>
  <si>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</si>
  <si>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</si>
  <si>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</si>
  <si>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</si>
  <si>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</si>
  <si>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</si>
  <si>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</si>
  <si>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</si>
  <si>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</si>
  <si>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</si>
  <si>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</si>
  <si>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</si>
  <si>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</si>
  <si>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</si>
  <si>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</si>
  <si>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</si>
  <si>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</si>
  <si>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</si>
  <si>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</si>
  <si>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</si>
  <si>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</si>
  <si>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</si>
  <si>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</si>
  <si>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</si>
  <si>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</si>
  <si>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</si>
  <si>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</si>
  <si>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</si>
  <si>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</si>
  <si>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</si>
  <si>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</si>
  <si>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</si>
  <si>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</si>
  <si>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</si>
  <si>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</si>
  <si>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</si>
  <si>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</si>
  <si>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</si>
  <si>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</si>
  <si>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</si>
  <si>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</si>
  <si>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</si>
  <si>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</si>
  <si>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</si>
  <si>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</si>
  <si>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</si>
  <si>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</si>
  <si>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</si>
  <si>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</si>
  <si>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</si>
  <si>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</si>
  <si>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</si>
  <si>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</si>
  <si>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</si>
  <si>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</si>
  <si>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</si>
  <si>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</si>
  <si>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</si>
  <si>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</si>
  <si>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</si>
  <si>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</si>
  <si>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</si>
  <si>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</si>
  <si>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</si>
  <si>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</si>
  <si>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</si>
  <si>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</si>
  <si>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</si>
  <si>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</si>
  <si>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</si>
  <si>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</si>
  <si>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</si>
  <si>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</si>
  <si>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</si>
  <si>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</si>
  <si>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</si>
  <si>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</si>
  <si>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</si>
  <si>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</si>
  <si>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</si>
  <si>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</si>
  <si>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</si>
  <si>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</si>
  <si>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</si>
  <si>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</si>
  <si>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</si>
  <si>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</si>
  <si>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</si>
  <si>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</si>
  <si>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</si>
  <si>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</si>
  <si>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</si>
  <si>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</si>
  <si>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</si>
  <si>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</si>
  <si>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</si>
  <si>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</si>
  <si>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</si>
  <si>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</si>
  <si>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</si>
  <si>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</si>
  <si>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</si>
  <si>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</si>
  <si>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</si>
  <si>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</si>
  <si>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</si>
  <si>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</si>
  <si>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</si>
  <si>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</si>
  <si>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</si>
  <si>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</si>
  <si>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</si>
  <si>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</si>
  <si>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</si>
  <si>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</si>
  <si>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</si>
  <si>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</si>
  <si>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</si>
  <si>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</si>
  <si>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</si>
  <si>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</si>
  <si>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</si>
  <si>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</si>
  <si>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</si>
  <si>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</si>
  <si>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</si>
  <si>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</si>
  <si>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</si>
  <si>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</si>
  <si>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</si>
  <si>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</si>
  <si>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</si>
  <si>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</si>
  <si>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</si>
  <si>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</si>
  <si>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</si>
  <si>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</si>
  <si>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</si>
  <si>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</si>
  <si>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</si>
  <si>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</si>
  <si>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</si>
  <si>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</si>
  <si>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</si>
  <si>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</si>
  <si>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</si>
  <si>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</si>
  <si>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</si>
  <si>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</si>
  <si>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</si>
  <si>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</si>
  <si>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</si>
  <si>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</si>
  <si>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</si>
  <si>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</si>
  <si>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</si>
  <si>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</si>
  <si>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</si>
  <si>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</si>
  <si>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</si>
  <si>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</si>
  <si>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</si>
  <si>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</si>
  <si>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</si>
  <si>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</si>
  <si>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</si>
  <si>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</si>
  <si>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</si>
  <si>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</si>
  <si>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</si>
  <si>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</si>
  <si>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</si>
  <si>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</si>
  <si>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</si>
  <si>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</si>
  <si>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</si>
  <si>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</si>
  <si>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</si>
  <si>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</si>
  <si>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</si>
  <si>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</si>
  <si>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</si>
  <si>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</si>
  <si>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</si>
  <si>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</si>
  <si>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</si>
  <si>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</si>
  <si>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</si>
  <si>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</si>
  <si>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</si>
  <si>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</si>
  <si>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</si>
  <si>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</si>
  <si>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</si>
  <si>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</si>
  <si>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</si>
  <si>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</si>
  <si>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</si>
  <si>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</si>
  <si>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</si>
  <si>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</si>
  <si>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</si>
  <si>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</si>
  <si>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</si>
  <si>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</si>
  <si>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</si>
  <si>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</si>
  <si>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</si>
  <si>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</si>
  <si>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</si>
  <si>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</si>
  <si>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</si>
  <si>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</si>
  <si>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</si>
  <si>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</si>
  <si>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</si>
  <si>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</si>
  <si>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</si>
  <si>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</si>
  <si>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</si>
  <si>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</si>
  <si>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</si>
  <si>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</si>
  <si>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</si>
  <si>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</si>
  <si>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</si>
  <si>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</si>
  <si>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</si>
  <si>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</si>
  <si>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</si>
  <si>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</si>
  <si>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</si>
  <si>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</si>
  <si>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</si>
  <si>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</si>
  <si>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</si>
  <si>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</si>
  <si>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</si>
  <si>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</si>
  <si>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</si>
  <si>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</si>
  <si>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</si>
  <si>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</si>
  <si>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</si>
  <si>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</si>
  <si>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</si>
  <si>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</si>
  <si>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</si>
  <si>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</si>
  <si>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</si>
  <si>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</si>
  <si>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</si>
  <si>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</si>
  <si>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</si>
  <si>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</si>
  <si>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</si>
  <si>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</si>
  <si>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</si>
  <si>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</si>
  <si>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</si>
  <si>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</si>
  <si>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</si>
  <si>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</si>
  <si>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</si>
  <si>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</si>
  <si>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</si>
  <si>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</si>
  <si>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</si>
  <si>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</si>
  <si>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</si>
  <si>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</si>
  <si>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</si>
  <si>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</si>
  <si>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</si>
  <si>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</si>
  <si>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</si>
  <si>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</si>
  <si>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</si>
  <si>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</si>
  <si>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</si>
  <si>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</si>
  <si>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</si>
  <si>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</si>
  <si>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</si>
  <si>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</si>
  <si>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</si>
  <si>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</si>
  <si>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</si>
  <si>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</si>
  <si>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</si>
  <si>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</si>
  <si>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</si>
  <si>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</si>
  <si>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</si>
  <si>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</si>
  <si>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</si>
  <si>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</si>
  <si>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</si>
  <si>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</si>
  <si>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</si>
  <si>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</si>
  <si>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</si>
  <si>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</si>
  <si>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</si>
  <si>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</si>
  <si>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</si>
  <si>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</si>
  <si>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</si>
  <si>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</si>
  <si>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</si>
  <si>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</si>
  <si>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</si>
  <si>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</si>
  <si>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</si>
  <si>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</si>
  <si>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</si>
  <si>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</si>
  <si>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</si>
  <si>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</si>
  <si>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</si>
  <si>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</si>
  <si>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</si>
  <si>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</si>
  <si>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</si>
  <si>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</si>
  <si>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</si>
  <si>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</si>
  <si>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</si>
  <si>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</si>
  <si>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</si>
  <si>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</si>
  <si>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</si>
  <si>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</si>
  <si>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</si>
  <si>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</si>
  <si>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</si>
  <si>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</si>
  <si>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</si>
  <si>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</si>
  <si>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</si>
  <si>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</si>
  <si>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</si>
  <si>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</si>
  <si>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</si>
  <si>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</si>
  <si>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</si>
  <si>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</si>
  <si>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</si>
  <si>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</si>
  <si>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</si>
  <si>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</si>
  <si>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</si>
  <si>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</si>
  <si>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</si>
  <si>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</si>
  <si>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</si>
  <si>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</si>
  <si>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</si>
  <si>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</si>
  <si>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</si>
  <si>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</si>
  <si>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</si>
  <si>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</si>
  <si>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</si>
  <si>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</si>
  <si>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</si>
  <si>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</si>
  <si>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</si>
  <si>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</si>
  <si>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</si>
  <si>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</si>
  <si>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</si>
  <si>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</si>
  <si>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</si>
  <si>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</si>
  <si>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</si>
  <si>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</si>
  <si>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</si>
  <si>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</si>
  <si>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</si>
  <si>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</si>
  <si>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</si>
  <si>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</si>
  <si>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</si>
  <si>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</si>
  <si>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</si>
  <si>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</si>
  <si>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</si>
  <si>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</si>
  <si>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</si>
  <si>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</si>
  <si>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</si>
  <si>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</si>
  <si>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</si>
  <si>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</si>
  <si>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</si>
  <si>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</si>
  <si>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</si>
  <si>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</si>
  <si>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</si>
  <si>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</si>
  <si>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</si>
  <si>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</si>
  <si>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</si>
  <si>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</si>
  <si>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</si>
  <si>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</si>
  <si>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</si>
  <si>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</si>
  <si>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</si>
  <si>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</si>
  <si>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</si>
  <si>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</si>
  <si>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</si>
  <si>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</si>
  <si>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</si>
  <si>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</si>
  <si>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</si>
  <si>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</si>
  <si>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</si>
  <si>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</si>
  <si>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</si>
  <si>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</si>
  <si>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</si>
  <si>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</si>
  <si>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</si>
  <si>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</si>
  <si>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</si>
  <si>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</si>
  <si>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</si>
  <si>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</si>
  <si>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</si>
  <si>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</si>
  <si>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</si>
  <si>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</si>
  <si>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</si>
  <si>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</si>
  <si>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</si>
  <si>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</si>
  <si>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</si>
  <si>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</si>
  <si>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</si>
  <si>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</si>
  <si>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</si>
  <si>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</si>
  <si>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</si>
  <si>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</si>
  <si>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</si>
  <si>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</si>
  <si>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</si>
  <si>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</si>
  <si>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</si>
  <si>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</si>
  <si>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</si>
  <si>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</si>
  <si>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</si>
  <si>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</si>
  <si>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</si>
  <si>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</si>
  <si>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</si>
  <si>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</si>
  <si>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</si>
  <si>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</si>
  <si>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</si>
  <si>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</si>
  <si>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</si>
  <si>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</si>
  <si>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</si>
  <si>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</si>
  <si>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</si>
  <si>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</si>
  <si>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</si>
  <si>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</si>
  <si>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</si>
  <si>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</si>
  <si>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</si>
  <si>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</si>
  <si>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</si>
  <si>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</si>
  <si>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</si>
  <si>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</si>
  <si>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</si>
  <si>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</si>
  <si>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</si>
  <si>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</si>
  <si>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</si>
  <si>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</si>
  <si>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</si>
  <si>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</si>
  <si>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</si>
  <si>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</si>
  <si>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</si>
  <si>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</si>
  <si>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</si>
  <si>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</si>
  <si>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</si>
  <si>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</si>
  <si>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</si>
  <si>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</si>
  <si>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</si>
  <si>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</si>
  <si>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</si>
  <si>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</si>
  <si>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</si>
  <si>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</si>
  <si>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</si>
  <si>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</si>
  <si>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</si>
  <si>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</si>
  <si>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</si>
  <si>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</si>
  <si>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</si>
  <si>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</si>
  <si>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</si>
  <si>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</si>
  <si>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</si>
  <si>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</si>
  <si>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</si>
  <si>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</si>
  <si>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</si>
  <si>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</si>
  <si>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</si>
  <si>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</si>
  <si>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</si>
  <si>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</si>
  <si>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</si>
  <si>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</si>
  <si>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</si>
  <si>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</si>
  <si>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</si>
  <si>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</si>
  <si>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</si>
  <si>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</si>
  <si>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</si>
  <si>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</si>
  <si>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</si>
  <si>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</si>
  <si>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</si>
  <si>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</si>
  <si>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</si>
  <si>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</si>
  <si>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</si>
  <si>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</si>
  <si>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</si>
  <si>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</si>
  <si>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</si>
  <si>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</si>
  <si>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</si>
  <si>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</si>
  <si>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</si>
  <si>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</si>
  <si>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</si>
  <si>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</si>
  <si>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</si>
  <si>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</si>
  <si>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</si>
  <si>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</si>
  <si>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</si>
  <si>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</si>
  <si>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</si>
  <si>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</si>
  <si>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</si>
  <si>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</si>
  <si>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</si>
  <si>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</si>
  <si>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</si>
  <si>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</si>
  <si>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</si>
  <si>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</si>
  <si>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</si>
  <si>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</si>
  <si>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</si>
  <si>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</si>
  <si>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</si>
  <si>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</si>
  <si>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</si>
  <si>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</si>
  <si>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</si>
  <si>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</si>
  <si>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</si>
  <si>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</si>
  <si>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</si>
  <si>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</si>
  <si>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</si>
  <si>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</si>
  <si>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</si>
  <si>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</si>
  <si>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</si>
  <si>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</si>
  <si>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</si>
  <si>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</si>
  <si>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</si>
  <si>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</si>
  <si>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</si>
  <si>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</si>
  <si>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</si>
  <si>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</si>
  <si>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</si>
  <si>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</si>
  <si>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</si>
  <si>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</si>
  <si>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</si>
  <si>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</si>
  <si>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</si>
  <si>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</si>
  <si>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</si>
  <si>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</si>
  <si>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</si>
  <si>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</si>
  <si>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</si>
  <si>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</si>
  <si>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</si>
  <si>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</si>
  <si>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</si>
  <si>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</si>
  <si>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</si>
  <si>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</si>
  <si>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</si>
  <si>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</si>
  <si>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</si>
  <si>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</si>
  <si>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</si>
  <si>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</si>
  <si>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</si>
  <si>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</si>
  <si>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</si>
  <si>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</si>
  <si>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</si>
  <si>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</si>
  <si>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</si>
  <si>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</si>
  <si>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</si>
  <si>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</si>
  <si>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</si>
  <si>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</si>
  <si>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</si>
  <si>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</si>
  <si>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</si>
  <si>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</si>
  <si>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</si>
  <si>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</si>
  <si>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</si>
  <si>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</si>
  <si>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</si>
  <si>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</si>
  <si>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</si>
  <si>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</si>
  <si>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</si>
  <si>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</si>
  <si>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</si>
  <si>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</si>
  <si>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</si>
  <si>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</si>
  <si>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</si>
  <si>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</si>
  <si>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</si>
  <si>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</si>
  <si>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</si>
  <si>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</si>
  <si>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</si>
  <si>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</si>
  <si>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</si>
  <si>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</si>
  <si>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</si>
  <si>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</si>
  <si>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</si>
  <si>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</si>
  <si>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</si>
  <si>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</si>
  <si>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</si>
  <si>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</si>
  <si>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</si>
  <si>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</si>
  <si>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</si>
  <si>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</si>
  <si>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</si>
  <si>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</si>
  <si>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</si>
  <si>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</si>
  <si>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</si>
  <si>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</si>
  <si>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</si>
  <si>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</si>
  <si>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</si>
  <si>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</si>
  <si>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</si>
  <si>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</si>
  <si>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</si>
  <si>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</si>
  <si>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</si>
  <si>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</si>
  <si>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</si>
  <si>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</si>
  <si>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</si>
  <si>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</si>
  <si>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</si>
  <si>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</si>
  <si>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</si>
  <si>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</si>
  <si>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</si>
  <si>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</si>
  <si>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</si>
  <si>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</si>
  <si>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</si>
  <si>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</si>
  <si>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</si>
  <si>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</si>
  <si>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</si>
  <si>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</si>
  <si>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</si>
  <si>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</si>
  <si>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</si>
  <si>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</si>
  <si>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</si>
  <si>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</si>
  <si>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</si>
  <si>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</si>
  <si>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</si>
  <si>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</si>
  <si>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</si>
  <si>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</si>
  <si>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</si>
  <si>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</si>
  <si>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</si>
  <si>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</si>
  <si>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</si>
  <si>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</si>
  <si>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</si>
  <si>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</si>
  <si>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</si>
  <si>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</si>
  <si>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</si>
  <si>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</si>
  <si>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</si>
  <si>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</si>
  <si>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</si>
  <si>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</si>
  <si>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</si>
  <si>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</si>
  <si>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</si>
  <si>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</si>
  <si>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</si>
  <si>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</si>
  <si>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</si>
  <si>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</si>
  <si>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</si>
  <si>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</si>
  <si>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</si>
  <si>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</si>
  <si>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</si>
  <si>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</si>
  <si>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</si>
  <si>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</si>
  <si>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</si>
  <si>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</si>
  <si>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</si>
  <si>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</si>
  <si>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</si>
  <si>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</si>
  <si>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</si>
  <si>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</si>
  <si>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</si>
  <si>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</si>
  <si>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</si>
  <si>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</si>
  <si>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</si>
  <si>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</si>
  <si>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</si>
  <si>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</si>
  <si>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</si>
  <si>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</si>
  <si>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</si>
  <si>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</si>
  <si>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</si>
  <si>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</si>
  <si>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</si>
  <si>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</si>
  <si>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</si>
  <si>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</si>
  <si>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</si>
  <si>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</si>
  <si>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</si>
  <si>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</si>
  <si>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</si>
  <si>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</si>
  <si>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</si>
  <si>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</si>
  <si>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</si>
  <si>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</si>
  <si>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</si>
  <si>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</si>
  <si>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</si>
  <si>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</si>
  <si>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</si>
  <si>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</si>
  <si>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</si>
  <si>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</si>
  <si>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</si>
  <si>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</si>
  <si>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</si>
  <si>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</si>
  <si>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</si>
  <si>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</si>
  <si>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</si>
  <si>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</si>
  <si>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</si>
  <si>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</si>
  <si>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</si>
  <si>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</si>
  <si>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</si>
  <si>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</si>
  <si>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</si>
  <si>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</si>
  <si>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</si>
  <si>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</si>
  <si>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</si>
  <si>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</si>
  <si>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</si>
  <si>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</si>
  <si>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</si>
  <si>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</si>
  <si>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</si>
  <si>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</si>
  <si>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</si>
  <si>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</si>
  <si>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</si>
  <si>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</si>
  <si>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</si>
  <si>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</si>
  <si>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</si>
  <si>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</si>
  <si>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</si>
  <si>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</si>
  <si>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</si>
  <si>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</si>
  <si>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</si>
  <si>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</si>
  <si>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</si>
  <si>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</si>
  <si>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</si>
  <si>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</si>
  <si>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</si>
  <si>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</si>
  <si>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</si>
  <si>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</si>
  <si>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</si>
  <si>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</si>
  <si>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</si>
  <si>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</si>
  <si>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</si>
  <si>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</si>
  <si>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</si>
  <si>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</si>
  <si>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</si>
  <si>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</si>
  <si>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</si>
  <si>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</si>
  <si>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</si>
  <si>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</si>
  <si>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</si>
  <si>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</si>
  <si>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</si>
  <si>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</si>
  <si>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</si>
  <si>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</si>
  <si>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</si>
  <si>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</si>
  <si>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</si>
  <si>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</si>
  <si>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</si>
  <si>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</si>
  <si>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</si>
  <si>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</si>
  <si>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</si>
  <si>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</si>
  <si>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</si>
  <si>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</si>
  <si>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</si>
  <si>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</si>
  <si>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</si>
  <si>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</si>
  <si>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</si>
  <si>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</si>
  <si>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</si>
  <si>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</si>
  <si>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</si>
  <si>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</si>
  <si>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</si>
  <si>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</si>
  <si>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</si>
  <si>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</si>
  <si>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</si>
  <si>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</si>
  <si>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</si>
  <si>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</si>
  <si>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</si>
  <si>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</si>
  <si>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</si>
  <si>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</si>
  <si>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</si>
  <si>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</si>
  <si>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</si>
  <si>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</si>
  <si>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</si>
  <si>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</si>
  <si>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</si>
  <si>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</si>
  <si>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</si>
  <si>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</si>
  <si>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</si>
  <si>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</si>
  <si>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</si>
  <si>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</si>
  <si>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</si>
  <si>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</si>
  <si>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</si>
  <si>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</si>
  <si>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</si>
  <si>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</si>
  <si>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</si>
  <si>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</si>
  <si>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</si>
  <si>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</si>
  <si>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</si>
  <si>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</si>
  <si>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</si>
  <si>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</si>
  <si>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</si>
  <si>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</si>
  <si>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</si>
  <si>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</si>
  <si>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</si>
  <si>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</si>
  <si>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</si>
  <si>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</si>
  <si>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</si>
  <si>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</si>
  <si>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</si>
  <si>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</si>
  <si>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</si>
  <si>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</si>
  <si>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</si>
  <si>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</si>
  <si>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</si>
  <si>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</si>
  <si>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</si>
  <si>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</si>
  <si>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</si>
  <si>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</si>
  <si>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</si>
  <si>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</si>
  <si>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</si>
  <si>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</si>
  <si>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</si>
  <si>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</si>
  <si>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</si>
  <si>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</si>
  <si>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</si>
  <si>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</si>
  <si>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</si>
  <si>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</si>
  <si>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</si>
  <si>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</si>
  <si>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</si>
  <si>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</si>
  <si>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</si>
  <si>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</si>
  <si>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</si>
  <si>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</si>
  <si>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</si>
  <si>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</si>
  <si>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</si>
  <si>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</si>
  <si>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</si>
  <si>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</si>
  <si>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</si>
  <si>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</si>
  <si>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</si>
  <si>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</si>
  <si>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</si>
  <si>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</si>
  <si>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</si>
  <si>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</si>
  <si>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</si>
  <si>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</si>
  <si>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</si>
  <si>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</si>
  <si>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</si>
  <si>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</si>
  <si>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</si>
  <si>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</si>
  <si>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</si>
  <si>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</si>
  <si>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</si>
  <si>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</si>
  <si>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</si>
  <si>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</si>
  <si>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</si>
  <si>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</si>
  <si>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</si>
  <si>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</si>
  <si>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</si>
  <si>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</si>
  <si>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</si>
  <si>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</si>
  <si>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</si>
  <si>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</si>
  <si>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</si>
  <si>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</si>
  <si>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</si>
  <si>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</si>
  <si>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</si>
  <si>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</si>
  <si>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</si>
  <si>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</si>
  <si>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</si>
  <si>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</si>
  <si>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</si>
  <si>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</si>
  <si>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</si>
  <si>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</si>
  <si>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</si>
  <si>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</si>
  <si>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</si>
  <si>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</si>
  <si>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</si>
  <si>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</si>
  <si>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</si>
  <si>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</si>
  <si>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</si>
  <si>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</si>
  <si>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</si>
  <si>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</si>
  <si>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</si>
  <si>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</si>
  <si>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</si>
  <si>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</si>
  <si>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</si>
  <si>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</si>
  <si>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</si>
  <si>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</si>
  <si>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</si>
  <si>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</si>
  <si>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</si>
  <si>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</si>
  <si>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</si>
  <si>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</si>
  <si>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</si>
  <si>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</si>
  <si>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</si>
  <si>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</si>
  <si>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</si>
  <si>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</si>
  <si>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</si>
  <si>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</si>
  <si>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</si>
  <si>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</si>
  <si>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</si>
  <si>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</si>
  <si>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</si>
  <si>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</si>
  <si>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</si>
  <si>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</si>
  <si>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</si>
  <si>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</si>
  <si>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</si>
  <si>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</si>
  <si>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</si>
  <si>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</si>
  <si>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</si>
  <si>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</si>
  <si>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</si>
  <si>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</si>
  <si>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</si>
  <si>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</si>
  <si>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</si>
  <si>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</si>
  <si>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</si>
  <si>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</si>
  <si>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</si>
  <si>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</si>
  <si>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</si>
  <si>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</si>
  <si>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</si>
  <si>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</si>
  <si>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</si>
  <si>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</si>
  <si>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</si>
  <si>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</si>
  <si>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</si>
  <si>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</si>
  <si>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</si>
  <si>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</si>
  <si>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</si>
  <si>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</si>
  <si>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</si>
  <si>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</si>
  <si>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</si>
  <si>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</si>
  <si>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</si>
  <si>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</si>
  <si>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</si>
  <si>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</si>
  <si>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</si>
  <si>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</si>
  <si>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</si>
  <si>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</si>
  <si>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</si>
  <si>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</si>
  <si>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</si>
  <si>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</si>
  <si>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</si>
  <si>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</si>
  <si>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</si>
  <si>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</si>
  <si>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</si>
  <si>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</si>
  <si>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</si>
  <si>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</si>
  <si>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</si>
  <si>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</si>
  <si>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</si>
  <si>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</si>
  <si>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</si>
  <si>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</si>
  <si>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</si>
  <si>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</si>
  <si>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</si>
  <si>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</si>
  <si>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</si>
  <si>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</si>
  <si>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</si>
  <si>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</si>
  <si>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</si>
  <si>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</si>
  <si>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</si>
  <si>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</si>
  <si>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</si>
  <si>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</si>
  <si>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</si>
  <si>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</si>
  <si>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</si>
  <si>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</si>
  <si>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</si>
  <si>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</si>
  <si>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</si>
  <si>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</si>
  <si>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</si>
  <si>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</si>
  <si>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</si>
  <si>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</si>
  <si>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</si>
  <si>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</si>
  <si>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</si>
  <si>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</si>
  <si>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</si>
  <si>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</si>
  <si>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</si>
  <si>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</si>
  <si>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</si>
  <si>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</si>
  <si>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</si>
  <si>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</si>
  <si>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</si>
  <si>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</si>
  <si>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</si>
  <si>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</si>
  <si>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</si>
  <si>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</si>
  <si>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</si>
  <si>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</si>
  <si>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</si>
  <si>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</si>
  <si>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</si>
  <si>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</si>
  <si>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</si>
  <si>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</si>
  <si>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</si>
  <si>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</si>
  <si>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</si>
  <si>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</si>
  <si>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</si>
  <si>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</si>
  <si>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</si>
  <si>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</si>
  <si>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</si>
  <si>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</si>
  <si>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</si>
  <si>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</si>
  <si>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</si>
  <si>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</si>
  <si>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</si>
  <si>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</si>
  <si>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</si>
  <si>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</si>
  <si>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</si>
  <si>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</si>
  <si>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</si>
  <si>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</si>
  <si>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</si>
  <si>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</si>
  <si>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</si>
  <si>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</si>
  <si>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</si>
  <si>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</si>
  <si>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</si>
  <si>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</si>
  <si>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</si>
  <si>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</si>
  <si>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</si>
  <si>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</si>
  <si>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</si>
  <si>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</si>
  <si>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</si>
  <si>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</si>
  <si>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</si>
  <si>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</si>
  <si>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</si>
  <si>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</si>
  <si>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</si>
  <si>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</si>
  <si>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</si>
  <si>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</si>
  <si>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</si>
  <si>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</si>
  <si>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</si>
  <si>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</si>
  <si>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</si>
  <si>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</si>
  <si>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</si>
  <si>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</si>
  <si>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</si>
  <si>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</si>
  <si>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</si>
  <si>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</si>
  <si>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</si>
  <si>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</si>
  <si>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</si>
  <si>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</si>
  <si>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</si>
  <si>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</si>
  <si>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</si>
  <si>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</si>
  <si>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</si>
  <si>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</si>
  <si>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</si>
  <si>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</si>
  <si>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</si>
  <si>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</si>
  <si>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</si>
  <si>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</si>
  <si>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</si>
  <si>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</si>
  <si>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</si>
  <si>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</si>
  <si>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</si>
  <si>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</si>
  <si>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</si>
  <si>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</si>
  <si>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</si>
  <si>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</si>
  <si>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</si>
  <si>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</si>
  <si>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</si>
  <si>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</si>
  <si>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</si>
  <si>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</si>
  <si>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</si>
  <si>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</si>
  <si>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</si>
  <si>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</si>
  <si>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</si>
  <si>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</si>
  <si>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</si>
  <si>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</si>
  <si>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</si>
  <si>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</si>
  <si>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</si>
  <si>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</si>
  <si>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</si>
  <si>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</si>
  <si>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</si>
  <si>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</si>
  <si>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</si>
  <si>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</si>
  <si>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</si>
  <si>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</si>
  <si>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</si>
  <si>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</si>
  <si>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</si>
  <si>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</si>
  <si>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</si>
  <si>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</si>
  <si>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</si>
  <si>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</si>
  <si>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</si>
  <si>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</si>
  <si>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</si>
  <si>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</si>
  <si>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</si>
  <si>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</si>
  <si>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</si>
  <si>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</si>
  <si>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</si>
  <si>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</si>
  <si>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</si>
  <si>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</si>
  <si>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</si>
  <si>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</si>
  <si>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</si>
  <si>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</si>
  <si>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</si>
  <si>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</si>
  <si>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</si>
  <si>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</si>
  <si>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</si>
  <si>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</si>
  <si>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</si>
  <si>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</si>
  <si>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</si>
  <si>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</si>
  <si>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</si>
  <si>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</si>
  <si>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</si>
  <si>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</si>
  <si>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</si>
  <si>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</si>
  <si>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</si>
  <si>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</si>
  <si>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</si>
  <si>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</si>
  <si>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</si>
  <si>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</si>
  <si>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</si>
  <si>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</si>
  <si>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</si>
  <si>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</si>
  <si>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</si>
  <si>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</si>
  <si>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</si>
  <si>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</si>
  <si>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</si>
  <si>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</si>
  <si>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</si>
  <si>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</si>
  <si>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</si>
  <si>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</si>
  <si>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</si>
  <si>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</si>
  <si>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</si>
  <si>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</si>
  <si>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</si>
  <si>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</si>
  <si>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</si>
  <si>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</si>
  <si>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</si>
  <si>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</si>
  <si>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</si>
  <si>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</si>
  <si>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</si>
  <si>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</si>
  <si>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</si>
  <si>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</si>
  <si>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</si>
  <si>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</si>
  <si>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</si>
  <si>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</si>
  <si>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</si>
  <si>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</si>
  <si>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</si>
  <si>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</si>
  <si>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</si>
  <si>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</si>
  <si>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</si>
  <si>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</si>
  <si>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</si>
  <si>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</si>
  <si>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</si>
  <si>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</si>
  <si>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</si>
  <si>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</si>
  <si>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</si>
  <si>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</si>
  <si>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</si>
  <si>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</si>
  <si>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</si>
  <si>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</si>
  <si>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</si>
  <si>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</si>
  <si>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</si>
  <si>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</si>
  <si>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</si>
  <si>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</si>
  <si>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</si>
  <si>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</si>
  <si>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</si>
  <si>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</si>
  <si>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</si>
  <si>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</si>
  <si>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</si>
  <si>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</si>
  <si>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</si>
  <si>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</si>
  <si>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</si>
  <si>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</si>
  <si>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</si>
  <si>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</si>
  <si>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</si>
  <si>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</si>
  <si>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</si>
  <si>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</si>
  <si>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</si>
  <si>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</si>
  <si>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</si>
  <si>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</si>
  <si>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</si>
  <si>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</si>
  <si>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</si>
  <si>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</si>
  <si>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</si>
  <si>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</si>
  <si>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</si>
  <si>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</si>
  <si>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</si>
  <si>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</si>
  <si>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</si>
  <si>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</si>
  <si>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</si>
  <si>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</si>
  <si>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</si>
  <si>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</si>
  <si>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</si>
  <si>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</si>
  <si>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</si>
  <si>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</si>
  <si>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</si>
  <si>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</si>
  <si>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</si>
  <si>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</si>
  <si>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</si>
  <si>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</si>
  <si>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</si>
  <si>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</si>
  <si>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</si>
  <si>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</si>
  <si>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</si>
  <si>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</si>
  <si>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</si>
  <si>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</si>
  <si>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</si>
  <si>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</si>
  <si>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</si>
  <si>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</si>
  <si>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</si>
  <si>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</si>
  <si>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</si>
  <si>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</si>
  <si>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</si>
  <si>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</si>
  <si>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</si>
  <si>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</si>
  <si>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</si>
  <si>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</si>
  <si>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</si>
  <si>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</si>
  <si>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</si>
  <si>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</si>
  <si>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</si>
  <si>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</si>
  <si>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</si>
  <si>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</si>
  <si>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</si>
  <si>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</si>
  <si>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</si>
  <si>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</si>
  <si>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</si>
  <si>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</si>
  <si>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</si>
  <si>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</si>
  <si>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</si>
  <si>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</si>
  <si>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</si>
  <si>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</si>
  <si>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</si>
  <si>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</si>
  <si>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</si>
  <si>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</si>
  <si>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</si>
  <si>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</si>
  <si>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</si>
  <si>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</si>
  <si>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</si>
  <si>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</si>
  <si>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</si>
  <si>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</si>
  <si>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</si>
  <si>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</si>
  <si>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</si>
  <si>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</si>
  <si>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</si>
  <si>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</si>
  <si>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</si>
  <si>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</si>
  <si>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</si>
  <si>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</si>
  <si>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</si>
  <si>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</si>
  <si>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</si>
  <si>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</si>
  <si>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</si>
  <si>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</si>
  <si>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</si>
  <si>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</si>
  <si>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</si>
  <si>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</si>
  <si>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</si>
  <si>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</si>
  <si>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</si>
  <si>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</si>
  <si>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</si>
  <si>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</si>
  <si>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</si>
  <si>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</si>
  <si>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</si>
  <si>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</si>
  <si>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</si>
  <si>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</si>
  <si>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</si>
  <si>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</si>
  <si>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</si>
  <si>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</si>
  <si>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</si>
  <si>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</si>
  <si>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</si>
  <si>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</si>
  <si>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</si>
  <si>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</si>
  <si>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</si>
  <si>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</si>
  <si>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</si>
  <si>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</si>
  <si>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</si>
  <si>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</si>
  <si>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</si>
  <si>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</si>
  <si>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</si>
  <si>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</si>
  <si>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</si>
  <si>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</si>
  <si>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</si>
  <si>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</si>
  <si>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</si>
  <si>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</si>
  <si>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</si>
  <si>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</si>
  <si>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</si>
  <si>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</si>
  <si>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</si>
  <si>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</si>
  <si>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</si>
  <si>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</si>
  <si>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</si>
  <si>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</si>
  <si>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</si>
  <si>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</si>
  <si>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</si>
  <si>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</si>
  <si>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</si>
  <si>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</si>
  <si>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</si>
  <si>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</si>
  <si>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</si>
  <si>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</si>
  <si>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</si>
  <si>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</si>
  <si>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</si>
  <si>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</si>
  <si>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</si>
  <si>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</si>
  <si>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</si>
  <si>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</si>
  <si>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</si>
  <si>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</si>
  <si>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</si>
  <si>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</si>
  <si>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</si>
  <si>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</si>
  <si>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</si>
  <si>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</si>
  <si>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</si>
  <si>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</si>
  <si>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</si>
  <si>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</si>
  <si>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</si>
  <si>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</si>
  <si>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</si>
  <si>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</si>
  <si>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</si>
  <si>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</si>
  <si>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</si>
  <si>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</si>
  <si>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</si>
  <si>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</si>
  <si>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</si>
  <si>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</si>
  <si>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</si>
  <si>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</si>
  <si>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</si>
  <si>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</si>
  <si>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</si>
  <si>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</si>
  <si>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</si>
  <si>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</si>
  <si>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</si>
  <si>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</si>
  <si>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</si>
  <si>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</si>
  <si>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</si>
  <si>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</si>
  <si>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</si>
  <si>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</si>
  <si>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</si>
  <si>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</si>
  <si>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</si>
  <si>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</si>
  <si>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</si>
  <si>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</si>
  <si>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</si>
  <si>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</si>
  <si>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</si>
  <si>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</si>
  <si>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</si>
  <si>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</si>
  <si>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</si>
  <si>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</si>
  <si>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</si>
  <si>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</si>
  <si>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</si>
  <si>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</si>
  <si>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</si>
  <si>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</si>
  <si>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</si>
  <si>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</si>
  <si>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</si>
  <si>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</si>
  <si>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</si>
  <si>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</si>
  <si>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</si>
  <si>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</si>
  <si>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</si>
  <si>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</si>
  <si>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</si>
  <si>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</si>
  <si>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</si>
  <si>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</si>
  <si>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</si>
  <si>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</si>
  <si>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</si>
  <si>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</si>
  <si>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</si>
  <si>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</si>
  <si>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</si>
  <si>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</si>
  <si>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</si>
  <si>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</si>
  <si>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</si>
  <si>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</si>
  <si>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</si>
  <si>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</si>
  <si>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</si>
  <si>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</si>
  <si>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</si>
  <si>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</si>
  <si>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</si>
  <si>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</si>
  <si>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</si>
  <si>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</si>
  <si>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</si>
  <si>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</si>
  <si>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</si>
  <si>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</si>
  <si>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</si>
  <si>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</si>
  <si>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</si>
  <si>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</si>
  <si>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</si>
  <si>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</si>
  <si>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</si>
  <si>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</si>
  <si>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</si>
  <si>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</si>
  <si>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</si>
  <si>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</si>
  <si>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</si>
  <si>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</si>
  <si>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</si>
  <si>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</si>
  <si>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</si>
  <si>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</si>
  <si>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</si>
  <si>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</si>
  <si>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</si>
  <si>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</si>
  <si>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</si>
  <si>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</si>
  <si>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</si>
  <si>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</si>
  <si>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</si>
  <si>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</si>
  <si>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</si>
  <si>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</si>
  <si>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</si>
  <si>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</si>
  <si>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</si>
  <si>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</si>
  <si>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</si>
  <si>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</si>
  <si>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</si>
  <si>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</si>
  <si>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</si>
  <si>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</si>
  <si>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</si>
  <si>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</si>
  <si>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</si>
  <si>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</si>
  <si>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</si>
  <si>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</si>
  <si>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</si>
  <si>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</si>
  <si>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</si>
  <si>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</si>
  <si>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</si>
  <si>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</si>
  <si>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</si>
  <si>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</si>
  <si>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</si>
  <si>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</si>
  <si>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</si>
  <si>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</si>
  <si>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</si>
  <si>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</si>
  <si>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</si>
  <si>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</si>
  <si>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</si>
  <si>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</si>
  <si>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</si>
  <si>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</si>
  <si>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</si>
  <si>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</si>
  <si>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</si>
  <si>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</si>
  <si>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</si>
  <si>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</si>
  <si>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</si>
  <si>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</si>
  <si>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</si>
  <si>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</si>
  <si>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</si>
  <si>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</si>
  <si>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</si>
  <si>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</si>
  <si>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</si>
  <si>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</si>
  <si>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</si>
  <si>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</si>
  <si>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</si>
  <si>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</si>
  <si>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</si>
  <si>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</si>
  <si>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</si>
  <si>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</si>
  <si>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</si>
  <si>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</si>
  <si>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</si>
  <si>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</si>
  <si>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</si>
  <si>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</si>
  <si>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</si>
  <si>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</si>
  <si>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</si>
  <si>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</si>
  <si>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</si>
  <si>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</si>
  <si>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</si>
  <si>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</si>
  <si>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</si>
  <si>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</si>
  <si>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</si>
  <si>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</si>
  <si>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</si>
  <si>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</si>
  <si>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</si>
  <si>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</si>
  <si>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</si>
  <si>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</si>
  <si>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</si>
  <si>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</si>
  <si>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</si>
  <si>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</si>
  <si>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</si>
  <si>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</si>
  <si>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</si>
  <si>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</si>
  <si>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</si>
  <si>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</si>
  <si>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</si>
  <si>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</si>
  <si>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</si>
  <si>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</si>
  <si>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</si>
  <si>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</si>
  <si>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</si>
  <si>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</si>
  <si>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</si>
  <si>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</si>
  <si>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</si>
  <si>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</si>
  <si>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</si>
  <si>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</si>
  <si>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</si>
  <si>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</si>
  <si>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</si>
  <si>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</si>
  <si>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</si>
  <si>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</si>
  <si>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</si>
  <si>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</si>
  <si>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</si>
  <si>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</si>
  <si>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</si>
  <si>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</si>
  <si>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</si>
  <si>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</si>
  <si>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</si>
  <si>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</si>
  <si>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</si>
  <si>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</si>
  <si>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</si>
  <si>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</si>
  <si>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</si>
  <si>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</si>
  <si>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</si>
  <si>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</si>
  <si>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</si>
  <si>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</si>
  <si>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</si>
  <si>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</si>
  <si>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</si>
  <si>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</si>
  <si>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</si>
  <si>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</si>
  <si>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</si>
  <si>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</si>
  <si>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</si>
  <si>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</si>
  <si>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</si>
  <si>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</si>
  <si>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</si>
  <si>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</si>
  <si>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</si>
  <si>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</si>
  <si>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</si>
  <si>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</si>
  <si>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</si>
  <si>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</si>
  <si>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</si>
  <si>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</si>
  <si>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</si>
  <si>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</si>
  <si>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</si>
  <si>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</si>
  <si>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</si>
  <si>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</si>
  <si>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</si>
  <si>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</si>
  <si>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</si>
  <si>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</si>
  <si>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</si>
  <si>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</si>
  <si>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</si>
  <si>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</si>
  <si>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</si>
  <si>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</si>
  <si>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</si>
  <si>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</si>
  <si>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</si>
  <si>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</si>
  <si>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</si>
  <si>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</si>
  <si>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</si>
  <si>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</si>
  <si>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</si>
  <si>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</si>
  <si>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</si>
  <si>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</si>
  <si>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</si>
  <si>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</si>
  <si>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</si>
  <si>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</si>
  <si>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</si>
  <si>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</si>
  <si>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</si>
  <si>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</si>
  <si>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</si>
  <si>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</si>
  <si>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</si>
  <si>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</si>
  <si>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</si>
  <si>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</si>
  <si>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</si>
  <si>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</si>
  <si>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</si>
  <si>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</si>
  <si>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</si>
  <si>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</si>
  <si>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</si>
  <si>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</si>
  <si>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</si>
  <si>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</si>
  <si>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</si>
  <si>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</si>
  <si>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</si>
  <si>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</si>
  <si>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</si>
  <si>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</si>
  <si>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</si>
  <si>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</si>
  <si>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</si>
  <si>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</si>
  <si>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</si>
  <si>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</si>
  <si>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</si>
  <si>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</si>
  <si>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</si>
  <si>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</si>
  <si>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</si>
  <si>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</si>
  <si>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</si>
  <si>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</si>
  <si>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</si>
  <si>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</si>
  <si>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</si>
  <si>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</si>
  <si>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</si>
  <si>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</si>
  <si>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</si>
  <si>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</si>
  <si>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</si>
  <si>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</si>
  <si>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</si>
  <si>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</si>
  <si>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</si>
  <si>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</si>
  <si>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</si>
  <si>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</si>
  <si>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</si>
  <si>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</si>
  <si>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</si>
  <si>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</si>
  <si>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</si>
  <si>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</si>
  <si>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</si>
  <si>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</si>
  <si>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</si>
  <si>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</si>
  <si>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</si>
  <si>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</si>
  <si>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</si>
  <si>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</si>
  <si>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</si>
  <si>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</si>
  <si>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</si>
  <si>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</si>
  <si>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</si>
  <si>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</si>
  <si>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</si>
  <si>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</si>
  <si>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</si>
  <si>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</si>
  <si>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</si>
  <si>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</si>
  <si>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</si>
  <si>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</si>
  <si>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</si>
  <si>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</si>
  <si>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</si>
  <si>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</si>
  <si>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</si>
  <si>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</si>
  <si>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</si>
  <si>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</si>
  <si>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</si>
  <si>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</si>
  <si>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</si>
  <si>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</si>
  <si>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</si>
  <si>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</si>
  <si>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</si>
  <si>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</si>
  <si>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</si>
  <si>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</si>
  <si>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</si>
  <si>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</si>
  <si>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</si>
  <si>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</si>
  <si>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</si>
  <si>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</si>
  <si>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</si>
  <si>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</si>
  <si>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</si>
  <si>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</si>
  <si>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</si>
  <si>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</si>
  <si>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</si>
  <si>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</si>
  <si>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</si>
  <si>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</si>
  <si>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</si>
  <si>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</si>
  <si>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</si>
  <si>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</si>
  <si>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</si>
  <si>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</si>
  <si>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</si>
  <si>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</si>
  <si>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</si>
  <si>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</si>
  <si>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</si>
  <si>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</si>
  <si>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</si>
  <si>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</si>
  <si>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</si>
  <si>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</si>
  <si>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</si>
  <si>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</si>
  <si>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</si>
  <si>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</si>
  <si>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</si>
  <si>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</si>
  <si>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</si>
  <si>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</si>
  <si>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</si>
  <si>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</si>
  <si>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</si>
  <si>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</si>
  <si>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</si>
  <si>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</si>
  <si>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</si>
  <si>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</si>
  <si>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</si>
  <si>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</si>
  <si>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</si>
  <si>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</si>
  <si>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</si>
  <si>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</si>
  <si>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</si>
  <si>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</si>
  <si>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</si>
  <si>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</si>
  <si>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</si>
  <si>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</si>
  <si>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</si>
  <si>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</si>
  <si>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</si>
  <si>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</si>
  <si>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</si>
  <si>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</si>
  <si>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</si>
  <si>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</si>
  <si>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</si>
  <si>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</si>
  <si>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</si>
  <si>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</si>
  <si>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</si>
  <si>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</si>
  <si>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</si>
  <si>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</si>
  <si>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</si>
  <si>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</si>
  <si>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</si>
  <si>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</si>
  <si>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</si>
  <si>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</si>
  <si>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</si>
  <si>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</si>
  <si>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</si>
  <si>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</si>
  <si>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</si>
  <si>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</si>
  <si>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</si>
  <si>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</si>
  <si>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</si>
  <si>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</si>
  <si>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</si>
  <si>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</si>
  <si>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</si>
  <si>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</si>
  <si>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</si>
  <si>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</si>
  <si>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</si>
  <si>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</si>
  <si>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</si>
  <si>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</si>
  <si>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</si>
  <si>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</si>
  <si>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</si>
  <si>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</si>
  <si>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</si>
  <si>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</si>
  <si>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</si>
  <si>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</si>
  <si>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</si>
  <si>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</si>
  <si>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</si>
  <si>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</si>
  <si>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</si>
  <si>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</si>
  <si>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</si>
  <si>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</si>
  <si>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</si>
  <si>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</si>
  <si>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</si>
  <si>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</si>
  <si>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</si>
  <si>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</si>
  <si>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</si>
  <si>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</si>
  <si>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</si>
  <si>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</si>
  <si>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</si>
  <si>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</si>
  <si>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</si>
  <si>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</si>
  <si>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</si>
  <si>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</si>
  <si>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</si>
  <si>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</si>
  <si>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</si>
  <si>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</si>
  <si>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</si>
  <si>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</si>
  <si>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</si>
  <si>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</si>
  <si>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</si>
  <si>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</si>
  <si>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</si>
  <si>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</si>
  <si>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</si>
  <si>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</si>
  <si>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</si>
  <si>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</si>
  <si>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</si>
  <si>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</si>
  <si>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</si>
  <si>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</si>
  <si>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</si>
  <si>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</si>
  <si>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</si>
  <si>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</si>
  <si>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</si>
  <si>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</si>
  <si>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</si>
  <si>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</si>
  <si>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</si>
  <si>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</si>
  <si>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</si>
  <si>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</si>
  <si>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</si>
  <si>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</si>
  <si>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</si>
  <si>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</si>
  <si>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</si>
  <si>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</si>
  <si>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</si>
  <si>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</si>
  <si>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</si>
  <si>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</si>
  <si>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</si>
  <si>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</si>
  <si>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</si>
  <si>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</si>
  <si>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</si>
  <si>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</si>
  <si>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</si>
  <si>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</si>
  <si>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</si>
  <si>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</si>
  <si>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</si>
  <si>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</si>
  <si>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</si>
  <si>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</si>
  <si>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</si>
  <si>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</si>
  <si>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</si>
  <si>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</si>
  <si>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</si>
  <si>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</si>
  <si>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</si>
  <si>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</si>
  <si>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</si>
  <si>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</si>
  <si>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</si>
  <si>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</si>
  <si>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</si>
  <si>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</si>
  <si>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</si>
  <si>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</si>
  <si>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</si>
  <si>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</si>
  <si>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</si>
  <si>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</si>
  <si>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</si>
  <si>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</si>
  <si>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</si>
  <si>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</si>
  <si>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</si>
  <si>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</si>
  <si>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</si>
  <si>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</si>
  <si>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</si>
  <si>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</si>
  <si>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</si>
  <si>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</si>
  <si>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</si>
  <si>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</si>
  <si>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</si>
  <si>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</si>
  <si>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</si>
  <si>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</si>
  <si>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</si>
  <si>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</si>
  <si>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</si>
  <si>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</si>
  <si>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</si>
  <si>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</si>
  <si>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</si>
  <si>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</si>
  <si>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</si>
  <si>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</si>
  <si>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</si>
  <si>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</si>
  <si>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</si>
  <si>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</si>
  <si>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</si>
  <si>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</si>
  <si>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</si>
  <si>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</si>
  <si>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</si>
  <si>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</si>
  <si>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</si>
  <si>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</si>
  <si>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</si>
  <si>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</si>
  <si>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</si>
  <si>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</si>
  <si>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</si>
  <si>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</si>
  <si>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</si>
  <si>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</si>
  <si>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</si>
  <si>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</si>
  <si>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</si>
  <si>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</si>
  <si>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</si>
  <si>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</si>
  <si>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</si>
  <si>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</si>
  <si>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</si>
  <si>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</si>
  <si>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</si>
  <si>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</si>
  <si>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</si>
  <si>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</si>
  <si>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</si>
  <si>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</si>
  <si>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</si>
  <si>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</si>
  <si>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</si>
  <si>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</si>
  <si>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</si>
  <si>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</si>
  <si>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</si>
  <si>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</si>
  <si>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</si>
  <si>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</si>
  <si>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</si>
  <si>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</si>
  <si>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</si>
  <si>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</si>
  <si>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</si>
  <si>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</si>
  <si>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</si>
  <si>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</si>
  <si>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</si>
  <si>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</si>
  <si>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</si>
  <si>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</si>
  <si>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</si>
  <si>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</si>
  <si>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</si>
  <si>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</si>
  <si>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</si>
  <si>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</si>
  <si>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</si>
  <si>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</si>
  <si>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</si>
  <si>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</si>
  <si>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</si>
  <si>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</si>
  <si>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</si>
  <si>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</si>
  <si>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</si>
  <si>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</si>
  <si>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</si>
  <si>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</si>
  <si>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</si>
  <si>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</si>
  <si>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</si>
  <si>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</si>
  <si>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</si>
  <si>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</si>
  <si>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</si>
  <si>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</si>
  <si>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</si>
  <si>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</si>
  <si>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</si>
  <si>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</si>
  <si>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</si>
  <si>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</si>
  <si>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</si>
  <si>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</si>
  <si>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</si>
  <si>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</si>
  <si>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</si>
  <si>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</si>
  <si>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</si>
  <si>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</si>
  <si>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</si>
  <si>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</si>
  <si>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</si>
  <si>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</si>
  <si>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</si>
  <si>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</si>
  <si>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</si>
  <si>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</si>
  <si>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</si>
  <si>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</si>
  <si>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</si>
  <si>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</si>
  <si>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</si>
  <si>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</si>
  <si>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</si>
  <si>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</si>
  <si>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</si>
  <si>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</si>
  <si>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</si>
  <si>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</si>
  <si>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</si>
  <si>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</si>
  <si>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</si>
  <si>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</si>
  <si>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</si>
  <si>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</si>
  <si>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</si>
  <si>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</si>
  <si>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</si>
  <si>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</si>
  <si>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</si>
  <si>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</si>
  <si>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</si>
  <si>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</si>
  <si>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</si>
  <si>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</si>
  <si>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</si>
  <si>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</si>
  <si>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</si>
  <si>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</si>
  <si>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</si>
  <si>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</si>
  <si>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</si>
  <si>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</si>
  <si>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</si>
  <si>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</si>
  <si>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</si>
  <si>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</si>
  <si>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</si>
  <si>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</si>
  <si>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</si>
  <si>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</si>
  <si>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</si>
  <si>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</si>
  <si>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</si>
  <si>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</si>
  <si>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</si>
  <si>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</si>
  <si>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</si>
  <si>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</si>
  <si>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</si>
  <si>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</si>
  <si>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</si>
  <si>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</si>
  <si>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</si>
  <si>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</si>
  <si>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</si>
  <si>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</si>
  <si>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</si>
  <si>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</si>
  <si>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</si>
  <si>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</si>
  <si>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</si>
  <si>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</si>
  <si>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</si>
  <si>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</si>
  <si>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</si>
  <si>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</si>
  <si>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</si>
  <si>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</si>
  <si>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</si>
  <si>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</si>
  <si>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</si>
  <si>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</si>
  <si>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</si>
  <si>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</si>
  <si>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</si>
  <si>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</si>
  <si>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</si>
  <si>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</si>
  <si>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</si>
  <si>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</si>
  <si>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</si>
  <si>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</si>
  <si>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</si>
  <si>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</si>
  <si>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</si>
  <si>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</si>
  <si>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</si>
  <si>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</si>
  <si>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</si>
  <si>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</si>
  <si>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</si>
  <si>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</si>
  <si>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</si>
  <si>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</si>
  <si>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</si>
  <si>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</si>
  <si>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</si>
  <si>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</si>
  <si>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</si>
  <si>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</si>
  <si>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</si>
  <si>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</si>
  <si>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</si>
  <si>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</si>
  <si>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</si>
  <si>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</si>
  <si>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</si>
  <si>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</si>
  <si>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</si>
  <si>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</si>
  <si>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</si>
  <si>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</si>
  <si>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</si>
  <si>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</si>
  <si>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</si>
  <si>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</si>
  <si>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</si>
  <si>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</si>
  <si>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</si>
  <si>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</si>
  <si>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</si>
  <si>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</si>
  <si>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</si>
  <si>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</si>
  <si>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</si>
  <si>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</si>
  <si>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</si>
  <si>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</si>
  <si>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</si>
  <si>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</si>
  <si>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</si>
  <si>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</si>
  <si>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</si>
  <si>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</si>
  <si>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</si>
  <si>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</si>
  <si>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</si>
  <si>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</si>
  <si>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</si>
  <si>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</si>
  <si>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</si>
  <si>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</si>
  <si>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</si>
  <si>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</si>
  <si>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</si>
  <si>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</si>
  <si>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</si>
  <si>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</si>
  <si>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</si>
  <si>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</si>
  <si>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</si>
  <si>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</si>
  <si>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</si>
  <si>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</si>
  <si>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</si>
  <si>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</si>
  <si>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</si>
  <si>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</si>
  <si>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</si>
  <si>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</si>
  <si>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</si>
  <si>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</si>
  <si>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</si>
  <si>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</si>
  <si>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</si>
  <si>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</si>
  <si>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</si>
  <si>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</si>
  <si>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</si>
  <si>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</si>
  <si>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</si>
  <si>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</si>
  <si>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</si>
  <si>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</si>
  <si>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</si>
  <si>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</si>
  <si>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</si>
  <si>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</si>
  <si>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</si>
  <si>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</si>
  <si>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</si>
  <si>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</si>
  <si>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</si>
  <si>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</si>
  <si>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</si>
  <si>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</si>
  <si>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</si>
  <si>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</si>
  <si>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</si>
  <si>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</si>
  <si>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</si>
  <si>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</si>
  <si>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</si>
  <si>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</si>
  <si>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</si>
  <si>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</si>
  <si>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</si>
  <si>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</si>
  <si>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</si>
  <si>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</si>
  <si>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</si>
  <si>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</si>
  <si>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</si>
  <si>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</si>
  <si>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</si>
  <si>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</si>
  <si>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</si>
  <si>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</si>
  <si>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</si>
  <si>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</si>
  <si>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</si>
  <si>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</si>
  <si>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</si>
  <si>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</si>
  <si>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</si>
  <si>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</si>
  <si>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</si>
  <si>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</si>
  <si>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</si>
  <si>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</si>
  <si>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</si>
  <si>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</si>
  <si>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</si>
  <si>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</si>
  <si>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</si>
  <si>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</si>
  <si>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</si>
  <si>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</si>
  <si>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</si>
  <si>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</si>
  <si>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</si>
  <si>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</si>
  <si>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</si>
  <si>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</si>
  <si>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</si>
  <si>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</si>
  <si>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</si>
  <si>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</si>
  <si>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</si>
  <si>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</si>
  <si>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</si>
  <si>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</si>
  <si>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</si>
  <si>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</si>
  <si>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</si>
  <si>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</si>
  <si>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</si>
  <si>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</si>
  <si>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</si>
  <si>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</si>
  <si>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</si>
  <si>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</si>
  <si>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</si>
  <si>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</si>
  <si>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</si>
  <si>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</si>
  <si>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</si>
  <si>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</si>
  <si>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</si>
  <si>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</si>
  <si>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</si>
  <si>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</si>
  <si>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</si>
  <si>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</si>
  <si>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</si>
  <si>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</si>
  <si>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</si>
  <si>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</si>
  <si>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</si>
  <si>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</si>
  <si>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</si>
  <si>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</si>
  <si>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</si>
  <si>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</si>
  <si>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</si>
  <si>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</si>
  <si>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</si>
  <si>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</si>
  <si>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</si>
  <si>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</si>
  <si>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</si>
  <si>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</si>
  <si>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</si>
  <si>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</si>
  <si>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</si>
  <si>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</si>
  <si>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</si>
  <si>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</si>
  <si>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</si>
  <si>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</si>
  <si>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</si>
  <si>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</si>
  <si>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</si>
  <si>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</si>
  <si>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</si>
  <si>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</si>
  <si>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</si>
  <si>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</si>
  <si>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</si>
  <si>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</si>
  <si>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</si>
  <si>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</si>
  <si>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</si>
  <si>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</si>
  <si>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</si>
  <si>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</si>
  <si>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</si>
  <si>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</si>
  <si>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</si>
  <si>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</si>
  <si>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</si>
  <si>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</si>
  <si>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</si>
  <si>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</si>
  <si>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</si>
  <si>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</si>
  <si>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</si>
  <si>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</si>
  <si>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</si>
  <si>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</si>
  <si>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</si>
  <si>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</si>
  <si>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</si>
  <si>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</si>
  <si>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</si>
  <si>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</si>
  <si>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</si>
  <si>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</si>
  <si>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</si>
  <si>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</si>
  <si>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</si>
  <si>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</si>
  <si>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</si>
  <si>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</si>
  <si>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</si>
  <si>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</si>
  <si>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</si>
  <si>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</si>
  <si>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</si>
  <si>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</si>
  <si>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</si>
  <si>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</si>
  <si>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</si>
  <si>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</si>
  <si>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</si>
  <si>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</si>
  <si>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</si>
  <si>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</si>
  <si>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</si>
  <si>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</si>
  <si>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</si>
  <si>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</si>
  <si>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</si>
  <si>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</si>
  <si>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</si>
  <si>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</si>
  <si>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</si>
  <si>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</si>
  <si>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</si>
  <si>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</si>
  <si>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</si>
  <si>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</si>
  <si>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</si>
  <si>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</si>
  <si>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</si>
  <si>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</si>
  <si>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</si>
  <si>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</si>
  <si>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</si>
  <si>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</si>
  <si>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</si>
  <si>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</si>
  <si>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</si>
  <si>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</si>
  <si>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</si>
  <si>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</si>
  <si>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</si>
  <si>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</si>
  <si>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</si>
  <si>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</si>
  <si>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</si>
  <si>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</si>
  <si>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</si>
  <si>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</si>
  <si>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</si>
  <si>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</si>
  <si>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</si>
  <si>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</si>
  <si>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</si>
  <si>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</si>
  <si>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</si>
  <si>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</si>
  <si>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</si>
  <si>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</si>
  <si>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</si>
  <si>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</si>
  <si>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</si>
  <si>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</si>
  <si>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</si>
  <si>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</si>
  <si>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</si>
  <si>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</si>
  <si>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</si>
  <si>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</si>
  <si>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</si>
  <si>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</si>
  <si>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</si>
  <si>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</si>
  <si>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</si>
  <si>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</si>
  <si>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</si>
  <si>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</si>
  <si>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</si>
  <si>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</si>
  <si>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</si>
  <si>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</si>
  <si>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</si>
  <si>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</si>
  <si>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</si>
  <si>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</si>
  <si>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</si>
  <si>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</si>
  <si>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</si>
  <si>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</si>
  <si>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</si>
  <si>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</si>
  <si>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</si>
  <si>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</si>
  <si>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</si>
  <si>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</si>
  <si>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</si>
  <si>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</si>
  <si>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</si>
  <si>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</si>
  <si>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</si>
  <si>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</si>
  <si>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</si>
  <si>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</si>
  <si>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</si>
  <si>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</si>
  <si>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</si>
  <si>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</si>
  <si>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</si>
  <si>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</si>
  <si>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</si>
  <si>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</si>
  <si>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</si>
  <si>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</si>
  <si>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</si>
  <si>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</si>
  <si>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</si>
  <si>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</si>
  <si>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</si>
  <si>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</si>
  <si>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</si>
  <si>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</si>
  <si>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</si>
  <si>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</si>
  <si>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</si>
  <si>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</si>
  <si>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</si>
  <si>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</si>
  <si>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</si>
  <si>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</si>
  <si>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</si>
  <si>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</si>
  <si>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</si>
  <si>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</si>
  <si>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</si>
  <si>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</si>
  <si>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</si>
  <si>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</si>
  <si>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</si>
  <si>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</si>
  <si>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</si>
  <si>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</si>
  <si>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</si>
  <si>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</si>
  <si>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</si>
  <si>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</si>
  <si>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</si>
  <si>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</si>
  <si>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</si>
  <si>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</si>
  <si>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</si>
  <si>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</si>
  <si>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</si>
  <si>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</si>
  <si>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</si>
  <si>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</si>
  <si>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</si>
  <si>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</si>
  <si>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</si>
  <si>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</si>
  <si>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</si>
  <si>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</si>
  <si>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</si>
  <si>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</si>
  <si>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</si>
  <si>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</si>
  <si>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</si>
  <si>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</si>
  <si>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</si>
  <si>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</si>
  <si>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</si>
  <si>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</si>
  <si>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</si>
  <si>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</si>
  <si>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</si>
  <si>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</si>
  <si>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</si>
  <si>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</si>
  <si>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</si>
  <si>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</si>
  <si>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</si>
  <si>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</si>
  <si>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</si>
  <si>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</si>
  <si>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</si>
  <si>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</si>
  <si>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</si>
  <si>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</si>
  <si>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</si>
  <si>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</si>
  <si>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</si>
  <si>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</si>
  <si>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</si>
  <si>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</si>
  <si>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</si>
  <si>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</si>
  <si>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</si>
  <si>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</si>
  <si>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</si>
  <si>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</si>
  <si>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</si>
  <si>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</si>
  <si>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</si>
  <si>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</si>
  <si>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</si>
  <si>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</si>
  <si>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</si>
  <si>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</si>
  <si>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</si>
  <si>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</si>
  <si>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</si>
  <si>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</si>
  <si>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</si>
  <si>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</si>
  <si>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</si>
  <si>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</si>
  <si>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</si>
  <si>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</si>
  <si>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</si>
  <si>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</si>
  <si>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</si>
  <si>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</si>
  <si>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</si>
  <si>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</si>
  <si>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</si>
  <si>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</si>
  <si>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</si>
  <si>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</si>
  <si>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</si>
  <si>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</si>
  <si>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</si>
  <si>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</si>
  <si>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</si>
  <si>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</si>
  <si>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</si>
  <si>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</si>
  <si>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</si>
  <si>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</si>
  <si>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</si>
  <si>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</si>
  <si>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</si>
  <si>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</si>
  <si>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</si>
  <si>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</si>
  <si>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</si>
  <si>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</si>
  <si>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</si>
  <si>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</si>
  <si>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</si>
  <si>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</si>
  <si>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</si>
  <si>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</si>
  <si>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</si>
  <si>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</si>
  <si>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</si>
  <si>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</si>
  <si>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</si>
  <si>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</si>
  <si>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</si>
  <si>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</si>
  <si>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</si>
  <si>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</si>
  <si>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</si>
  <si>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</si>
  <si>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</si>
  <si>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</si>
  <si>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</si>
  <si>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</si>
  <si>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</si>
  <si>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</si>
  <si>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</si>
  <si>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</si>
  <si>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</si>
  <si>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</si>
  <si>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</si>
  <si>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</si>
  <si>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</si>
  <si>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</si>
  <si>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</si>
  <si>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</si>
  <si>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</si>
  <si>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</si>
  <si>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</si>
  <si>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</si>
  <si>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</si>
  <si>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</si>
  <si>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</si>
  <si>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</si>
  <si>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</si>
  <si>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</si>
  <si>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</si>
  <si>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</si>
  <si>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</si>
  <si>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</si>
  <si>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</si>
  <si>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</si>
  <si>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</si>
  <si>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</si>
  <si>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</si>
  <si>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</si>
  <si>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</si>
  <si>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</si>
  <si>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</si>
  <si>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</si>
  <si>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</si>
  <si>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</si>
  <si>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</si>
  <si>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</si>
  <si>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</si>
  <si>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</si>
  <si>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</si>
  <si>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</si>
  <si>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</si>
  <si>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</si>
  <si>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</si>
  <si>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</si>
  <si>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</si>
  <si>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</si>
  <si>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</si>
  <si>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</si>
  <si>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</si>
  <si>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</si>
  <si>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</si>
  <si>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</si>
  <si>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</si>
  <si>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</si>
  <si>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</si>
  <si>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</si>
  <si>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</si>
  <si>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</si>
  <si>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</si>
  <si>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</si>
  <si>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</si>
  <si>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</si>
  <si>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</si>
  <si>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</si>
  <si>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</si>
  <si>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</si>
  <si>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</si>
  <si>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</si>
  <si>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</si>
  <si>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</si>
  <si>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</si>
  <si>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</si>
  <si>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</si>
  <si>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</si>
  <si>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</si>
  <si>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</si>
  <si>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</si>
  <si>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</si>
  <si>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</si>
  <si>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</si>
  <si>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</si>
  <si>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</si>
  <si>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</si>
  <si>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</si>
  <si>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</si>
  <si>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</si>
  <si>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</si>
  <si>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</si>
  <si>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</si>
  <si>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</si>
  <si>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</si>
  <si>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</si>
  <si>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</si>
  <si>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</si>
  <si>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</si>
  <si>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</si>
  <si>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</si>
  <si>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</si>
  <si>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</si>
  <si>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</si>
  <si>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</si>
  <si>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</si>
  <si>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</si>
  <si>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</si>
  <si>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</si>
  <si>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</si>
  <si>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</si>
  <si>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</si>
  <si>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</si>
  <si>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</si>
  <si>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</si>
  <si>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</si>
  <si>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</si>
  <si>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</si>
  <si>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</si>
  <si>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</si>
  <si>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</si>
  <si>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</si>
  <si>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</si>
  <si>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</si>
  <si>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</si>
  <si>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</si>
  <si>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</si>
  <si>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</si>
  <si>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</si>
  <si>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</si>
  <si>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</si>
  <si>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</si>
  <si>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</si>
  <si>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</si>
  <si>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</si>
  <si>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</si>
  <si>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</si>
  <si>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</si>
  <si>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</si>
  <si>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</si>
  <si>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</si>
  <si>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</si>
  <si>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</si>
  <si>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</si>
  <si>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</si>
  <si>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</si>
  <si>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</si>
  <si>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</si>
  <si>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</si>
  <si>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</si>
  <si>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</si>
  <si>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</si>
  <si>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</si>
  <si>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</si>
  <si>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</si>
  <si>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</si>
  <si>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</si>
  <si>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</si>
  <si>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</si>
  <si>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</si>
  <si>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</si>
  <si>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</si>
  <si>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</si>
  <si>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</si>
  <si>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</si>
  <si>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</si>
  <si>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</si>
  <si>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DFLTGCOH_BF-C8_001022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</si>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</sst>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3.795559953702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6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5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5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5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5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5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5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5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5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5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5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5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5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5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5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5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5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5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5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5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5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5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5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4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7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2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0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0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0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0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0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0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0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0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0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0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0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0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0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0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0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0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0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0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0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0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0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0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0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0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0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0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0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0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0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9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7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7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7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4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4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4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1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1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1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1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1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1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0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0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0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0"/>
    <n v="5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0"/>
    <n v="5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0"/>
    <n v="5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0"/>
    <n v="5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0"/>
    <n v="5"/>
    <s v="Ruby Grace Garcia"/>
    <m/>
  </r>
  <r>
    <x v="448"/>
    <x v="1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3"/>
    <s v="Manuel Walther"/>
    <m/>
  </r>
  <r>
    <x v="448"/>
    <x v="1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3"/>
    <s v="Manuel Walther"/>
    <m/>
  </r>
  <r>
    <x v="448"/>
    <x v="1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3"/>
    <s v="Manuel Walther"/>
    <m/>
  </r>
  <r>
    <x v="448"/>
    <x v="1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3"/>
    <s v="Manuel Walther"/>
    <m/>
  </r>
  <r>
    <x v="448"/>
    <x v="1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3"/>
    <s v="Manuel Walther"/>
    <m/>
  </r>
  <r>
    <x v="448"/>
    <x v="1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3"/>
    <s v="Manuel Walther"/>
    <m/>
  </r>
  <r>
    <x v="448"/>
    <x v="1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3"/>
    <s v="Manuel Walther"/>
    <m/>
  </r>
  <r>
    <x v="448"/>
    <x v="1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3"/>
    <s v="Manuel Walther"/>
    <m/>
  </r>
  <r>
    <x v="448"/>
    <x v="1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3"/>
    <s v="Manuel Walther"/>
    <m/>
  </r>
  <r>
    <x v="448"/>
    <x v="1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3"/>
    <s v="Manuel Walther"/>
    <m/>
  </r>
  <r>
    <x v="448"/>
    <x v="1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3"/>
    <s v="Manuel Walther"/>
    <m/>
  </r>
  <r>
    <x v="448"/>
    <x v="1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3"/>
    <s v="Manuel Walther"/>
    <m/>
  </r>
  <r>
    <x v="448"/>
    <x v="1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3"/>
    <s v="Manuel Walther"/>
    <m/>
  </r>
  <r>
    <x v="448"/>
    <x v="1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3"/>
    <s v="Manuel Walther"/>
    <m/>
  </r>
  <r>
    <x v="448"/>
    <x v="1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3"/>
    <s v="Manuel Walther"/>
    <m/>
  </r>
  <r>
    <x v="448"/>
    <x v="1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3"/>
    <s v="Manuel Walther"/>
    <m/>
  </r>
  <r>
    <x v="448"/>
    <x v="1"/>
    <x v="6"/>
    <s v="CLFF_1000$$$DE10E61200"/>
    <s v="G000000847"/>
    <m/>
    <s v="LFF (MDG-F)"/>
    <s v="DE10E61200"/>
    <m/>
    <b v="0"/>
    <x v="0"/>
    <x v="0"/>
    <d v="2025-11-27T00:00:00"/>
    <m/>
    <m/>
    <x v="0"/>
    <n v="3"/>
    <s v="Manuel Walther"/>
    <m/>
  </r>
  <r>
    <x v="448"/>
    <x v="1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3"/>
    <s v="Manuel Walther"/>
    <m/>
  </r>
  <r>
    <x v="448"/>
    <x v="1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3"/>
    <s v="Manuel Walther"/>
    <m/>
  </r>
  <r>
    <x v="448"/>
    <x v="1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3"/>
    <s v="Manuel Walther"/>
    <m/>
  </r>
  <r>
    <x v="448"/>
    <x v="1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3"/>
    <s v="Manuel Walther"/>
    <m/>
  </r>
  <r>
    <x v="448"/>
    <x v="1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3"/>
    <s v="Manuel Walther"/>
    <m/>
  </r>
  <r>
    <x v="448"/>
    <x v="1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3"/>
    <s v="Manuel Walther"/>
    <m/>
  </r>
  <r>
    <x v="448"/>
    <x v="1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3"/>
    <s v="Manuel Walther"/>
    <m/>
  </r>
  <r>
    <x v="448"/>
    <x v="1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3"/>
    <s v="Manuel Walther"/>
    <m/>
  </r>
  <r>
    <x v="448"/>
    <x v="1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3"/>
    <s v="Manuel Walther"/>
    <m/>
  </r>
  <r>
    <x v="448"/>
    <x v="1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3"/>
    <s v="Manuel Walther"/>
    <m/>
  </r>
  <r>
    <x v="448"/>
    <x v="1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3"/>
    <s v="Manuel Walther"/>
    <m/>
  </r>
  <r>
    <x v="448"/>
    <x v="1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3"/>
    <s v="Manuel Walther"/>
    <m/>
  </r>
  <r>
    <x v="448"/>
    <x v="1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3"/>
    <s v="Manuel Walther"/>
    <m/>
  </r>
  <r>
    <x v="448"/>
    <x v="1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3"/>
    <s v="Manuel Walther"/>
    <m/>
  </r>
  <r>
    <x v="448"/>
    <x v="1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3"/>
    <s v="Manuel Walther"/>
    <m/>
  </r>
  <r>
    <x v="448"/>
    <x v="1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3"/>
    <s v="Manuel Walther"/>
    <m/>
  </r>
  <r>
    <x v="448"/>
    <x v="1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3"/>
    <s v="Manuel Walther"/>
    <m/>
  </r>
  <r>
    <x v="449"/>
    <x v="1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2"/>
    <s v="John Rowie Del Rosario"/>
    <m/>
  </r>
  <r>
    <x v="449"/>
    <x v="1"/>
    <x v="6"/>
    <s v="CLFF_VMCA$$$TW10TQ1003"/>
    <s v="P000001346"/>
    <m/>
    <s v="LFF (MDG-F)"/>
    <s v="TW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2"/>
    <s v="John Rowie Del Rosario"/>
    <m/>
  </r>
  <r>
    <x v="449"/>
    <x v="1"/>
    <x v="4"/>
    <s v="CLFF_VMCA$$$SG10TQ1001"/>
    <s v="P000001346"/>
    <m/>
    <s v="LFF (MDG-F)"/>
    <s v="SG10TQ1001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2"/>
    <s v="P000001346"/>
    <m/>
    <s v="LFF (MDG-F)"/>
    <s v="SG10TQ1002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3"/>
    <s v="P000001346"/>
    <m/>
    <s v="LFF (MDG-F)"/>
    <s v="SG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2"/>
    <s v="John Rowie Del Rosario"/>
    <m/>
  </r>
  <r>
    <x v="449"/>
    <x v="1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2"/>
    <s v="John Rowie Del Rosario"/>
    <m/>
  </r>
  <r>
    <x v="449"/>
    <x v="1"/>
    <x v="6"/>
    <s v="CLFF_VMCA$$$MY10DB3300 Malaysia DIstribution"/>
    <s v="P000001347"/>
    <m/>
    <s v="LFF (MDG-F)"/>
    <s v="MY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SG10TM3000 SG10 Customer Fulfillment Admin Mgmt"/>
    <s v="P000001347"/>
    <m/>
    <s v="LFF (MDG-F)"/>
    <s v="SG10TM30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0 TW Transportation Management"/>
    <s v="P000001347"/>
    <m/>
    <s v="LFF (MDG-F)"/>
    <s v="TW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1 TW10 Customs/Duties Spec Gas"/>
    <s v="P000001348"/>
    <m/>
    <s v="LFF (MDG-F)"/>
    <s v="TW10DB3301"/>
    <s v="P000001348"/>
    <b v="0"/>
    <x v="3"/>
    <x v="0"/>
    <d v="2025-11-28T00:00:00"/>
    <m/>
    <m/>
    <x v="0"/>
    <n v="2"/>
    <s v="John Rowie Del Rosario"/>
    <m/>
  </r>
  <r>
    <x v="449"/>
    <x v="1"/>
    <x v="6"/>
    <s v="CLFF_VMCA$$$TW10DB3305 AM Transportation"/>
    <s v="P000001348"/>
    <m/>
    <s v="LFF (MDG-F)"/>
    <s v="TW10DB3305"/>
    <s v="P000001348"/>
    <b v="0"/>
    <x v="3"/>
    <x v="0"/>
    <d v="2025-11-28T00:00:00"/>
    <m/>
    <m/>
    <x v="0"/>
    <n v="2"/>
    <s v="John Rowie Del Rosario"/>
    <m/>
  </r>
  <r>
    <x v="449"/>
    <x v="1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2"/>
    <s v="John Rowie Del Rosario"/>
    <m/>
  </r>
  <r>
    <x v="449"/>
    <x v="1"/>
    <x v="6"/>
    <s v="CLFF_KR00$$$KR03OF0303 Customer Service"/>
    <s v="P000001355"/>
    <m/>
    <s v="LFF (MDG-F)"/>
    <s v="KR03OF0303"/>
    <s v="P000001355"/>
    <b v="0"/>
    <x v="3"/>
    <x v="0"/>
    <d v="2025-11-28T00:00:00"/>
    <m/>
    <m/>
    <x v="0"/>
    <n v="2"/>
    <s v="John Rowie Del Rosario"/>
    <m/>
  </r>
  <r>
    <x v="449"/>
    <x v="1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2"/>
    <s v="John Rowie Del Rosario"/>
    <m/>
  </r>
  <r>
    <x v="449"/>
    <x v="1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2"/>
    <s v="John Rowie Del Rosario"/>
    <m/>
  </r>
  <r>
    <x v="449"/>
    <x v="1"/>
    <x v="6"/>
    <s v="CLFF_KR00$$$KR03TPPZ14 W/H Expense from MEM"/>
    <s v="P000001352"/>
    <m/>
    <s v="LFF (MDG-F)"/>
    <s v="KR03TPPZ14"/>
    <s v="P000001352"/>
    <b v="0"/>
    <x v="3"/>
    <x v="0"/>
    <d v="2025-11-28T00:00:00"/>
    <m/>
    <m/>
    <x v="0"/>
    <n v="2"/>
    <s v="John Rowie Del Rosario"/>
    <m/>
  </r>
  <r>
    <x v="449"/>
    <x v="1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2"/>
    <s v="John Rowie Del Rosario"/>
    <m/>
  </r>
  <r>
    <x v="449"/>
    <x v="1"/>
    <x v="6"/>
    <s v="CLFF_KR00$$$KR03TPPZ04 SD - Logistics PM"/>
    <s v="P000001353"/>
    <m/>
    <s v="LFF (MDG-F)"/>
    <s v="KR03TPPZ04"/>
    <s v="P000001353"/>
    <b v="0"/>
    <x v="3"/>
    <x v="0"/>
    <d v="2025-11-28T00:00:00"/>
    <m/>
    <m/>
    <x v="0"/>
    <n v="2"/>
    <s v="John Rowie Del Rosario"/>
    <m/>
  </r>
  <r>
    <x v="449"/>
    <x v="1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2"/>
    <s v="John Rowie Del Rosario"/>
    <m/>
  </r>
  <r>
    <x v="449"/>
    <x v="1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2"/>
    <s v="John Rowie Del Rosario"/>
    <m/>
  </r>
  <r>
    <x v="449"/>
    <x v="1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2"/>
    <s v="John Rowie Del Rosario"/>
    <m/>
  </r>
  <r>
    <x v="449"/>
    <x v="1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2"/>
    <s v="John Rowie Del Rosario"/>
    <m/>
  </r>
  <r>
    <x v="449"/>
    <x v="1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2"/>
    <s v="John Rowie Del Rosario"/>
    <m/>
  </r>
  <r>
    <x v="449"/>
    <x v="1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2"/>
    <s v="John Rowie Del Rosario"/>
    <m/>
  </r>
  <r>
    <x v="449"/>
    <x v="1"/>
    <x v="6"/>
    <s v="CLFF_VMCA$$$US10TQ1012"/>
    <s v="P000001358"/>
    <m/>
    <s v="LFF (MDG-F)"/>
    <s v="US10TQ1012"/>
    <s v="P000001358"/>
    <b v="0"/>
    <x v="3"/>
    <x v="0"/>
    <d v="2025-11-28T00:00:00"/>
    <m/>
    <m/>
    <x v="0"/>
    <n v="2"/>
    <s v="John Rowie Del Rosario"/>
    <m/>
  </r>
  <r>
    <x v="449"/>
    <x v="1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QHZ03 Sheboygan IC Outbound Freight Expense"/>
    <s v="P000001356"/>
    <m/>
    <s v="LFF (MDG-F)"/>
    <s v="US01TQHZ03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M2001"/>
    <s v="P000001356"/>
    <m/>
    <s v="LFF (MDG-F)"/>
    <s v="US01TM2001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2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1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1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1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1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1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1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1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1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1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2"/>
    <x v="1"/>
    <x v="2"/>
    <s v="CSCALA_1022$ITR"/>
    <s v="G000001238"/>
    <s v="G000001238"/>
    <s v="Non-LFF"/>
    <s v=""/>
    <m/>
    <b v="1"/>
    <x v="0"/>
    <x v="0"/>
    <d v="2025-12-02T00:00:00"/>
    <m/>
    <m/>
    <x v="0"/>
    <n v="0"/>
    <s v="Jay-R Lizardo"/>
    <m/>
  </r>
  <r>
    <x v="452"/>
    <x v="1"/>
    <x v="6"/>
    <s v="CLFF_1000$$$CN90GM4004"/>
    <s v="G000001457"/>
    <m/>
    <s v="LFF (MDG-F)"/>
    <s v="CN90GM4004"/>
    <s v="G000001457"/>
    <b v="0"/>
    <x v="0"/>
    <x v="0"/>
    <d v="2025-12-02T00:00:00"/>
    <m/>
    <m/>
    <x v="0"/>
    <n v="0"/>
    <s v="Jay-R Lizardo"/>
    <m/>
  </r>
  <r>
    <x v="452"/>
    <x v="1"/>
    <x v="5"/>
    <s v="CTEMPEU_1000PL80GFO045"/>
    <s v="G000001458"/>
    <m/>
    <s v="Non-LFF"/>
    <s v=""/>
    <s v="G000001458"/>
    <b v="0"/>
    <x v="0"/>
    <x v="0"/>
    <d v="2025-12-02T00:00:00"/>
    <m/>
    <m/>
    <x v="0"/>
    <n v="0"/>
    <s v="Jay-R Lizardo"/>
    <m/>
  </r>
  <r>
    <x v="452"/>
    <x v="1"/>
    <x v="5"/>
    <s v="CTEMPEU_1000PL80GMS040"/>
    <s v="G000001459"/>
    <m/>
    <s v="Non-LFF"/>
    <s v=""/>
    <s v="G000001459"/>
    <b v="0"/>
    <x v="0"/>
    <x v="0"/>
    <d v="2025-12-02T00:00:00"/>
    <m/>
    <m/>
    <x v="0"/>
    <n v="0"/>
    <s v="Jay-R Lizardo"/>
    <m/>
  </r>
  <r>
    <x v="452"/>
    <x v="1"/>
    <x v="5"/>
    <s v="CTEMPNA_1000PH80GFO026"/>
    <s v="G000001460"/>
    <m/>
    <s v="Non-LFF"/>
    <s v=""/>
    <s v="G000001460"/>
    <b v="0"/>
    <x v="0"/>
    <x v="0"/>
    <d v="2025-12-02T00:00:00"/>
    <m/>
    <m/>
    <x v="0"/>
    <n v="0"/>
    <s v="Jay-R Lizardo"/>
    <m/>
  </r>
  <r>
    <x v="452"/>
    <x v="1"/>
    <x v="5"/>
    <s v="CTEMPNA_1000PH80GFO12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6"/>
    <s v="CLFF_1000$$$DE10GMS041"/>
    <s v="G000001459"/>
    <m/>
    <s v="LFF (MDG-F)"/>
    <s v="DE10GMS041"/>
    <s v="G000001459"/>
    <b v="0"/>
    <x v="0"/>
    <x v="0"/>
    <d v="2025-12-02T00:00:00"/>
    <m/>
    <m/>
    <x v="0"/>
    <n v="0"/>
    <s v="Jay-R Lizardo"/>
    <m/>
  </r>
  <r>
    <x v="452"/>
    <x v="1"/>
    <x v="6"/>
    <s v="CLFF_1000$$$DE10GMS070"/>
    <s v="G000001460"/>
    <m/>
    <s v="LFF (MDG-F)"/>
    <s v="DE10GMS070"/>
    <s v="G000001460"/>
    <b v="0"/>
    <x v="0"/>
    <x v="0"/>
    <d v="2025-12-02T00:00:00"/>
    <m/>
    <m/>
    <x v="0"/>
    <n v="0"/>
    <s v="Jay-R Lizardo"/>
    <m/>
  </r>
  <r>
    <x v="452"/>
    <x v="1"/>
    <x v="6"/>
    <s v="CLFF_1000$$$DE10669632"/>
    <s v="G000001459"/>
    <m/>
    <s v="LFF (MDG-F)"/>
    <s v="DE10669632"/>
    <s v="G000001459"/>
    <b v="0"/>
    <x v="0"/>
    <x v="0"/>
    <d v="2025-12-02T00:00:00"/>
    <m/>
    <m/>
    <x v="0"/>
    <n v="0"/>
    <s v="Jay-R Lizardo"/>
    <m/>
  </r>
  <r>
    <x v="452"/>
    <x v="1"/>
    <x v="5"/>
    <s v="CTEMPLA_1000UY1010004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5"/>
    <s v="CNOW_7210$$$0000021361"/>
    <s v="G000000736"/>
    <m/>
    <s v="Non-LFF"/>
    <s v=""/>
    <s v="G000000736"/>
    <b v="0"/>
    <x v="0"/>
    <x v="0"/>
    <d v="2025-12-02T00:00:00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25"/>
    </i>
    <i r="2">
      <x v="3"/>
    </i>
    <i r="2">
      <x v="11"/>
    </i>
    <i r="1">
      <x v="1626"/>
    </i>
    <i r="2">
      <x v="3"/>
    </i>
    <i r="2">
      <x v="10"/>
    </i>
    <i r="2">
      <x v="11"/>
    </i>
    <i r="1">
      <x v="1629"/>
    </i>
    <i r="2">
      <x v="3"/>
    </i>
    <i r="2">
      <x v="8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5" totalsRowShown="0" totalsRowDxfId="26">
  <autoFilter ref="A1:C137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61" totalsRowShown="0">
  <autoFilter ref="A1:S5061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239</v>
      </c>
    </row>
    <row r="6" spans="1:2">
      <c r="A6" s="111" t="s">
        <v>404</v>
      </c>
      <c r="B6" s="150"/>
    </row>
    <row r="7" spans="1:2">
      <c r="A7" s="111" t="s">
        <v>370</v>
      </c>
      <c r="B7" s="150">
        <v>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5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273</v>
      </c>
    </row>
    <row r="22" spans="1:2">
      <c r="A22" s="111" t="s">
        <v>377</v>
      </c>
      <c r="B22" s="150">
        <v>9</v>
      </c>
    </row>
    <row r="23" spans="1:2">
      <c r="A23" s="111" t="s">
        <v>375</v>
      </c>
      <c r="B23" s="150">
        <v>12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190</v>
      </c>
      <c r="C5"/>
      <c r="D5"/>
      <c r="E5"/>
    </row>
    <row r="6" spans="1:6">
      <c r="A6" s="111" t="s">
        <v>7001</v>
      </c>
      <c r="B6" s="150">
        <v>34</v>
      </c>
      <c r="C6" s="126"/>
      <c r="D6" s="124"/>
      <c r="E6" s="124"/>
    </row>
    <row r="7" spans="1:6">
      <c r="A7" s="112" t="s">
        <v>369</v>
      </c>
      <c r="B7" s="150">
        <v>33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7039</v>
      </c>
      <c r="B9" s="150">
        <v>145</v>
      </c>
      <c r="C9"/>
      <c r="D9"/>
    </row>
    <row r="10" spans="1:6">
      <c r="A10" s="112" t="s">
        <v>369</v>
      </c>
      <c r="B10" s="150">
        <v>130</v>
      </c>
      <c r="C10" s="53"/>
      <c r="D10" s="124"/>
      <c r="E10" s="124"/>
    </row>
    <row r="11" spans="1:6">
      <c r="A11" s="112" t="s">
        <v>377</v>
      </c>
      <c r="B11" s="150">
        <v>3</v>
      </c>
      <c r="C11"/>
      <c r="D11"/>
    </row>
    <row r="12" spans="1:6">
      <c r="A12" s="112" t="s">
        <v>375</v>
      </c>
      <c r="B12" s="150">
        <v>12</v>
      </c>
      <c r="C12" s="126"/>
      <c r="D12"/>
    </row>
    <row r="13" spans="1:6">
      <c r="A13" s="111" t="s">
        <v>7221</v>
      </c>
      <c r="B13" s="150">
        <v>11</v>
      </c>
      <c r="C13"/>
      <c r="D13"/>
    </row>
    <row r="14" spans="1:6">
      <c r="A14" s="112" t="s">
        <v>369</v>
      </c>
      <c r="B14" s="150">
        <v>1</v>
      </c>
      <c r="C14" s="126"/>
      <c r="D14"/>
    </row>
    <row r="15" spans="1:6">
      <c r="A15" s="112" t="s">
        <v>370</v>
      </c>
      <c r="B15" s="150">
        <v>6</v>
      </c>
      <c r="C15"/>
      <c r="D15" s="124"/>
      <c r="E15" s="124"/>
    </row>
    <row r="16" spans="1:6">
      <c r="A16" s="112" t="s">
        <v>375</v>
      </c>
      <c r="B16" s="150">
        <v>4</v>
      </c>
      <c r="C16"/>
      <c r="D16"/>
    </row>
    <row r="17" spans="1:5">
      <c r="A17" s="17" t="s">
        <v>4326</v>
      </c>
      <c r="B17" s="150">
        <v>2</v>
      </c>
      <c r="C17"/>
      <c r="D17" s="124"/>
      <c r="E17" s="124"/>
    </row>
    <row r="18" spans="1:5">
      <c r="A18" s="111" t="s">
        <v>6639</v>
      </c>
      <c r="B18" s="150">
        <v>2</v>
      </c>
      <c r="C18" s="126"/>
      <c r="D18"/>
    </row>
    <row r="19" spans="1:5">
      <c r="A19" s="112" t="s">
        <v>692</v>
      </c>
      <c r="B19" s="150">
        <v>2</v>
      </c>
      <c r="C19" s="47"/>
      <c r="D19"/>
    </row>
    <row r="20" spans="1:5">
      <c r="A20" s="17" t="s">
        <v>381</v>
      </c>
      <c r="B20" s="150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5"/>
  <sheetViews>
    <sheetView topLeftCell="A1341" workbookViewId="0">
      <selection activeCell="C1372" sqref="C1372:C137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61"/>
  <sheetViews>
    <sheetView tabSelected="1" topLeftCell="A5047" zoomScale="105" zoomScaleNormal="105" workbookViewId="0">
      <selection activeCell="C5065" sqref="C5065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250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225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225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225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225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225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225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225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225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225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225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225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221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218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218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218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218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218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218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218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218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218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218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218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218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218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218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218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218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218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218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218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218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218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218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218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218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218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218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218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218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218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218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218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218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218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218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218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218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218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218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218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218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218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217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217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217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217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217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217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217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217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217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217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217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217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217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217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217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217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217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217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217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217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217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217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217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217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217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217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217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217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217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217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217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217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217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217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217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217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217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217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217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217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217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217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217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217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217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217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217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217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217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217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217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217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217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217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217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217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217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217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217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216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216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216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216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216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215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215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213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213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212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209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209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209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209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209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209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209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209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209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209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209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209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209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209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209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209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209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209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209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209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209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208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208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208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208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208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203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203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203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198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198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198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198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198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198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198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198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198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198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198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198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198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198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198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198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198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198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194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194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194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189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188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188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188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188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188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188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188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188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188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188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188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188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174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174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173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173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173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163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148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148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148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148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148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148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148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148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148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148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148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148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148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148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148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148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148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148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148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148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145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145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145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145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144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144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144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144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144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144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144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144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144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144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144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144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144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144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144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144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144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144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144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144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144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144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144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144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144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144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144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144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144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144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143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143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143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143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143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143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143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143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143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143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143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143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143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143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143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143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143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143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139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139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139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139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139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139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139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139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139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139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139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139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139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139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139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139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139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139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139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139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139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139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139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139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139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139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139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139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139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139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139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139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139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139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139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139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139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139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139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139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139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139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139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139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139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139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139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139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139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139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139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139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139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139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139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139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139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139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139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139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139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139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139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139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139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139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139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139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139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139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139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139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139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139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139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139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139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139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139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139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139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139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139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139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139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139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139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139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139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139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139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139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133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133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128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128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123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123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123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123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123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123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123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123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123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123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123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123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123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123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123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123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123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123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123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123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123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123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123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123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123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123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123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123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123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123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123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123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123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123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123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123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123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123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123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123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123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123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123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123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123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123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123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123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123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123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123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123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123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123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123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123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123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123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123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123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123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123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123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123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123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123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123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123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123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123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123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123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123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123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123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123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123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123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123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123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123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123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123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123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123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123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123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123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123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123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123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123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123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123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123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123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123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123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123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123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123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123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123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123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123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120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120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120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120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121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118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118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113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113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113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113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113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113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113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113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113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113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113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111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111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111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111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111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111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111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111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111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111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111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111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111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111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111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111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111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111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111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111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111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111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111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111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111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111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111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111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111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111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111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111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111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111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111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111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111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111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111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111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111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111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111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111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111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111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111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111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111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111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111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111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111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111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111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111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111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111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111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111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111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111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111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111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111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111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111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111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111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111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111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111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111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111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111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111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111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111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111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111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111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111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111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111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111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111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111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111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111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111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111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111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111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111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111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111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111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111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111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111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111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111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111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111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111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111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111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111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111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111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111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111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111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111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111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111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111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111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111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111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111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111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111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111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111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111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111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111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111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111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111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111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111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111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111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111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111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111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111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111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111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111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111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111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111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111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111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111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111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111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111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111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111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111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111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111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111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111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111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111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111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111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111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111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111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111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111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111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111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111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111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111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111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111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111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111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111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111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111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111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111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111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111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111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111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111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111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111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111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111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111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111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111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111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111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111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111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111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111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111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111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111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111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111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111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111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111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111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111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111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111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111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111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111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111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111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111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111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111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111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111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111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111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111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111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111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111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111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111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111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111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111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111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111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111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111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111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111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111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111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111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111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111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111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111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111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111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111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111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111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111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111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111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111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111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111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111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111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111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111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111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111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111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111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111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111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111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111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111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111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111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111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111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111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111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111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111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111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111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111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111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111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111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111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111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111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111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111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111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111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111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111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111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111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111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111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111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111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111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111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111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111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111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111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111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111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111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111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111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111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111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111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111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111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111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111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111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111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111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111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111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111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111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111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111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111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111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111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111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111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111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111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111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111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111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109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109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109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109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109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109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109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109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109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109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108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108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108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107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107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107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107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107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107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106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106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104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103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103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103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102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102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102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100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100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100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100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100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100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100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97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97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97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97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97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97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97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97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97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97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97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97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97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97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97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97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97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97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97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97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97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97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97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97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97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97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97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97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97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96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96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94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94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94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94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94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94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94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94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94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94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92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92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92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92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92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92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92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92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91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91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91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91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91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91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91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91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91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91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91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91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91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91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91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91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91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89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89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89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89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89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89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89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89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89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89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89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89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89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89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89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89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89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89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89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89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89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89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89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89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89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89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89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89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89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89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89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89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89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89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89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89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89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89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89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89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89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89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89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89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89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89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89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89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89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89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89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89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89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89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89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89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89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89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89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89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89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89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89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89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89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89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89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89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89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89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89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89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89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89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89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89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89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89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89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89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89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89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89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89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89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89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89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89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89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89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89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89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89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89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89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89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89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89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89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89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89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89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89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89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89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89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89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89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89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89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89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89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89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89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89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89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89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89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89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89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89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89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89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89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89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89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89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89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89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89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89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89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89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89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89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89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89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89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89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89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89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89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89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89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89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89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89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89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89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89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89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89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89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89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89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89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89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89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89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89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89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89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89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89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89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89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89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89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89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89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89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89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89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89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89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89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89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89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89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89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89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89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89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89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89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89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89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89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89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89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89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89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89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89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89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89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89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89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89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89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89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89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89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89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89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89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89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89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89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89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89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89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89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89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89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89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89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89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89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89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89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89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89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89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89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89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89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89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89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89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89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89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89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89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89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89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89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89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89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89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89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89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89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89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89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89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89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89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89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89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89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89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89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89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89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89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89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89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89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89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89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89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89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89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89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89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89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89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89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89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89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89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89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89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89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89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89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89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89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89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89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89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89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89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89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89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89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89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89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89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89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89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89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89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89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88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88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88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88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88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88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88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88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88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88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88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88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88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88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88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88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88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88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88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88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88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88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88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88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88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88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88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88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88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88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88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88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88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88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88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88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88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88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88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88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88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88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88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88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88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88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88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88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88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88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88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88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88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88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88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88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88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88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88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88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88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88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88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88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88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88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88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88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88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88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88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88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88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88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88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88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88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88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88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88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88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88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88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88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88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88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88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88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88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88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88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88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88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88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88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88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88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88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88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88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88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88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88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88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88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88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88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88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88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88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88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88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88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88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88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88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88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88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88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88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88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88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88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88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88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88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88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88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88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88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88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88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88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88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88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88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88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88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88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88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88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88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88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88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88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88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88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88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88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88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88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88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88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88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88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88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88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88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88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88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88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88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88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88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88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88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88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88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88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88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88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88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88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88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88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88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88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88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88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88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88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88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88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88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88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88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88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88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88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88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88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88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88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88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88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88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88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88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88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88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88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88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85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85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85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85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85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85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85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85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85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85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85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85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85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85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85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85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85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85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85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85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85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85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85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85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85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85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85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85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85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85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85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85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85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85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85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85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85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85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85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85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85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85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85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84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84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83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83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83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83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83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83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83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82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82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82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81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81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81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81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81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81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81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81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81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81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81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81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81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81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81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81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81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81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81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81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81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81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81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81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81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81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81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81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81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81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81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81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81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81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81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81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81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81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81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81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81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81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81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81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81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81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81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81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81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81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81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81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81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81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81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81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81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81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81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81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81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81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81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81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81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81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81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81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81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81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81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81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81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81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81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81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81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81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81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81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81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81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81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81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81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81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81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81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81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81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81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81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81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81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80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80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80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80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80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80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80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80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80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80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80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80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80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80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80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80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80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80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80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79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79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79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79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79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79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79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79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79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79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79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79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79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79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79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79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79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79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78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78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78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78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78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78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78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78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78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78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78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78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75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75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75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75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75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75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75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75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75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75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75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75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75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75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75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75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75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75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75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75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75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75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75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75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75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75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75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75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75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74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74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74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74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74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74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74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74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74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74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74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74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74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74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74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74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74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74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74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74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74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74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74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74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74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74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74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74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74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74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74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74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74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74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74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73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73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73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73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73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73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73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73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73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73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73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73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73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73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73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73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73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73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73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73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73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73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73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73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73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73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73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73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73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73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73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73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73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73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73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73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73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73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73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73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73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73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73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73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73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73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73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73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73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73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73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73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73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73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73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73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73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73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73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73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73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73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73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73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73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73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73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73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73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73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73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73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73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73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73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73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73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73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73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73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73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73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73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73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73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73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73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73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73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73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73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73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73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73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73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73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73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73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73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73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73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73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73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73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73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73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73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73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73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73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73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73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73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73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73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73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73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73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73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73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73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73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73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73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73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73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73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73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73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73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73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73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73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73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73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73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73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73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73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73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73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73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73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73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73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73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73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73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73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73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73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73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73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73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73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73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73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73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73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73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73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73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73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73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73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73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73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73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73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73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73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73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73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73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73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73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73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73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73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73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73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73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73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73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73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73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73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73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73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73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73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73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73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73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73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73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73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73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73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73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73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73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73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73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73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73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73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73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73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73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73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73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73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73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73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73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73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73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73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73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73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73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73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73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73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73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73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73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73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73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73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73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73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73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73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73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71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71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71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71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71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71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71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71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71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71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71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71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71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71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71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71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70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70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70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70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70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70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70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70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70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70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70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70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70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70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70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70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70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70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70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70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70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70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70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70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70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70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70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70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70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70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70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70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70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70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70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70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70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70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70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69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69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69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69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69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69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69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69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69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69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69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69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69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69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69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69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69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69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68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68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68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68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68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68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68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68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68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68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68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68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68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68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68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68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68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68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68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68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68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68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68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68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68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68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68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68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68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68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68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68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68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68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68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68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68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68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68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68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68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68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68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68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68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68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68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68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68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68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68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68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68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68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68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68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68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68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68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68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68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68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68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68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68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68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68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68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68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68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68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68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68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68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68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68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68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68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68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68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68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68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68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68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68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68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68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68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68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68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68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68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68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68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68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68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68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68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68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68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68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68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68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68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68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68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68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68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68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68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68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68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68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68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68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64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64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64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64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64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64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64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64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64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64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64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64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63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63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63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63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63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63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63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63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63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63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63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63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63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63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63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63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63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63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63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63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63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63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63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63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63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63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63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63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63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63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63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60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60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60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60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60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60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60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60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60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59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58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58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58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58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58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58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57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57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57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57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57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57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57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57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57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57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57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57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57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57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57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57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57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57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57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57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56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56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56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56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56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56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56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56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56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56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56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56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55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55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55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55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55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55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55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55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55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55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55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55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52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52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52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52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52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52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52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52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52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52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52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52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52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52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52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52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52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52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52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52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52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52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52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52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52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52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52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52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52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52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52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52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52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52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52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52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52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52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52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52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52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52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52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52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52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52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52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52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52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52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51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51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51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51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51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51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51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51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51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51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51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51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51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51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51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51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48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47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47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47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47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47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47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45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45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45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45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45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45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45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45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45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45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45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45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45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45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45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45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45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45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45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45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45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45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45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45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45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45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45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45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45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45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45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45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45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45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45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45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45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45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45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45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45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45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45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45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45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45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45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43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43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43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43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43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43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43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43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43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43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43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43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43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43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43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43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43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43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43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43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43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43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43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43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43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43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43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43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41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41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41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41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36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36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36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36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36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35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35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35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35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35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35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35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35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35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35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35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35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32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32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32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32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32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32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32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32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32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32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32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32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32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32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32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32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32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32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32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32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32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32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32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32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32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32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32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32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32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31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30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29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29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29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29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29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29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29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29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29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29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29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29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29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29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29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29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29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29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29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29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29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29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29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29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29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29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29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28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28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28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28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28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28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28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28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28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28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28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28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28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28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28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28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28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28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28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28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28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28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28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28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28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28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28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28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28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28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28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28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28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28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28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28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28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28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28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30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25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25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25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25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25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25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25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25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25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25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25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25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25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25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25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25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25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25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25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25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25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25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25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25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25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25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25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25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25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25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25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25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25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25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25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25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25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25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25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25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25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25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25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25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25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25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25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25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25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25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25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25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25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25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25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25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25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25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25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25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25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25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25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25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25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25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25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25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25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25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25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25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25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25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25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25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25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25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25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25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25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25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25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25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25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25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25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25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25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25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25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25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25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23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23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23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23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23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23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23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23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23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23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23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23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23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23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23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23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23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23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23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23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23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23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23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23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23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23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23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23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22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20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20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20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17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17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17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17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17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17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17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17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17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17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17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17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17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17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17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17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17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17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17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17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17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17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17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17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17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17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17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17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17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17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17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17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17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17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17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17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17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17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17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17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17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17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17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17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17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17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17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17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17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17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17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17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17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17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17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17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17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17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17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14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14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14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14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14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14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14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14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14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14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14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14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14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14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14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14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14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14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14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14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14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14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14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14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13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13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13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13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13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13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13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13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13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13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13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13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13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13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11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11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11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11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11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11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11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9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9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9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9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9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9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9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9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9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9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9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9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9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9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9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9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9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9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9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9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9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9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9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9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9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9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9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9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9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9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9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9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9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9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9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9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9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9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9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9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9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9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9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9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9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9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9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9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9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9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9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9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9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9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9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9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9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9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9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9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9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9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9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9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8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8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8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8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8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8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8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8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8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8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open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6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open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6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open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6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open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6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open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6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open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6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open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6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open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6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open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6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open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6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open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6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open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6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open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6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open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6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open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6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open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6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open</v>
      </c>
      <c r="C4812" s="149" t="s">
        <v>375</v>
      </c>
      <c r="D4812" t="s">
        <v>7021</v>
      </c>
      <c r="E4812" t="s">
        <v>7002</v>
      </c>
      <c r="F4812" s="150"/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6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open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6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open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6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open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6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open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6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open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6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open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6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open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6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open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6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open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6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open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6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open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6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open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6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open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6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open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6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open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6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open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6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open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6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open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5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open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5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open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5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open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5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open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5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open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5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open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5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open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5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open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5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open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5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open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5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open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5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open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5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open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5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open</v>
      </c>
      <c r="C4844" s="149" t="s">
        <v>375</v>
      </c>
      <c r="D4844" t="s">
        <v>7246</v>
      </c>
      <c r="E4844" s="149" t="s">
        <v>7229</v>
      </c>
      <c r="F4844" s="150"/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5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open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5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open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5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open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5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open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5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open</v>
      </c>
      <c r="C4849" s="149" t="s">
        <v>377</v>
      </c>
      <c r="D4849" t="s">
        <v>7058</v>
      </c>
      <c r="E4849" s="149" t="s">
        <v>7229</v>
      </c>
      <c r="F4849" s="150"/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5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open</v>
      </c>
      <c r="C4850" s="149" t="s">
        <v>377</v>
      </c>
      <c r="D4850" t="s">
        <v>7059</v>
      </c>
      <c r="E4850" s="149" t="s">
        <v>7229</v>
      </c>
      <c r="F4850" s="150"/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5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open</v>
      </c>
      <c r="C4851" s="149" t="s">
        <v>377</v>
      </c>
      <c r="D4851" t="s">
        <v>7060</v>
      </c>
      <c r="E4851" s="149" t="s">
        <v>7229</v>
      </c>
      <c r="F4851" s="150"/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5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open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5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open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5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open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5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open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5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open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5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open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5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open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5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open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5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open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5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open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5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open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5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open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5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open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5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open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5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open</v>
      </c>
      <c r="C4866" s="149" t="s">
        <v>375</v>
      </c>
      <c r="D4866" t="s">
        <v>7075</v>
      </c>
      <c r="E4866" s="149" t="s">
        <v>7231</v>
      </c>
      <c r="F4866" s="150"/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5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open</v>
      </c>
      <c r="C4867" s="149" t="s">
        <v>375</v>
      </c>
      <c r="D4867" t="s">
        <v>7076</v>
      </c>
      <c r="E4867" s="149" t="s">
        <v>7231</v>
      </c>
      <c r="F4867" s="150"/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5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open</v>
      </c>
      <c r="C4868" s="149" t="s">
        <v>375</v>
      </c>
      <c r="D4868" t="s">
        <v>7077</v>
      </c>
      <c r="E4868" s="149" t="s">
        <v>7231</v>
      </c>
      <c r="F4868" s="150"/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5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open</v>
      </c>
      <c r="C4869" s="149" t="s">
        <v>375</v>
      </c>
      <c r="D4869" t="s">
        <v>7078</v>
      </c>
      <c r="E4869" s="149" t="s">
        <v>7232</v>
      </c>
      <c r="F4869" s="150"/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5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open</v>
      </c>
      <c r="C4870" s="149" t="s">
        <v>375</v>
      </c>
      <c r="D4870" t="s">
        <v>7079</v>
      </c>
      <c r="E4870" s="149" t="s">
        <v>7232</v>
      </c>
      <c r="F4870" s="150"/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5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open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5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open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5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open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5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open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5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open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5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open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5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open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5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open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5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open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5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open</v>
      </c>
      <c r="C4880" s="149" t="s">
        <v>375</v>
      </c>
      <c r="D4880" t="s">
        <v>7089</v>
      </c>
      <c r="E4880" s="149" t="s">
        <v>7233</v>
      </c>
      <c r="F4880" s="150"/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5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open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5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open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5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open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5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open</v>
      </c>
      <c r="C4884" s="149" t="s">
        <v>375</v>
      </c>
      <c r="D4884" t="s">
        <v>7093</v>
      </c>
      <c r="E4884" s="149" t="s">
        <v>7234</v>
      </c>
      <c r="F4884" s="150"/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5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open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5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open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5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open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5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open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5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open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5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open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5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open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5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open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5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open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5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open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5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open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5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open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5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open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5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open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5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open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5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open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5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open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5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open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5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open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5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open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5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open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5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open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5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open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5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open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5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open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5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open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5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open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5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open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5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open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5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open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5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open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5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open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5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open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5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open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5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open</v>
      </c>
      <c r="C4919" s="149" t="s">
        <v>375</v>
      </c>
      <c r="D4919" t="s">
        <v>7128</v>
      </c>
      <c r="E4919" s="149" t="s">
        <v>7235</v>
      </c>
      <c r="F4919" s="150"/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5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open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5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open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5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open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5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open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5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open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5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open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5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open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5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open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5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open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5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open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5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open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5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open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5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open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5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open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5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open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5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open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5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open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5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open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5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open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5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open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5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open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5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open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5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open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5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open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5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open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5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open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5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open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5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open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5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open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5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open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5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open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5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open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5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open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5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open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5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open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5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open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5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open</v>
      </c>
      <c r="C4956" s="149" t="s">
        <v>375</v>
      </c>
      <c r="D4956" t="s">
        <v>7165</v>
      </c>
      <c r="E4956" s="149" t="s">
        <v>7238</v>
      </c>
      <c r="F4956" s="150"/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5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open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5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open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5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open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5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open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5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open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5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open</v>
      </c>
      <c r="C4962" s="149" t="s">
        <v>375</v>
      </c>
      <c r="D4962" t="s">
        <v>7171</v>
      </c>
      <c r="E4962" s="149" t="s">
        <v>7239</v>
      </c>
      <c r="F4962" s="150"/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5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open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5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open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5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open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5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open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5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open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5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open</v>
      </c>
      <c r="C4968" s="149" t="s">
        <v>375</v>
      </c>
      <c r="D4968" t="s">
        <v>7177</v>
      </c>
      <c r="E4968" s="149" t="s">
        <v>7239</v>
      </c>
      <c r="F4968" s="150"/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5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open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5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open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5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open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5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open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5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open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5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open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5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4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4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4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4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4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4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4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4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4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4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4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4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4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4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4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4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4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4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4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4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4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4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4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4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4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4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4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4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open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3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s="149" t="s">
        <v>7223</v>
      </c>
      <c r="F5004" s="150"/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3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s="149" t="s">
        <v>7224</v>
      </c>
      <c r="F5005" s="150"/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3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s="149" t="s">
        <v>7225</v>
      </c>
      <c r="F5006" s="150"/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3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s="149" t="s">
        <v>7226</v>
      </c>
      <c r="F5007" s="150"/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3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s="149" t="s">
        <v>7223</v>
      </c>
      <c r="F5008" s="150"/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3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s="149" t="s">
        <v>7225</v>
      </c>
      <c r="F5009" s="150"/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3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s="149" t="s">
        <v>7226</v>
      </c>
      <c r="F5010" s="150"/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3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s="149" t="s">
        <v>7225</v>
      </c>
      <c r="F5011" s="150"/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3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s="149" t="s">
        <v>7223</v>
      </c>
      <c r="F5012" s="150"/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3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open</v>
      </c>
      <c r="C5013" s="149" t="s">
        <v>370</v>
      </c>
      <c r="D5013" t="s">
        <v>7222</v>
      </c>
      <c r="E5013" s="149" t="s">
        <v>7227</v>
      </c>
      <c r="F5013" s="150"/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3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open</v>
      </c>
      <c r="C5014" s="149" t="s">
        <v>370</v>
      </c>
      <c r="D5014" t="s">
        <v>7248</v>
      </c>
      <c r="E5014" t="s">
        <v>4939</v>
      </c>
      <c r="F5014" s="150"/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0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2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open</v>
      </c>
      <c r="C5015" s="149" t="s">
        <v>370</v>
      </c>
      <c r="D5015" t="s">
        <v>7249</v>
      </c>
      <c r="E5015" t="s">
        <v>4939</v>
      </c>
      <c r="F5015" s="150"/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0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2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open</v>
      </c>
      <c r="C5016" s="149" t="s">
        <v>370</v>
      </c>
      <c r="D5016" t="s">
        <v>7250</v>
      </c>
      <c r="E5016" t="s">
        <v>4939</v>
      </c>
      <c r="F5016" s="150"/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0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2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/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2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/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2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/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2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/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2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/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2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/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2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open</v>
      </c>
      <c r="C5023" s="8" t="s">
        <v>405</v>
      </c>
      <c r="D5023" t="s">
        <v>4295</v>
      </c>
      <c r="E5023" t="s">
        <v>7269</v>
      </c>
      <c r="F5023" s="150"/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2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open</v>
      </c>
      <c r="C5024" t="s">
        <v>370</v>
      </c>
      <c r="D5024" t="s">
        <v>7259</v>
      </c>
      <c r="E5024" t="s">
        <v>7270</v>
      </c>
      <c r="F5024" s="150"/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0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2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open</v>
      </c>
      <c r="C5025" s="149" t="s">
        <v>370</v>
      </c>
      <c r="D5025" t="s">
        <v>7260</v>
      </c>
      <c r="E5025" t="s">
        <v>7270</v>
      </c>
      <c r="F5025" s="150"/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0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2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open</v>
      </c>
      <c r="C5026" s="149" t="s">
        <v>370</v>
      </c>
      <c r="D5026" t="s">
        <v>7261</v>
      </c>
      <c r="E5026" t="s">
        <v>7270</v>
      </c>
      <c r="F5026" s="150"/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0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2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open</v>
      </c>
      <c r="C5027" s="149" t="s">
        <v>370</v>
      </c>
      <c r="D5027" t="s">
        <v>7262</v>
      </c>
      <c r="E5027" t="s">
        <v>7270</v>
      </c>
      <c r="F5027" s="150"/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0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2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open</v>
      </c>
      <c r="C5028" s="149" t="s">
        <v>370</v>
      </c>
      <c r="D5028" t="s">
        <v>7263</v>
      </c>
      <c r="E5028" t="s">
        <v>7270</v>
      </c>
      <c r="F5028" s="150"/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0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2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open</v>
      </c>
      <c r="C5029" s="149" t="s">
        <v>370</v>
      </c>
      <c r="D5029" t="s">
        <v>7264</v>
      </c>
      <c r="E5029" t="s">
        <v>7271</v>
      </c>
      <c r="F5029" s="150"/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0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2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open</v>
      </c>
      <c r="C5030" s="149" t="s">
        <v>370</v>
      </c>
      <c r="D5030" t="s">
        <v>7265</v>
      </c>
      <c r="E5030" t="s">
        <v>7272</v>
      </c>
      <c r="F5030" s="150"/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0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2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open</v>
      </c>
      <c r="C5031" s="149" t="s">
        <v>370</v>
      </c>
      <c r="D5031" t="s">
        <v>7266</v>
      </c>
      <c r="E5031" t="s">
        <v>7272</v>
      </c>
      <c r="F5031" s="150"/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0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2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open</v>
      </c>
      <c r="C5032" s="149" t="s">
        <v>370</v>
      </c>
      <c r="D5032" t="s">
        <v>7267</v>
      </c>
      <c r="E5032" t="s">
        <v>4939</v>
      </c>
      <c r="F5032" s="150"/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0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2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open</v>
      </c>
      <c r="C5033" s="149" t="s">
        <v>370</v>
      </c>
      <c r="D5033" t="s">
        <v>7251</v>
      </c>
      <c r="E5033" t="s">
        <v>4914</v>
      </c>
      <c r="F5033" s="150"/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0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2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open</v>
      </c>
      <c r="C5034" s="149" t="s">
        <v>370</v>
      </c>
      <c r="D5034" t="s">
        <v>7268</v>
      </c>
      <c r="E5034" t="s">
        <v>2419</v>
      </c>
      <c r="F5034" s="150"/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0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2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/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2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/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2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/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2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/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2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/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2</v>
      </c>
      <c r="R5039" s="175" t="s">
        <v>415</v>
      </c>
      <c r="S5039" s="150"/>
    </row>
    <row r="5040" spans="1:19">
      <c r="A5040" t="s">
        <v>7279</v>
      </c>
      <c r="B5040" s="150" t="str">
        <f>IFERROR(VLOOKUP(Proc[[#This Row],[App]],Table2[],3,0),"open")</f>
        <v>open</v>
      </c>
      <c r="C5040" t="s">
        <v>370</v>
      </c>
      <c r="D5040" t="s">
        <v>7280</v>
      </c>
      <c r="E5040" t="s">
        <v>7281</v>
      </c>
      <c r="F5040" s="150" t="s">
        <v>7282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0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1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open</v>
      </c>
      <c r="C5041" t="s">
        <v>370</v>
      </c>
      <c r="D5041" t="s">
        <v>7284</v>
      </c>
      <c r="E5041" t="s">
        <v>424</v>
      </c>
      <c r="F5041" s="150" t="s">
        <v>7285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0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1</v>
      </c>
      <c r="R5041" s="175" t="s">
        <v>1459</v>
      </c>
      <c r="S5041" s="150"/>
    </row>
    <row r="5042" spans="1:19">
      <c r="A5042" t="s">
        <v>7286</v>
      </c>
      <c r="B5042" s="150" t="str">
        <f>IFERROR(VLOOKUP(Proc[[#This Row],[App]],Table2[],3,0),"open")</f>
        <v>open</v>
      </c>
      <c r="C5042" s="149" t="s">
        <v>370</v>
      </c>
      <c r="D5042" t="s">
        <v>7287</v>
      </c>
      <c r="E5042" t="s">
        <v>4937</v>
      </c>
      <c r="F5042" s="150"/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0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0</v>
      </c>
      <c r="R5042" s="175" t="s">
        <v>415</v>
      </c>
      <c r="S5042" s="150"/>
    </row>
    <row r="5043" spans="1:19">
      <c r="A5043" t="s">
        <v>7286</v>
      </c>
      <c r="B5043" s="150" t="str">
        <f>IFERROR(VLOOKUP(Proc[[#This Row],[App]],Table2[],3,0),"open")</f>
        <v>open</v>
      </c>
      <c r="C5043" s="149" t="s">
        <v>370</v>
      </c>
      <c r="D5043" t="s">
        <v>7288</v>
      </c>
      <c r="E5043" t="s">
        <v>7297</v>
      </c>
      <c r="F5043" s="150"/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0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0</v>
      </c>
      <c r="R5043" s="175" t="s">
        <v>415</v>
      </c>
      <c r="S5043" s="150"/>
    </row>
    <row r="5044" spans="1:19">
      <c r="A5044" s="149" t="s">
        <v>7286</v>
      </c>
      <c r="B5044" s="150" t="str">
        <f>IFERROR(VLOOKUP(Proc[[#This Row],[App]],Table2[],3,0),"open")</f>
        <v>open</v>
      </c>
      <c r="C5044" s="149" t="s">
        <v>370</v>
      </c>
      <c r="D5044" t="s">
        <v>7289</v>
      </c>
      <c r="E5044" t="s">
        <v>7298</v>
      </c>
      <c r="F5044" s="150"/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0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0</v>
      </c>
      <c r="R5044" s="175" t="s">
        <v>415</v>
      </c>
      <c r="S5044" s="150"/>
    </row>
    <row r="5045" spans="1:19">
      <c r="A5045" s="149" t="s">
        <v>7286</v>
      </c>
      <c r="B5045" s="150" t="str">
        <f>IFERROR(VLOOKUP(Proc[[#This Row],[App]],Table2[],3,0),"open")</f>
        <v>open</v>
      </c>
      <c r="C5045" s="149" t="s">
        <v>370</v>
      </c>
      <c r="D5045" t="s">
        <v>7290</v>
      </c>
      <c r="E5045" t="s">
        <v>7299</v>
      </c>
      <c r="F5045" s="150"/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0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0</v>
      </c>
      <c r="R5045" s="175" t="s">
        <v>415</v>
      </c>
      <c r="S5045" s="150"/>
    </row>
    <row r="5046" spans="1:19">
      <c r="A5046" s="149" t="s">
        <v>7286</v>
      </c>
      <c r="B5046" s="150" t="str">
        <f>IFERROR(VLOOKUP(Proc[[#This Row],[App]],Table2[],3,0),"open")</f>
        <v>open</v>
      </c>
      <c r="C5046" s="149" t="s">
        <v>370</v>
      </c>
      <c r="D5046" t="s">
        <v>7291</v>
      </c>
      <c r="E5046" t="s">
        <v>7299</v>
      </c>
      <c r="F5046" s="150"/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0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0</v>
      </c>
      <c r="R5046" s="175" t="s">
        <v>415</v>
      </c>
      <c r="S5046" s="150"/>
    </row>
    <row r="5047" spans="1:19">
      <c r="A5047" s="149" t="s">
        <v>7286</v>
      </c>
      <c r="B5047" s="150" t="str">
        <f>IFERROR(VLOOKUP(Proc[[#This Row],[App]],Table2[],3,0),"open")</f>
        <v>open</v>
      </c>
      <c r="C5047" s="149" t="s">
        <v>370</v>
      </c>
      <c r="D5047" t="s">
        <v>7292</v>
      </c>
      <c r="E5047" t="s">
        <v>7300</v>
      </c>
      <c r="F5047" s="150"/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0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0</v>
      </c>
      <c r="R5047" s="175" t="s">
        <v>415</v>
      </c>
      <c r="S5047" s="150"/>
    </row>
    <row r="5048" spans="1:19">
      <c r="A5048" s="149" t="s">
        <v>7286</v>
      </c>
      <c r="B5048" s="150" t="str">
        <f>IFERROR(VLOOKUP(Proc[[#This Row],[App]],Table2[],3,0),"open")</f>
        <v>open</v>
      </c>
      <c r="C5048" s="149" t="s">
        <v>370</v>
      </c>
      <c r="D5048" t="s">
        <v>7293</v>
      </c>
      <c r="E5048" t="s">
        <v>7300</v>
      </c>
      <c r="F5048" s="150"/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0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0</v>
      </c>
      <c r="R5048" s="175" t="s">
        <v>415</v>
      </c>
      <c r="S5048" s="150"/>
    </row>
    <row r="5049" spans="1:19">
      <c r="A5049" s="149" t="s">
        <v>7286</v>
      </c>
      <c r="B5049" s="150" t="str">
        <f>IFERROR(VLOOKUP(Proc[[#This Row],[App]],Table2[],3,0),"open")</f>
        <v>open</v>
      </c>
      <c r="C5049" s="149" t="s">
        <v>370</v>
      </c>
      <c r="D5049" t="s">
        <v>7294</v>
      </c>
      <c r="E5049" t="s">
        <v>7300</v>
      </c>
      <c r="F5049" s="150"/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0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0</v>
      </c>
      <c r="R5049" s="175" t="s">
        <v>415</v>
      </c>
      <c r="S5049" s="150"/>
    </row>
    <row r="5050" spans="1:19">
      <c r="A5050" s="149" t="s">
        <v>7286</v>
      </c>
      <c r="B5050" s="150" t="str">
        <f>IFERROR(VLOOKUP(Proc[[#This Row],[App]],Table2[],3,0),"open")</f>
        <v>open</v>
      </c>
      <c r="C5050" s="149" t="s">
        <v>370</v>
      </c>
      <c r="D5050" t="s">
        <v>7295</v>
      </c>
      <c r="E5050" t="s">
        <v>7300</v>
      </c>
      <c r="F5050" s="150"/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0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0</v>
      </c>
      <c r="R5050" s="175" t="s">
        <v>415</v>
      </c>
      <c r="S5050" s="150"/>
    </row>
    <row r="5051" spans="1:19">
      <c r="A5051" s="149" t="s">
        <v>7286</v>
      </c>
      <c r="B5051" s="150" t="str">
        <f>IFERROR(VLOOKUP(Proc[[#This Row],[App]],Table2[],3,0),"open")</f>
        <v>open</v>
      </c>
      <c r="C5051" s="149" t="s">
        <v>370</v>
      </c>
      <c r="D5051" t="s">
        <v>7296</v>
      </c>
      <c r="E5051" t="s">
        <v>7300</v>
      </c>
      <c r="F5051" s="150"/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0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0</v>
      </c>
      <c r="R5051" s="175" t="s">
        <v>415</v>
      </c>
      <c r="S5051" s="150"/>
    </row>
    <row r="5052" spans="1:19">
      <c r="A5052" t="s">
        <v>7302</v>
      </c>
      <c r="B5052" s="150" t="str">
        <f>IFERROR(VLOOKUP(Proc[[#This Row],[App]],Table2[],3,0),"open")</f>
        <v>open</v>
      </c>
      <c r="C5052" s="149" t="s">
        <v>370</v>
      </c>
      <c r="D5052" t="s">
        <v>7253</v>
      </c>
      <c r="E5052" t="s">
        <v>7301</v>
      </c>
      <c r="F5052" s="150"/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0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0</v>
      </c>
      <c r="R5052" s="175" t="s">
        <v>415</v>
      </c>
      <c r="S5052" s="150"/>
    </row>
    <row r="5053" spans="1:19">
      <c r="A5053" t="s">
        <v>7302</v>
      </c>
      <c r="B5053" s="150" t="str">
        <f>IFERROR(VLOOKUP(Proc[[#This Row],[App]],Table2[],3,0),"open")</f>
        <v>open</v>
      </c>
      <c r="C5053" s="149" t="s">
        <v>370</v>
      </c>
      <c r="D5053" t="s">
        <v>7254</v>
      </c>
      <c r="E5053" t="s">
        <v>7301</v>
      </c>
      <c r="F5053" s="150"/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0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0</v>
      </c>
      <c r="R5053" s="175" t="s">
        <v>415</v>
      </c>
      <c r="S5053" s="150"/>
    </row>
    <row r="5054" spans="1:19">
      <c r="A5054" s="149" t="s">
        <v>7302</v>
      </c>
      <c r="B5054" s="150" t="str">
        <f>IFERROR(VLOOKUP(Proc[[#This Row],[App]],Table2[],3,0),"open")</f>
        <v>open</v>
      </c>
      <c r="C5054" s="149" t="s">
        <v>370</v>
      </c>
      <c r="D5054" t="s">
        <v>7255</v>
      </c>
      <c r="E5054" t="s">
        <v>7301</v>
      </c>
      <c r="F5054" s="150"/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0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0</v>
      </c>
      <c r="R5054" s="175" t="s">
        <v>415</v>
      </c>
      <c r="S5054" s="150"/>
    </row>
    <row r="5055" spans="1:19">
      <c r="A5055" s="149" t="s">
        <v>7302</v>
      </c>
      <c r="B5055" s="150" t="str">
        <f>IFERROR(VLOOKUP(Proc[[#This Row],[App]],Table2[],3,0),"open")</f>
        <v>open</v>
      </c>
      <c r="C5055" s="149" t="s">
        <v>370</v>
      </c>
      <c r="D5055" t="s">
        <v>7256</v>
      </c>
      <c r="E5055" t="s">
        <v>7301</v>
      </c>
      <c r="F5055" s="150"/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0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0</v>
      </c>
      <c r="R5055" s="175" t="s">
        <v>415</v>
      </c>
      <c r="S5055" s="150"/>
    </row>
    <row r="5056" spans="1:19">
      <c r="A5056" s="149" t="s">
        <v>7302</v>
      </c>
      <c r="B5056" s="150" t="str">
        <f>IFERROR(VLOOKUP(Proc[[#This Row],[App]],Table2[],3,0),"open")</f>
        <v>open</v>
      </c>
      <c r="C5056" s="149" t="s">
        <v>370</v>
      </c>
      <c r="D5056" t="s">
        <v>7257</v>
      </c>
      <c r="E5056" t="s">
        <v>7301</v>
      </c>
      <c r="F5056" s="150"/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0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0</v>
      </c>
      <c r="R5056" s="175" t="s">
        <v>415</v>
      </c>
      <c r="S5056" s="150"/>
    </row>
    <row r="5057" spans="1:19">
      <c r="A5057" s="149" t="s">
        <v>7302</v>
      </c>
      <c r="B5057" s="150" t="str">
        <f>IFERROR(VLOOKUP(Proc[[#This Row],[App]],Table2[],3,0),"open")</f>
        <v>open</v>
      </c>
      <c r="C5057" s="149" t="s">
        <v>370</v>
      </c>
      <c r="D5057" t="s">
        <v>7274</v>
      </c>
      <c r="E5057" t="s">
        <v>7300</v>
      </c>
      <c r="F5057" s="150"/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0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0</v>
      </c>
      <c r="R5057" s="175" t="s">
        <v>415</v>
      </c>
      <c r="S5057" s="150"/>
    </row>
    <row r="5058" spans="1:19">
      <c r="A5058" s="149" t="s">
        <v>7302</v>
      </c>
      <c r="B5058" s="150" t="str">
        <f>IFERROR(VLOOKUP(Proc[[#This Row],[App]],Table2[],3,0),"open")</f>
        <v>open</v>
      </c>
      <c r="C5058" s="149" t="s">
        <v>370</v>
      </c>
      <c r="D5058" t="s">
        <v>7275</v>
      </c>
      <c r="E5058" t="s">
        <v>7300</v>
      </c>
      <c r="F5058" s="150"/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0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0</v>
      </c>
      <c r="R5058" s="175" t="s">
        <v>415</v>
      </c>
      <c r="S5058" s="150"/>
    </row>
    <row r="5059" spans="1:19">
      <c r="A5059" s="149" t="s">
        <v>7302</v>
      </c>
      <c r="B5059" s="150" t="str">
        <f>IFERROR(VLOOKUP(Proc[[#This Row],[App]],Table2[],3,0),"open")</f>
        <v>open</v>
      </c>
      <c r="C5059" s="149" t="s">
        <v>370</v>
      </c>
      <c r="D5059" t="s">
        <v>7276</v>
      </c>
      <c r="E5059" t="s">
        <v>7300</v>
      </c>
      <c r="F5059" s="150"/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0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0</v>
      </c>
      <c r="R5059" s="175" t="s">
        <v>415</v>
      </c>
      <c r="S5059" s="150"/>
    </row>
    <row r="5060" spans="1:19">
      <c r="A5060" s="149" t="s">
        <v>7302</v>
      </c>
      <c r="B5060" s="150" t="str">
        <f>IFERROR(VLOOKUP(Proc[[#This Row],[App]],Table2[],3,0),"open")</f>
        <v>open</v>
      </c>
      <c r="C5060" s="149" t="s">
        <v>370</v>
      </c>
      <c r="D5060" t="s">
        <v>7277</v>
      </c>
      <c r="E5060" t="s">
        <v>7300</v>
      </c>
      <c r="F5060" s="150"/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0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0</v>
      </c>
      <c r="R5060" s="175" t="s">
        <v>415</v>
      </c>
      <c r="S5060" s="150"/>
    </row>
    <row r="5061" spans="1:19">
      <c r="A5061" s="149" t="s">
        <v>7302</v>
      </c>
      <c r="B5061" s="150" t="str">
        <f>IFERROR(VLOOKUP(Proc[[#This Row],[App]],Table2[],3,0),"open")</f>
        <v>open</v>
      </c>
      <c r="C5061" s="149" t="s">
        <v>370</v>
      </c>
      <c r="D5061" t="s">
        <v>7278</v>
      </c>
      <c r="E5061" t="s">
        <v>7300</v>
      </c>
      <c r="F5061" s="150"/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0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0</v>
      </c>
      <c r="R5061" s="175" t="s">
        <v>415</v>
      </c>
      <c r="S5061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2025-12-05T11:16:18Z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